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2.xml" ContentType="application/vnd.ms-office.chartex+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chartEx3.xml" ContentType="application/vnd.ms-office.chartex+xml"/>
  <Override PartName="/xl/charts/style10.xml" ContentType="application/vnd.ms-office.chartstyle+xml"/>
  <Override PartName="/xl/charts/colors10.xml" ContentType="application/vnd.ms-office.chartcolorstyle+xml"/>
  <Override PartName="/xl/charts/chartEx4.xml" ContentType="application/vnd.ms-office.chartex+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Asus\OneDrive\Desktop\Banking Sales Excel Project\"/>
    </mc:Choice>
  </mc:AlternateContent>
  <xr:revisionPtr revIDLastSave="0" documentId="13_ncr:1_{3B9F210D-6AD2-4C3C-85A8-F95119070986}" xr6:coauthVersionLast="47" xr6:coauthVersionMax="47" xr10:uidLastSave="{00000000-0000-0000-0000-000000000000}"/>
  <bookViews>
    <workbookView xWindow="-108" yWindow="-108" windowWidth="23256" windowHeight="12456" activeTab="2" xr2:uid="{495CA42E-99B7-4863-A4D6-E3C27ABAD63D}"/>
  </bookViews>
  <sheets>
    <sheet name="Main_Data" sheetId="1" r:id="rId1"/>
    <sheet name="Pivot_Table_KPI" sheetId="2" r:id="rId2"/>
    <sheet name="DashBoard" sheetId="5" r:id="rId3"/>
  </sheets>
  <definedNames>
    <definedName name="_xlchart.v1.0" hidden="1">Pivot_Table_KPI!$X$12:$X$27</definedName>
    <definedName name="_xlchart.v1.1" hidden="1">Pivot_Table_KPI!$Y$11</definedName>
    <definedName name="_xlchart.v1.10" hidden="1">Pivot_Table_KPI!$Y$11</definedName>
    <definedName name="_xlchart.v1.11" hidden="1">Pivot_Table_KPI!$Y$12:$Y$27</definedName>
    <definedName name="_xlchart.v1.2" hidden="1">Pivot_Table_KPI!$Y$12:$Y$27</definedName>
    <definedName name="_xlchart.v1.6" hidden="1">Pivot_Table_KPI!$X$12:$X$27</definedName>
    <definedName name="_xlchart.v1.7" hidden="1">Pivot_Table_KPI!$Y$11</definedName>
    <definedName name="_xlchart.v1.8" hidden="1">Pivot_Table_KPI!$Y$12:$Y$27</definedName>
    <definedName name="_xlchart.v1.9" hidden="1">Pivot_Table_KPI!$X$12:$X$27</definedName>
    <definedName name="_xlchart.v2.12" hidden="1">Pivot_Table_KPI!$U$12:$U$17</definedName>
    <definedName name="_xlchart.v2.13" hidden="1">Pivot_Table_KPI!$V$11</definedName>
    <definedName name="_xlchart.v2.14" hidden="1">Pivot_Table_KPI!$V$12:$V$17</definedName>
    <definedName name="_xlchart.v2.3" hidden="1">Pivot_Table_KPI!$U$12:$U$17</definedName>
    <definedName name="_xlchart.v2.4" hidden="1">Pivot_Table_KPI!$V$11</definedName>
    <definedName name="_xlchart.v2.5" hidden="1">Pivot_Table_KPI!$V$12:$V$17</definedName>
    <definedName name="NativeTimeline_Date">#N/A</definedName>
    <definedName name="Slicer_Customer_Segment">#N/A</definedName>
    <definedName name="Slicer_Lead_Source">#N/A</definedName>
    <definedName name="Slicer_Product">#N/A</definedName>
    <definedName name="Slicer_Region">#N/A</definedName>
    <definedName name="Slicer_Value_Tier">#N/A</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 i="1" l="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N1002"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M1002" i="1"/>
  <c r="L1002" i="1"/>
  <c r="Q2" i="1"/>
  <c r="S3" i="1"/>
  <c r="S1001" i="1"/>
  <c r="R1001" i="1" a="1"/>
  <c r="R1001" i="1" s="1"/>
  <c r="Q1001" i="1"/>
  <c r="S1000" i="1"/>
  <c r="R1000" i="1" a="1"/>
  <c r="R1000" i="1" s="1"/>
  <c r="Q1000" i="1"/>
  <c r="S999" i="1"/>
  <c r="R999" i="1" a="1"/>
  <c r="R999" i="1" s="1"/>
  <c r="Q999" i="1"/>
  <c r="S998" i="1"/>
  <c r="R998" i="1" a="1"/>
  <c r="R998" i="1" s="1"/>
  <c r="Q998" i="1"/>
  <c r="S997" i="1"/>
  <c r="R997" i="1" a="1"/>
  <c r="R997" i="1" s="1"/>
  <c r="Q997" i="1"/>
  <c r="S996" i="1"/>
  <c r="R996" i="1" a="1"/>
  <c r="R996" i="1" s="1"/>
  <c r="Q996" i="1"/>
  <c r="S995" i="1"/>
  <c r="R995" i="1" a="1"/>
  <c r="R995" i="1" s="1"/>
  <c r="Q995" i="1"/>
  <c r="S994" i="1"/>
  <c r="R994" i="1" a="1"/>
  <c r="R994" i="1" s="1"/>
  <c r="Q994" i="1"/>
  <c r="S993" i="1"/>
  <c r="R993" i="1" a="1"/>
  <c r="R993" i="1" s="1"/>
  <c r="Q993" i="1"/>
  <c r="S992" i="1"/>
  <c r="R992" i="1" a="1"/>
  <c r="R992" i="1" s="1"/>
  <c r="Q992" i="1"/>
  <c r="S991" i="1"/>
  <c r="R991" i="1" a="1"/>
  <c r="R991" i="1" s="1"/>
  <c r="Q991" i="1"/>
  <c r="S990" i="1"/>
  <c r="R990" i="1" a="1"/>
  <c r="R990" i="1" s="1"/>
  <c r="Q990" i="1"/>
  <c r="S989" i="1"/>
  <c r="R989" i="1" a="1"/>
  <c r="R989" i="1" s="1"/>
  <c r="Q989" i="1"/>
  <c r="S988" i="1"/>
  <c r="R988" i="1" a="1"/>
  <c r="R988" i="1" s="1"/>
  <c r="Q988" i="1"/>
  <c r="S987" i="1"/>
  <c r="R987" i="1" a="1"/>
  <c r="R987" i="1" s="1"/>
  <c r="Q987" i="1"/>
  <c r="S986" i="1"/>
  <c r="R986" i="1" a="1"/>
  <c r="R986" i="1" s="1"/>
  <c r="Q986" i="1"/>
  <c r="S985" i="1"/>
  <c r="R985" i="1" a="1"/>
  <c r="R985" i="1" s="1"/>
  <c r="Q985" i="1"/>
  <c r="S984" i="1"/>
  <c r="R984" i="1" a="1"/>
  <c r="R984" i="1" s="1"/>
  <c r="Q984" i="1"/>
  <c r="S983" i="1"/>
  <c r="R983" i="1" a="1"/>
  <c r="R983" i="1" s="1"/>
  <c r="Q983" i="1"/>
  <c r="S982" i="1"/>
  <c r="R982" i="1" a="1"/>
  <c r="R982" i="1" s="1"/>
  <c r="Q982" i="1"/>
  <c r="S981" i="1"/>
  <c r="R981" i="1" a="1"/>
  <c r="R981" i="1" s="1"/>
  <c r="Q981" i="1"/>
  <c r="S980" i="1"/>
  <c r="R980" i="1" a="1"/>
  <c r="R980" i="1" s="1"/>
  <c r="Q980" i="1"/>
  <c r="S979" i="1"/>
  <c r="R979" i="1" a="1"/>
  <c r="R979" i="1" s="1"/>
  <c r="Q979" i="1"/>
  <c r="S978" i="1"/>
  <c r="R978" i="1" a="1"/>
  <c r="R978" i="1" s="1"/>
  <c r="Q978" i="1"/>
  <c r="S977" i="1"/>
  <c r="R977" i="1" a="1"/>
  <c r="R977" i="1" s="1"/>
  <c r="Q977" i="1"/>
  <c r="S976" i="1"/>
  <c r="R976" i="1" a="1"/>
  <c r="R976" i="1" s="1"/>
  <c r="Q976" i="1"/>
  <c r="S975" i="1"/>
  <c r="R975" i="1" a="1"/>
  <c r="R975" i="1" s="1"/>
  <c r="Q975" i="1"/>
  <c r="S974" i="1"/>
  <c r="R974" i="1" a="1"/>
  <c r="R974" i="1" s="1"/>
  <c r="Q974" i="1"/>
  <c r="S973" i="1"/>
  <c r="R973" i="1" a="1"/>
  <c r="R973" i="1" s="1"/>
  <c r="Q973" i="1"/>
  <c r="S972" i="1"/>
  <c r="R972" i="1" a="1"/>
  <c r="R972" i="1" s="1"/>
  <c r="Q972" i="1"/>
  <c r="S971" i="1"/>
  <c r="R971" i="1" a="1"/>
  <c r="R971" i="1" s="1"/>
  <c r="Q971" i="1"/>
  <c r="S970" i="1"/>
  <c r="R970" i="1" a="1"/>
  <c r="R970" i="1" s="1"/>
  <c r="Q970" i="1"/>
  <c r="S969" i="1"/>
  <c r="R969" i="1" a="1"/>
  <c r="R969" i="1" s="1"/>
  <c r="Q969" i="1"/>
  <c r="S968" i="1"/>
  <c r="R968" i="1" a="1"/>
  <c r="R968" i="1" s="1"/>
  <c r="Q968" i="1"/>
  <c r="S967" i="1"/>
  <c r="R967" i="1" a="1"/>
  <c r="R967" i="1" s="1"/>
  <c r="Q967" i="1"/>
  <c r="S966" i="1"/>
  <c r="R966" i="1" a="1"/>
  <c r="R966" i="1" s="1"/>
  <c r="Q966" i="1"/>
  <c r="S965" i="1"/>
  <c r="R965" i="1" a="1"/>
  <c r="R965" i="1" s="1"/>
  <c r="Q965" i="1"/>
  <c r="S964" i="1"/>
  <c r="R964" i="1" a="1"/>
  <c r="R964" i="1" s="1"/>
  <c r="Q964" i="1"/>
  <c r="S963" i="1"/>
  <c r="R963" i="1" a="1"/>
  <c r="R963" i="1" s="1"/>
  <c r="Q963" i="1"/>
  <c r="S962" i="1"/>
  <c r="R962" i="1" a="1"/>
  <c r="R962" i="1" s="1"/>
  <c r="Q962" i="1"/>
  <c r="S961" i="1"/>
  <c r="R961" i="1" a="1"/>
  <c r="R961" i="1" s="1"/>
  <c r="Q961" i="1"/>
  <c r="S960" i="1"/>
  <c r="R960" i="1" a="1"/>
  <c r="R960" i="1" s="1"/>
  <c r="Q960" i="1"/>
  <c r="S959" i="1"/>
  <c r="R959" i="1" a="1"/>
  <c r="R959" i="1" s="1"/>
  <c r="Q959" i="1"/>
  <c r="S958" i="1"/>
  <c r="R958" i="1" a="1"/>
  <c r="R958" i="1" s="1"/>
  <c r="Q958" i="1"/>
  <c r="S957" i="1"/>
  <c r="R957" i="1" a="1"/>
  <c r="R957" i="1" s="1"/>
  <c r="Q957" i="1"/>
  <c r="S956" i="1"/>
  <c r="R956" i="1" a="1"/>
  <c r="R956" i="1" s="1"/>
  <c r="Q956" i="1"/>
  <c r="S955" i="1"/>
  <c r="R955" i="1" a="1"/>
  <c r="R955" i="1" s="1"/>
  <c r="Q955" i="1"/>
  <c r="S954" i="1"/>
  <c r="R954" i="1" a="1"/>
  <c r="R954" i="1" s="1"/>
  <c r="Q954" i="1"/>
  <c r="S953" i="1"/>
  <c r="R953" i="1" a="1"/>
  <c r="R953" i="1" s="1"/>
  <c r="Q953" i="1"/>
  <c r="S952" i="1"/>
  <c r="R952" i="1" a="1"/>
  <c r="R952" i="1" s="1"/>
  <c r="Q952" i="1"/>
  <c r="S951" i="1"/>
  <c r="R951" i="1" a="1"/>
  <c r="R951" i="1" s="1"/>
  <c r="Q951" i="1"/>
  <c r="S950" i="1"/>
  <c r="R950" i="1" a="1"/>
  <c r="R950" i="1" s="1"/>
  <c r="Q950" i="1"/>
  <c r="S949" i="1"/>
  <c r="R949" i="1" a="1"/>
  <c r="R949" i="1" s="1"/>
  <c r="Q949" i="1"/>
  <c r="S948" i="1"/>
  <c r="R948" i="1" a="1"/>
  <c r="R948" i="1" s="1"/>
  <c r="Q948" i="1"/>
  <c r="S947" i="1"/>
  <c r="R947" i="1" a="1"/>
  <c r="R947" i="1" s="1"/>
  <c r="Q947" i="1"/>
  <c r="S946" i="1"/>
  <c r="R946" i="1" a="1"/>
  <c r="R946" i="1" s="1"/>
  <c r="Q946" i="1"/>
  <c r="S945" i="1"/>
  <c r="R945" i="1" a="1"/>
  <c r="R945" i="1" s="1"/>
  <c r="Q945" i="1"/>
  <c r="S944" i="1"/>
  <c r="R944" i="1" a="1"/>
  <c r="R944" i="1" s="1"/>
  <c r="Q944" i="1"/>
  <c r="S943" i="1"/>
  <c r="R943" i="1" a="1"/>
  <c r="R943" i="1" s="1"/>
  <c r="Q943" i="1"/>
  <c r="S942" i="1"/>
  <c r="R942" i="1" a="1"/>
  <c r="R942" i="1" s="1"/>
  <c r="Q942" i="1"/>
  <c r="S941" i="1"/>
  <c r="R941" i="1" a="1"/>
  <c r="R941" i="1" s="1"/>
  <c r="Q941" i="1"/>
  <c r="S940" i="1"/>
  <c r="R940" i="1" a="1"/>
  <c r="R940" i="1" s="1"/>
  <c r="Q940" i="1"/>
  <c r="S939" i="1"/>
  <c r="R939" i="1" a="1"/>
  <c r="R939" i="1" s="1"/>
  <c r="Q939" i="1"/>
  <c r="S938" i="1"/>
  <c r="R938" i="1" a="1"/>
  <c r="R938" i="1" s="1"/>
  <c r="Q938" i="1"/>
  <c r="S937" i="1"/>
  <c r="R937" i="1" a="1"/>
  <c r="R937" i="1" s="1"/>
  <c r="Q937" i="1"/>
  <c r="S936" i="1"/>
  <c r="R936" i="1" a="1"/>
  <c r="R936" i="1" s="1"/>
  <c r="Q936" i="1"/>
  <c r="S935" i="1"/>
  <c r="R935" i="1" a="1"/>
  <c r="R935" i="1" s="1"/>
  <c r="Q935" i="1"/>
  <c r="S934" i="1"/>
  <c r="R934" i="1" a="1"/>
  <c r="R934" i="1" s="1"/>
  <c r="Q934" i="1"/>
  <c r="S933" i="1"/>
  <c r="R933" i="1" a="1"/>
  <c r="R933" i="1" s="1"/>
  <c r="Q933" i="1"/>
  <c r="S932" i="1"/>
  <c r="R932" i="1" a="1"/>
  <c r="R932" i="1" s="1"/>
  <c r="Q932" i="1"/>
  <c r="S931" i="1"/>
  <c r="R931" i="1" a="1"/>
  <c r="R931" i="1" s="1"/>
  <c r="Q931" i="1"/>
  <c r="S930" i="1"/>
  <c r="R930" i="1" a="1"/>
  <c r="R930" i="1" s="1"/>
  <c r="Q930" i="1"/>
  <c r="S929" i="1"/>
  <c r="R929" i="1" a="1"/>
  <c r="R929" i="1" s="1"/>
  <c r="Q929" i="1"/>
  <c r="S928" i="1"/>
  <c r="R928" i="1" a="1"/>
  <c r="R928" i="1" s="1"/>
  <c r="Q928" i="1"/>
  <c r="S927" i="1"/>
  <c r="R927" i="1" a="1"/>
  <c r="R927" i="1" s="1"/>
  <c r="Q927" i="1"/>
  <c r="S926" i="1"/>
  <c r="R926" i="1" a="1"/>
  <c r="R926" i="1" s="1"/>
  <c r="Q926" i="1"/>
  <c r="S925" i="1"/>
  <c r="R925" i="1" a="1"/>
  <c r="R925" i="1" s="1"/>
  <c r="Q925" i="1"/>
  <c r="S924" i="1"/>
  <c r="R924" i="1" a="1"/>
  <c r="R924" i="1" s="1"/>
  <c r="Q924" i="1"/>
  <c r="S923" i="1"/>
  <c r="R923" i="1" a="1"/>
  <c r="R923" i="1" s="1"/>
  <c r="Q923" i="1"/>
  <c r="S922" i="1"/>
  <c r="R922" i="1" a="1"/>
  <c r="R922" i="1" s="1"/>
  <c r="Q922" i="1"/>
  <c r="S921" i="1"/>
  <c r="R921" i="1" a="1"/>
  <c r="R921" i="1" s="1"/>
  <c r="Q921" i="1"/>
  <c r="S920" i="1"/>
  <c r="R920" i="1" a="1"/>
  <c r="R920" i="1" s="1"/>
  <c r="Q920" i="1"/>
  <c r="S919" i="1"/>
  <c r="R919" i="1" a="1"/>
  <c r="R919" i="1" s="1"/>
  <c r="Q919" i="1"/>
  <c r="S918" i="1"/>
  <c r="R918" i="1" a="1"/>
  <c r="R918" i="1" s="1"/>
  <c r="Q918" i="1"/>
  <c r="S917" i="1"/>
  <c r="R917" i="1" a="1"/>
  <c r="R917" i="1" s="1"/>
  <c r="Q917" i="1"/>
  <c r="S916" i="1"/>
  <c r="R916" i="1" a="1"/>
  <c r="R916" i="1" s="1"/>
  <c r="Q916" i="1"/>
  <c r="S915" i="1"/>
  <c r="R915" i="1" a="1"/>
  <c r="R915" i="1" s="1"/>
  <c r="Q915" i="1"/>
  <c r="S914" i="1"/>
  <c r="R914" i="1" a="1"/>
  <c r="R914" i="1" s="1"/>
  <c r="Q914" i="1"/>
  <c r="S913" i="1"/>
  <c r="R913" i="1" a="1"/>
  <c r="R913" i="1" s="1"/>
  <c r="Q913" i="1"/>
  <c r="S912" i="1"/>
  <c r="R912" i="1" a="1"/>
  <c r="R912" i="1" s="1"/>
  <c r="Q912" i="1"/>
  <c r="S911" i="1"/>
  <c r="R911" i="1" a="1"/>
  <c r="R911" i="1" s="1"/>
  <c r="Q911" i="1"/>
  <c r="S910" i="1"/>
  <c r="R910" i="1" a="1"/>
  <c r="R910" i="1" s="1"/>
  <c r="Q910" i="1"/>
  <c r="S909" i="1"/>
  <c r="R909" i="1" a="1"/>
  <c r="R909" i="1" s="1"/>
  <c r="Q909" i="1"/>
  <c r="S908" i="1"/>
  <c r="R908" i="1" a="1"/>
  <c r="R908" i="1" s="1"/>
  <c r="Q908" i="1"/>
  <c r="S907" i="1"/>
  <c r="R907" i="1" a="1"/>
  <c r="R907" i="1" s="1"/>
  <c r="Q907" i="1"/>
  <c r="S906" i="1"/>
  <c r="R906" i="1"/>
  <c r="R906" i="1" a="1"/>
  <c r="Q906" i="1"/>
  <c r="S905" i="1"/>
  <c r="R905" i="1" a="1"/>
  <c r="R905" i="1" s="1"/>
  <c r="Q905" i="1"/>
  <c r="S904" i="1"/>
  <c r="R904" i="1" a="1"/>
  <c r="R904" i="1" s="1"/>
  <c r="Q904" i="1"/>
  <c r="S903" i="1"/>
  <c r="R903" i="1" a="1"/>
  <c r="R903" i="1" s="1"/>
  <c r="Q903" i="1"/>
  <c r="S902" i="1"/>
  <c r="R902" i="1" a="1"/>
  <c r="R902" i="1" s="1"/>
  <c r="Q902" i="1"/>
  <c r="S901" i="1"/>
  <c r="R901" i="1" a="1"/>
  <c r="R901" i="1" s="1"/>
  <c r="Q901" i="1"/>
  <c r="S900" i="1"/>
  <c r="R900" i="1" a="1"/>
  <c r="R900" i="1" s="1"/>
  <c r="Q900" i="1"/>
  <c r="S899" i="1"/>
  <c r="R899" i="1" a="1"/>
  <c r="R899" i="1" s="1"/>
  <c r="Q899" i="1"/>
  <c r="S898" i="1"/>
  <c r="R898" i="1" a="1"/>
  <c r="R898" i="1" s="1"/>
  <c r="Q898" i="1"/>
  <c r="S897" i="1"/>
  <c r="R897" i="1" a="1"/>
  <c r="R897" i="1" s="1"/>
  <c r="Q897" i="1"/>
  <c r="S896" i="1"/>
  <c r="R896" i="1" a="1"/>
  <c r="R896" i="1" s="1"/>
  <c r="Q896" i="1"/>
  <c r="S895" i="1"/>
  <c r="R895" i="1" a="1"/>
  <c r="R895" i="1" s="1"/>
  <c r="Q895" i="1"/>
  <c r="S894" i="1"/>
  <c r="R894" i="1" a="1"/>
  <c r="R894" i="1" s="1"/>
  <c r="Q894" i="1"/>
  <c r="S893" i="1"/>
  <c r="R893" i="1" a="1"/>
  <c r="R893" i="1" s="1"/>
  <c r="Q893" i="1"/>
  <c r="S892" i="1"/>
  <c r="R892" i="1" a="1"/>
  <c r="R892" i="1" s="1"/>
  <c r="Q892" i="1"/>
  <c r="S891" i="1"/>
  <c r="R891" i="1" a="1"/>
  <c r="R891" i="1" s="1"/>
  <c r="Q891" i="1"/>
  <c r="S890" i="1"/>
  <c r="R890" i="1" a="1"/>
  <c r="R890" i="1" s="1"/>
  <c r="Q890" i="1"/>
  <c r="S889" i="1"/>
  <c r="R889" i="1" a="1"/>
  <c r="R889" i="1" s="1"/>
  <c r="Q889" i="1"/>
  <c r="S888" i="1"/>
  <c r="R888" i="1" a="1"/>
  <c r="R888" i="1" s="1"/>
  <c r="Q888" i="1"/>
  <c r="S887" i="1"/>
  <c r="R887" i="1" a="1"/>
  <c r="R887" i="1" s="1"/>
  <c r="Q887" i="1"/>
  <c r="S886" i="1"/>
  <c r="R886" i="1" a="1"/>
  <c r="R886" i="1" s="1"/>
  <c r="Q886" i="1"/>
  <c r="S885" i="1"/>
  <c r="R885" i="1" a="1"/>
  <c r="R885" i="1" s="1"/>
  <c r="Q885" i="1"/>
  <c r="S884" i="1"/>
  <c r="R884" i="1" a="1"/>
  <c r="R884" i="1" s="1"/>
  <c r="Q884" i="1"/>
  <c r="S883" i="1"/>
  <c r="R883" i="1" a="1"/>
  <c r="R883" i="1" s="1"/>
  <c r="Q883" i="1"/>
  <c r="S882" i="1"/>
  <c r="R882" i="1" a="1"/>
  <c r="R882" i="1" s="1"/>
  <c r="Q882" i="1"/>
  <c r="S881" i="1"/>
  <c r="R881" i="1" a="1"/>
  <c r="R881" i="1" s="1"/>
  <c r="Q881" i="1"/>
  <c r="S880" i="1"/>
  <c r="R880" i="1" a="1"/>
  <c r="R880" i="1" s="1"/>
  <c r="Q880" i="1"/>
  <c r="S879" i="1"/>
  <c r="R879" i="1" a="1"/>
  <c r="R879" i="1" s="1"/>
  <c r="Q879" i="1"/>
  <c r="S878" i="1"/>
  <c r="R878" i="1" a="1"/>
  <c r="R878" i="1" s="1"/>
  <c r="Q878" i="1"/>
  <c r="S877" i="1"/>
  <c r="R877" i="1" a="1"/>
  <c r="R877" i="1" s="1"/>
  <c r="Q877" i="1"/>
  <c r="S876" i="1"/>
  <c r="R876" i="1" a="1"/>
  <c r="R876" i="1" s="1"/>
  <c r="Q876" i="1"/>
  <c r="S875" i="1"/>
  <c r="R875" i="1" a="1"/>
  <c r="R875" i="1" s="1"/>
  <c r="Q875" i="1"/>
  <c r="S874" i="1"/>
  <c r="R874" i="1" a="1"/>
  <c r="R874" i="1" s="1"/>
  <c r="Q874" i="1"/>
  <c r="S873" i="1"/>
  <c r="R873" i="1" a="1"/>
  <c r="R873" i="1" s="1"/>
  <c r="Q873" i="1"/>
  <c r="S872" i="1"/>
  <c r="R872" i="1" a="1"/>
  <c r="R872" i="1" s="1"/>
  <c r="Q872" i="1"/>
  <c r="S871" i="1"/>
  <c r="R871" i="1" a="1"/>
  <c r="R871" i="1" s="1"/>
  <c r="Q871" i="1"/>
  <c r="S870" i="1"/>
  <c r="R870" i="1" a="1"/>
  <c r="R870" i="1" s="1"/>
  <c r="Q870" i="1"/>
  <c r="S869" i="1"/>
  <c r="R869" i="1" a="1"/>
  <c r="R869" i="1" s="1"/>
  <c r="Q869" i="1"/>
  <c r="S868" i="1"/>
  <c r="R868" i="1" a="1"/>
  <c r="R868" i="1" s="1"/>
  <c r="Q868" i="1"/>
  <c r="S867" i="1"/>
  <c r="R867" i="1" a="1"/>
  <c r="R867" i="1" s="1"/>
  <c r="Q867" i="1"/>
  <c r="S866" i="1"/>
  <c r="R866" i="1" a="1"/>
  <c r="R866" i="1" s="1"/>
  <c r="Q866" i="1"/>
  <c r="S865" i="1"/>
  <c r="R865" i="1" a="1"/>
  <c r="R865" i="1" s="1"/>
  <c r="Q865" i="1"/>
  <c r="S864" i="1"/>
  <c r="R864" i="1" a="1"/>
  <c r="R864" i="1" s="1"/>
  <c r="Q864" i="1"/>
  <c r="S863" i="1"/>
  <c r="R863" i="1" a="1"/>
  <c r="R863" i="1" s="1"/>
  <c r="Q863" i="1"/>
  <c r="S862" i="1"/>
  <c r="R862" i="1" a="1"/>
  <c r="R862" i="1" s="1"/>
  <c r="Q862" i="1"/>
  <c r="S861" i="1"/>
  <c r="R861" i="1" a="1"/>
  <c r="R861" i="1" s="1"/>
  <c r="Q861" i="1"/>
  <c r="S860" i="1"/>
  <c r="R860" i="1" a="1"/>
  <c r="R860" i="1" s="1"/>
  <c r="Q860" i="1"/>
  <c r="S859" i="1"/>
  <c r="R859" i="1" a="1"/>
  <c r="R859" i="1" s="1"/>
  <c r="Q859" i="1"/>
  <c r="S858" i="1"/>
  <c r="R858" i="1" a="1"/>
  <c r="R858" i="1" s="1"/>
  <c r="Q858" i="1"/>
  <c r="S857" i="1"/>
  <c r="R857" i="1" a="1"/>
  <c r="R857" i="1" s="1"/>
  <c r="Q857" i="1"/>
  <c r="S856" i="1"/>
  <c r="R856" i="1" a="1"/>
  <c r="R856" i="1" s="1"/>
  <c r="Q856" i="1"/>
  <c r="S855" i="1"/>
  <c r="R855" i="1" a="1"/>
  <c r="R855" i="1" s="1"/>
  <c r="Q855" i="1"/>
  <c r="S854" i="1"/>
  <c r="R854" i="1" a="1"/>
  <c r="R854" i="1" s="1"/>
  <c r="Q854" i="1"/>
  <c r="S853" i="1"/>
  <c r="R853" i="1" a="1"/>
  <c r="R853" i="1" s="1"/>
  <c r="Q853" i="1"/>
  <c r="S852" i="1"/>
  <c r="R852" i="1" a="1"/>
  <c r="R852" i="1" s="1"/>
  <c r="Q852" i="1"/>
  <c r="S851" i="1"/>
  <c r="R851" i="1"/>
  <c r="R851" i="1" a="1"/>
  <c r="Q851" i="1"/>
  <c r="S850" i="1"/>
  <c r="R850" i="1" a="1"/>
  <c r="R850" i="1" s="1"/>
  <c r="Q850" i="1"/>
  <c r="S849" i="1"/>
  <c r="R849" i="1" a="1"/>
  <c r="R849" i="1" s="1"/>
  <c r="Q849" i="1"/>
  <c r="S848" i="1"/>
  <c r="R848" i="1" a="1"/>
  <c r="R848" i="1" s="1"/>
  <c r="Q848" i="1"/>
  <c r="S847" i="1"/>
  <c r="R847" i="1" a="1"/>
  <c r="R847" i="1" s="1"/>
  <c r="Q847" i="1"/>
  <c r="S846" i="1"/>
  <c r="R846" i="1" a="1"/>
  <c r="R846" i="1" s="1"/>
  <c r="Q846" i="1"/>
  <c r="S845" i="1"/>
  <c r="R845" i="1" a="1"/>
  <c r="R845" i="1" s="1"/>
  <c r="Q845" i="1"/>
  <c r="S844" i="1"/>
  <c r="R844" i="1" a="1"/>
  <c r="R844" i="1" s="1"/>
  <c r="Q844" i="1"/>
  <c r="S843" i="1"/>
  <c r="R843" i="1" a="1"/>
  <c r="R843" i="1" s="1"/>
  <c r="Q843" i="1"/>
  <c r="S842" i="1"/>
  <c r="R842" i="1" a="1"/>
  <c r="R842" i="1" s="1"/>
  <c r="Q842" i="1"/>
  <c r="S841" i="1"/>
  <c r="R841" i="1" a="1"/>
  <c r="R841" i="1" s="1"/>
  <c r="Q841" i="1"/>
  <c r="S840" i="1"/>
  <c r="R840" i="1" a="1"/>
  <c r="R840" i="1" s="1"/>
  <c r="Q840" i="1"/>
  <c r="S839" i="1"/>
  <c r="R839" i="1" a="1"/>
  <c r="R839" i="1" s="1"/>
  <c r="Q839" i="1"/>
  <c r="S838" i="1"/>
  <c r="R838" i="1" a="1"/>
  <c r="R838" i="1" s="1"/>
  <c r="Q838" i="1"/>
  <c r="S837" i="1"/>
  <c r="R837" i="1" a="1"/>
  <c r="R837" i="1" s="1"/>
  <c r="Q837" i="1"/>
  <c r="S836" i="1"/>
  <c r="R836" i="1" a="1"/>
  <c r="R836" i="1" s="1"/>
  <c r="Q836" i="1"/>
  <c r="S835" i="1"/>
  <c r="R835" i="1" a="1"/>
  <c r="R835" i="1" s="1"/>
  <c r="Q835" i="1"/>
  <c r="S834" i="1"/>
  <c r="R834" i="1" a="1"/>
  <c r="R834" i="1" s="1"/>
  <c r="Q834" i="1"/>
  <c r="S833" i="1"/>
  <c r="R833" i="1" a="1"/>
  <c r="R833" i="1" s="1"/>
  <c r="Q833" i="1"/>
  <c r="S832" i="1"/>
  <c r="R832" i="1" a="1"/>
  <c r="R832" i="1" s="1"/>
  <c r="Q832" i="1"/>
  <c r="S831" i="1"/>
  <c r="R831" i="1" a="1"/>
  <c r="R831" i="1" s="1"/>
  <c r="Q831" i="1"/>
  <c r="S830" i="1"/>
  <c r="R830" i="1" a="1"/>
  <c r="R830" i="1" s="1"/>
  <c r="Q830" i="1"/>
  <c r="S829" i="1"/>
  <c r="R829" i="1" a="1"/>
  <c r="R829" i="1" s="1"/>
  <c r="Q829" i="1"/>
  <c r="S828" i="1"/>
  <c r="R828" i="1"/>
  <c r="R828" i="1" a="1"/>
  <c r="Q828" i="1"/>
  <c r="S827" i="1"/>
  <c r="R827" i="1" a="1"/>
  <c r="R827" i="1" s="1"/>
  <c r="Q827" i="1"/>
  <c r="S826" i="1"/>
  <c r="R826" i="1" a="1"/>
  <c r="R826" i="1" s="1"/>
  <c r="Q826" i="1"/>
  <c r="S825" i="1"/>
  <c r="R825" i="1" a="1"/>
  <c r="R825" i="1" s="1"/>
  <c r="Q825" i="1"/>
  <c r="S824" i="1"/>
  <c r="R824" i="1" a="1"/>
  <c r="R824" i="1" s="1"/>
  <c r="Q824" i="1"/>
  <c r="S823" i="1"/>
  <c r="R823" i="1" a="1"/>
  <c r="R823" i="1" s="1"/>
  <c r="Q823" i="1"/>
  <c r="S822" i="1"/>
  <c r="R822" i="1" a="1"/>
  <c r="R822" i="1" s="1"/>
  <c r="Q822" i="1"/>
  <c r="S821" i="1"/>
  <c r="R821" i="1" a="1"/>
  <c r="R821" i="1" s="1"/>
  <c r="Q821" i="1"/>
  <c r="S820" i="1"/>
  <c r="R820" i="1" a="1"/>
  <c r="R820" i="1" s="1"/>
  <c r="Q820" i="1"/>
  <c r="S819" i="1"/>
  <c r="R819" i="1" a="1"/>
  <c r="R819" i="1" s="1"/>
  <c r="Q819" i="1"/>
  <c r="S818" i="1"/>
  <c r="R818" i="1" a="1"/>
  <c r="R818" i="1" s="1"/>
  <c r="Q818" i="1"/>
  <c r="S817" i="1"/>
  <c r="R817" i="1" a="1"/>
  <c r="R817" i="1" s="1"/>
  <c r="Q817" i="1"/>
  <c r="S816" i="1"/>
  <c r="R816" i="1" a="1"/>
  <c r="R816" i="1" s="1"/>
  <c r="Q816" i="1"/>
  <c r="S815" i="1"/>
  <c r="R815" i="1" a="1"/>
  <c r="R815" i="1" s="1"/>
  <c r="Q815" i="1"/>
  <c r="S814" i="1"/>
  <c r="R814" i="1" a="1"/>
  <c r="R814" i="1" s="1"/>
  <c r="Q814" i="1"/>
  <c r="S813" i="1"/>
  <c r="R813" i="1" a="1"/>
  <c r="R813" i="1" s="1"/>
  <c r="Q813" i="1"/>
  <c r="S812" i="1"/>
  <c r="R812" i="1" a="1"/>
  <c r="R812" i="1" s="1"/>
  <c r="Q812" i="1"/>
  <c r="S811" i="1"/>
  <c r="R811" i="1" a="1"/>
  <c r="R811" i="1" s="1"/>
  <c r="Q811" i="1"/>
  <c r="S810" i="1"/>
  <c r="R810" i="1" a="1"/>
  <c r="R810" i="1" s="1"/>
  <c r="Q810" i="1"/>
  <c r="S809" i="1"/>
  <c r="R809" i="1" a="1"/>
  <c r="R809" i="1" s="1"/>
  <c r="Q809" i="1"/>
  <c r="S808" i="1"/>
  <c r="R808" i="1" a="1"/>
  <c r="R808" i="1" s="1"/>
  <c r="Q808" i="1"/>
  <c r="S807" i="1"/>
  <c r="R807" i="1" a="1"/>
  <c r="R807" i="1" s="1"/>
  <c r="Q807" i="1"/>
  <c r="S806" i="1"/>
  <c r="R806" i="1" a="1"/>
  <c r="R806" i="1" s="1"/>
  <c r="Q806" i="1"/>
  <c r="S805" i="1"/>
  <c r="R805" i="1" a="1"/>
  <c r="R805" i="1" s="1"/>
  <c r="Q805" i="1"/>
  <c r="S804" i="1"/>
  <c r="R804" i="1" a="1"/>
  <c r="R804" i="1" s="1"/>
  <c r="Q804" i="1"/>
  <c r="S803" i="1"/>
  <c r="R803" i="1" a="1"/>
  <c r="R803" i="1" s="1"/>
  <c r="Q803" i="1"/>
  <c r="S802" i="1"/>
  <c r="R802" i="1" a="1"/>
  <c r="R802" i="1" s="1"/>
  <c r="Q802" i="1"/>
  <c r="S801" i="1"/>
  <c r="R801" i="1" a="1"/>
  <c r="R801" i="1" s="1"/>
  <c r="Q801" i="1"/>
  <c r="S800" i="1"/>
  <c r="R800" i="1" a="1"/>
  <c r="R800" i="1" s="1"/>
  <c r="Q800" i="1"/>
  <c r="S799" i="1"/>
  <c r="R799" i="1" a="1"/>
  <c r="R799" i="1" s="1"/>
  <c r="Q799" i="1"/>
  <c r="S798" i="1"/>
  <c r="R798" i="1" a="1"/>
  <c r="R798" i="1" s="1"/>
  <c r="Q798" i="1"/>
  <c r="S797" i="1"/>
  <c r="R797" i="1" a="1"/>
  <c r="R797" i="1" s="1"/>
  <c r="Q797" i="1"/>
  <c r="S796" i="1"/>
  <c r="R796" i="1" a="1"/>
  <c r="R796" i="1" s="1"/>
  <c r="Q796" i="1"/>
  <c r="S795" i="1"/>
  <c r="R795" i="1" a="1"/>
  <c r="R795" i="1" s="1"/>
  <c r="Q795" i="1"/>
  <c r="S794" i="1"/>
  <c r="R794" i="1" a="1"/>
  <c r="R794" i="1" s="1"/>
  <c r="Q794" i="1"/>
  <c r="S793" i="1"/>
  <c r="R793" i="1" a="1"/>
  <c r="R793" i="1" s="1"/>
  <c r="Q793" i="1"/>
  <c r="S792" i="1"/>
  <c r="R792" i="1" a="1"/>
  <c r="R792" i="1" s="1"/>
  <c r="Q792" i="1"/>
  <c r="S791" i="1"/>
  <c r="R791" i="1" a="1"/>
  <c r="R791" i="1" s="1"/>
  <c r="Q791" i="1"/>
  <c r="S790" i="1"/>
  <c r="R790" i="1" a="1"/>
  <c r="R790" i="1" s="1"/>
  <c r="Q790" i="1"/>
  <c r="S789" i="1"/>
  <c r="R789" i="1" a="1"/>
  <c r="R789" i="1" s="1"/>
  <c r="Q789" i="1"/>
  <c r="S788" i="1"/>
  <c r="R788" i="1" a="1"/>
  <c r="R788" i="1" s="1"/>
  <c r="Q788" i="1"/>
  <c r="S787" i="1"/>
  <c r="R787" i="1" a="1"/>
  <c r="R787" i="1" s="1"/>
  <c r="Q787" i="1"/>
  <c r="S786" i="1"/>
  <c r="R786" i="1" a="1"/>
  <c r="R786" i="1" s="1"/>
  <c r="Q786" i="1"/>
  <c r="S785" i="1"/>
  <c r="R785" i="1" a="1"/>
  <c r="R785" i="1" s="1"/>
  <c r="Q785" i="1"/>
  <c r="S784" i="1"/>
  <c r="R784" i="1" a="1"/>
  <c r="R784" i="1" s="1"/>
  <c r="Q784" i="1"/>
  <c r="S783" i="1"/>
  <c r="R783" i="1" a="1"/>
  <c r="R783" i="1" s="1"/>
  <c r="Q783" i="1"/>
  <c r="S782" i="1"/>
  <c r="R782" i="1" a="1"/>
  <c r="R782" i="1" s="1"/>
  <c r="Q782" i="1"/>
  <c r="S781" i="1"/>
  <c r="R781" i="1" a="1"/>
  <c r="R781" i="1" s="1"/>
  <c r="Q781" i="1"/>
  <c r="S780" i="1"/>
  <c r="R780" i="1" a="1"/>
  <c r="R780" i="1" s="1"/>
  <c r="Q780" i="1"/>
  <c r="S779" i="1"/>
  <c r="R779" i="1" a="1"/>
  <c r="R779" i="1" s="1"/>
  <c r="Q779" i="1"/>
  <c r="S778" i="1"/>
  <c r="R778" i="1" a="1"/>
  <c r="R778" i="1" s="1"/>
  <c r="Q778" i="1"/>
  <c r="S777" i="1"/>
  <c r="R777" i="1" a="1"/>
  <c r="R777" i="1" s="1"/>
  <c r="Q777" i="1"/>
  <c r="S776" i="1"/>
  <c r="R776" i="1" a="1"/>
  <c r="R776" i="1" s="1"/>
  <c r="Q776" i="1"/>
  <c r="S775" i="1"/>
  <c r="R775" i="1" a="1"/>
  <c r="R775" i="1" s="1"/>
  <c r="Q775" i="1"/>
  <c r="S774" i="1"/>
  <c r="R774" i="1" a="1"/>
  <c r="R774" i="1" s="1"/>
  <c r="Q774" i="1"/>
  <c r="S773" i="1"/>
  <c r="R773" i="1" a="1"/>
  <c r="R773" i="1" s="1"/>
  <c r="Q773" i="1"/>
  <c r="S772" i="1"/>
  <c r="R772" i="1" a="1"/>
  <c r="R772" i="1" s="1"/>
  <c r="Q772" i="1"/>
  <c r="S771" i="1"/>
  <c r="R771" i="1" a="1"/>
  <c r="R771" i="1" s="1"/>
  <c r="Q771" i="1"/>
  <c r="S770" i="1"/>
  <c r="R770" i="1" a="1"/>
  <c r="R770" i="1" s="1"/>
  <c r="Q770" i="1"/>
  <c r="S769" i="1"/>
  <c r="R769" i="1" a="1"/>
  <c r="R769" i="1" s="1"/>
  <c r="Q769" i="1"/>
  <c r="S768" i="1"/>
  <c r="R768" i="1" a="1"/>
  <c r="R768" i="1" s="1"/>
  <c r="Q768" i="1"/>
  <c r="S767" i="1"/>
  <c r="R767" i="1" a="1"/>
  <c r="R767" i="1" s="1"/>
  <c r="Q767" i="1"/>
  <c r="S766" i="1"/>
  <c r="R766" i="1" a="1"/>
  <c r="R766" i="1" s="1"/>
  <c r="Q766" i="1"/>
  <c r="S765" i="1"/>
  <c r="R765" i="1" a="1"/>
  <c r="R765" i="1" s="1"/>
  <c r="Q765" i="1"/>
  <c r="S764" i="1"/>
  <c r="R764" i="1" a="1"/>
  <c r="R764" i="1" s="1"/>
  <c r="Q764" i="1"/>
  <c r="S763" i="1"/>
  <c r="R763" i="1" a="1"/>
  <c r="R763" i="1" s="1"/>
  <c r="Q763" i="1"/>
  <c r="S762" i="1"/>
  <c r="R762" i="1" a="1"/>
  <c r="R762" i="1" s="1"/>
  <c r="Q762" i="1"/>
  <c r="S761" i="1"/>
  <c r="R761" i="1" a="1"/>
  <c r="R761" i="1" s="1"/>
  <c r="Q761" i="1"/>
  <c r="S760" i="1"/>
  <c r="R760" i="1" a="1"/>
  <c r="R760" i="1" s="1"/>
  <c r="Q760" i="1"/>
  <c r="S759" i="1"/>
  <c r="R759" i="1" a="1"/>
  <c r="R759" i="1" s="1"/>
  <c r="Q759" i="1"/>
  <c r="S758" i="1"/>
  <c r="R758" i="1" a="1"/>
  <c r="R758" i="1" s="1"/>
  <c r="Q758" i="1"/>
  <c r="S757" i="1"/>
  <c r="R757" i="1" a="1"/>
  <c r="R757" i="1" s="1"/>
  <c r="Q757" i="1"/>
  <c r="S756" i="1"/>
  <c r="R756" i="1" a="1"/>
  <c r="R756" i="1" s="1"/>
  <c r="Q756" i="1"/>
  <c r="S755" i="1"/>
  <c r="R755" i="1" a="1"/>
  <c r="R755" i="1" s="1"/>
  <c r="Q755" i="1"/>
  <c r="S754" i="1"/>
  <c r="R754" i="1" a="1"/>
  <c r="R754" i="1" s="1"/>
  <c r="Q754" i="1"/>
  <c r="S753" i="1"/>
  <c r="R753" i="1" a="1"/>
  <c r="R753" i="1" s="1"/>
  <c r="Q753" i="1"/>
  <c r="S752" i="1"/>
  <c r="R752" i="1" a="1"/>
  <c r="R752" i="1" s="1"/>
  <c r="Q752" i="1"/>
  <c r="S751" i="1"/>
  <c r="R751" i="1" a="1"/>
  <c r="R751" i="1" s="1"/>
  <c r="Q751" i="1"/>
  <c r="S750" i="1"/>
  <c r="R750" i="1" a="1"/>
  <c r="R750" i="1" s="1"/>
  <c r="Q750" i="1"/>
  <c r="S749" i="1"/>
  <c r="R749" i="1" a="1"/>
  <c r="R749" i="1" s="1"/>
  <c r="Q749" i="1"/>
  <c r="S748" i="1"/>
  <c r="R748" i="1" a="1"/>
  <c r="R748" i="1" s="1"/>
  <c r="Q748" i="1"/>
  <c r="S747" i="1"/>
  <c r="R747" i="1" a="1"/>
  <c r="R747" i="1" s="1"/>
  <c r="Q747" i="1"/>
  <c r="S746" i="1"/>
  <c r="R746" i="1" a="1"/>
  <c r="R746" i="1" s="1"/>
  <c r="Q746" i="1"/>
  <c r="S745" i="1"/>
  <c r="R745" i="1" a="1"/>
  <c r="R745" i="1" s="1"/>
  <c r="Q745" i="1"/>
  <c r="S744" i="1"/>
  <c r="R744" i="1" a="1"/>
  <c r="R744" i="1" s="1"/>
  <c r="Q744" i="1"/>
  <c r="S743" i="1"/>
  <c r="R743" i="1" a="1"/>
  <c r="R743" i="1" s="1"/>
  <c r="Q743" i="1"/>
  <c r="S742" i="1"/>
  <c r="R742" i="1" a="1"/>
  <c r="R742" i="1" s="1"/>
  <c r="Q742" i="1"/>
  <c r="S741" i="1"/>
  <c r="R741" i="1" a="1"/>
  <c r="R741" i="1" s="1"/>
  <c r="Q741" i="1"/>
  <c r="S740" i="1"/>
  <c r="R740" i="1" a="1"/>
  <c r="R740" i="1" s="1"/>
  <c r="Q740" i="1"/>
  <c r="S739" i="1"/>
  <c r="R739" i="1" a="1"/>
  <c r="R739" i="1" s="1"/>
  <c r="Q739" i="1"/>
  <c r="S738" i="1"/>
  <c r="R738" i="1" a="1"/>
  <c r="R738" i="1" s="1"/>
  <c r="Q738" i="1"/>
  <c r="S737" i="1"/>
  <c r="R737" i="1" a="1"/>
  <c r="R737" i="1" s="1"/>
  <c r="Q737" i="1"/>
  <c r="S736" i="1"/>
  <c r="R736" i="1" a="1"/>
  <c r="R736" i="1" s="1"/>
  <c r="Q736" i="1"/>
  <c r="S735" i="1"/>
  <c r="R735" i="1" a="1"/>
  <c r="R735" i="1" s="1"/>
  <c r="Q735" i="1"/>
  <c r="S734" i="1"/>
  <c r="R734" i="1" a="1"/>
  <c r="R734" i="1" s="1"/>
  <c r="Q734" i="1"/>
  <c r="S733" i="1"/>
  <c r="R733" i="1" a="1"/>
  <c r="R733" i="1" s="1"/>
  <c r="Q733" i="1"/>
  <c r="S732" i="1"/>
  <c r="R732" i="1" a="1"/>
  <c r="R732" i="1" s="1"/>
  <c r="Q732" i="1"/>
  <c r="S731" i="1"/>
  <c r="R731" i="1" a="1"/>
  <c r="R731" i="1" s="1"/>
  <c r="Q731" i="1"/>
  <c r="S730" i="1"/>
  <c r="R730" i="1" a="1"/>
  <c r="R730" i="1" s="1"/>
  <c r="Q730" i="1"/>
  <c r="S729" i="1"/>
  <c r="R729" i="1" a="1"/>
  <c r="R729" i="1" s="1"/>
  <c r="Q729" i="1"/>
  <c r="S728" i="1"/>
  <c r="R728" i="1" a="1"/>
  <c r="R728" i="1" s="1"/>
  <c r="Q728" i="1"/>
  <c r="S727" i="1"/>
  <c r="R727" i="1" a="1"/>
  <c r="R727" i="1" s="1"/>
  <c r="Q727" i="1"/>
  <c r="S726" i="1"/>
  <c r="R726" i="1" a="1"/>
  <c r="R726" i="1" s="1"/>
  <c r="Q726" i="1"/>
  <c r="S725" i="1"/>
  <c r="R725" i="1" a="1"/>
  <c r="R725" i="1" s="1"/>
  <c r="Q725" i="1"/>
  <c r="S724" i="1"/>
  <c r="R724" i="1" a="1"/>
  <c r="R724" i="1" s="1"/>
  <c r="Q724" i="1"/>
  <c r="S723" i="1"/>
  <c r="R723" i="1" a="1"/>
  <c r="R723" i="1" s="1"/>
  <c r="Q723" i="1"/>
  <c r="S722" i="1"/>
  <c r="R722" i="1" a="1"/>
  <c r="R722" i="1" s="1"/>
  <c r="Q722" i="1"/>
  <c r="S721" i="1"/>
  <c r="R721" i="1" a="1"/>
  <c r="R721" i="1" s="1"/>
  <c r="Q721" i="1"/>
  <c r="S720" i="1"/>
  <c r="R720" i="1" a="1"/>
  <c r="R720" i="1" s="1"/>
  <c r="Q720" i="1"/>
  <c r="S719" i="1"/>
  <c r="R719" i="1" a="1"/>
  <c r="R719" i="1" s="1"/>
  <c r="Q719" i="1"/>
  <c r="S718" i="1"/>
  <c r="R718" i="1" a="1"/>
  <c r="R718" i="1" s="1"/>
  <c r="Q718" i="1"/>
  <c r="S717" i="1"/>
  <c r="R717" i="1" a="1"/>
  <c r="R717" i="1" s="1"/>
  <c r="Q717" i="1"/>
  <c r="S716" i="1"/>
  <c r="R716" i="1" a="1"/>
  <c r="R716" i="1" s="1"/>
  <c r="Q716" i="1"/>
  <c r="S715" i="1"/>
  <c r="R715" i="1" a="1"/>
  <c r="R715" i="1" s="1"/>
  <c r="Q715" i="1"/>
  <c r="S714" i="1"/>
  <c r="R714" i="1" a="1"/>
  <c r="R714" i="1" s="1"/>
  <c r="Q714" i="1"/>
  <c r="S713" i="1"/>
  <c r="R713" i="1" a="1"/>
  <c r="R713" i="1" s="1"/>
  <c r="Q713" i="1"/>
  <c r="S712" i="1"/>
  <c r="R712" i="1" a="1"/>
  <c r="R712" i="1" s="1"/>
  <c r="Q712" i="1"/>
  <c r="S711" i="1"/>
  <c r="R711" i="1" a="1"/>
  <c r="R711" i="1" s="1"/>
  <c r="Q711" i="1"/>
  <c r="S710" i="1"/>
  <c r="R710" i="1" a="1"/>
  <c r="R710" i="1" s="1"/>
  <c r="Q710" i="1"/>
  <c r="S709" i="1"/>
  <c r="R709" i="1" a="1"/>
  <c r="R709" i="1" s="1"/>
  <c r="Q709" i="1"/>
  <c r="S708" i="1"/>
  <c r="R708" i="1" a="1"/>
  <c r="R708" i="1" s="1"/>
  <c r="Q708" i="1"/>
  <c r="S707" i="1"/>
  <c r="R707" i="1" a="1"/>
  <c r="R707" i="1" s="1"/>
  <c r="Q707" i="1"/>
  <c r="S706" i="1"/>
  <c r="R706" i="1" a="1"/>
  <c r="R706" i="1" s="1"/>
  <c r="Q706" i="1"/>
  <c r="S705" i="1"/>
  <c r="R705" i="1" a="1"/>
  <c r="R705" i="1" s="1"/>
  <c r="Q705" i="1"/>
  <c r="S704" i="1"/>
  <c r="R704" i="1" a="1"/>
  <c r="R704" i="1" s="1"/>
  <c r="Q704" i="1"/>
  <c r="S703" i="1"/>
  <c r="R703" i="1" a="1"/>
  <c r="R703" i="1" s="1"/>
  <c r="Q703" i="1"/>
  <c r="S702" i="1"/>
  <c r="R702" i="1" a="1"/>
  <c r="R702" i="1" s="1"/>
  <c r="Q702" i="1"/>
  <c r="S701" i="1"/>
  <c r="R701" i="1" a="1"/>
  <c r="R701" i="1" s="1"/>
  <c r="Q701" i="1"/>
  <c r="S700" i="1"/>
  <c r="R700" i="1" a="1"/>
  <c r="R700" i="1" s="1"/>
  <c r="Q700" i="1"/>
  <c r="S699" i="1"/>
  <c r="R699" i="1" a="1"/>
  <c r="R699" i="1" s="1"/>
  <c r="Q699" i="1"/>
  <c r="S698" i="1"/>
  <c r="R698" i="1" a="1"/>
  <c r="R698" i="1" s="1"/>
  <c r="Q698" i="1"/>
  <c r="S697" i="1"/>
  <c r="R697" i="1" a="1"/>
  <c r="R697" i="1" s="1"/>
  <c r="Q697" i="1"/>
  <c r="S696" i="1"/>
  <c r="R696" i="1" a="1"/>
  <c r="R696" i="1" s="1"/>
  <c r="Q696" i="1"/>
  <c r="S695" i="1"/>
  <c r="R695" i="1" a="1"/>
  <c r="R695" i="1" s="1"/>
  <c r="Q695" i="1"/>
  <c r="S694" i="1"/>
  <c r="R694" i="1" a="1"/>
  <c r="R694" i="1" s="1"/>
  <c r="Q694" i="1"/>
  <c r="S693" i="1"/>
  <c r="R693" i="1" a="1"/>
  <c r="R693" i="1" s="1"/>
  <c r="Q693" i="1"/>
  <c r="S692" i="1"/>
  <c r="R692" i="1" a="1"/>
  <c r="R692" i="1" s="1"/>
  <c r="Q692" i="1"/>
  <c r="S691" i="1"/>
  <c r="R691" i="1" a="1"/>
  <c r="R691" i="1" s="1"/>
  <c r="Q691" i="1"/>
  <c r="S690" i="1"/>
  <c r="R690" i="1" a="1"/>
  <c r="R690" i="1" s="1"/>
  <c r="Q690" i="1"/>
  <c r="S689" i="1"/>
  <c r="R689" i="1" a="1"/>
  <c r="R689" i="1" s="1"/>
  <c r="Q689" i="1"/>
  <c r="S688" i="1"/>
  <c r="R688" i="1" a="1"/>
  <c r="R688" i="1" s="1"/>
  <c r="Q688" i="1"/>
  <c r="S687" i="1"/>
  <c r="R687" i="1" a="1"/>
  <c r="R687" i="1" s="1"/>
  <c r="Q687" i="1"/>
  <c r="S686" i="1"/>
  <c r="R686" i="1" a="1"/>
  <c r="R686" i="1" s="1"/>
  <c r="Q686" i="1"/>
  <c r="S685" i="1"/>
  <c r="R685" i="1" a="1"/>
  <c r="R685" i="1" s="1"/>
  <c r="Q685" i="1"/>
  <c r="S684" i="1"/>
  <c r="R684" i="1" a="1"/>
  <c r="R684" i="1" s="1"/>
  <c r="Q684" i="1"/>
  <c r="S683" i="1"/>
  <c r="R683" i="1" a="1"/>
  <c r="R683" i="1" s="1"/>
  <c r="Q683" i="1"/>
  <c r="S682" i="1"/>
  <c r="R682" i="1" a="1"/>
  <c r="R682" i="1" s="1"/>
  <c r="Q682" i="1"/>
  <c r="S681" i="1"/>
  <c r="R681" i="1" a="1"/>
  <c r="R681" i="1" s="1"/>
  <c r="Q681" i="1"/>
  <c r="S680" i="1"/>
  <c r="R680" i="1" a="1"/>
  <c r="R680" i="1" s="1"/>
  <c r="Q680" i="1"/>
  <c r="S679" i="1"/>
  <c r="R679" i="1" a="1"/>
  <c r="R679" i="1" s="1"/>
  <c r="Q679" i="1"/>
  <c r="S678" i="1"/>
  <c r="R678" i="1" a="1"/>
  <c r="R678" i="1" s="1"/>
  <c r="Q678" i="1"/>
  <c r="S677" i="1"/>
  <c r="R677" i="1" a="1"/>
  <c r="R677" i="1" s="1"/>
  <c r="Q677" i="1"/>
  <c r="S676" i="1"/>
  <c r="R676" i="1" a="1"/>
  <c r="R676" i="1" s="1"/>
  <c r="Q676" i="1"/>
  <c r="S675" i="1"/>
  <c r="R675" i="1" a="1"/>
  <c r="R675" i="1" s="1"/>
  <c r="Q675" i="1"/>
  <c r="S674" i="1"/>
  <c r="R674" i="1" a="1"/>
  <c r="R674" i="1" s="1"/>
  <c r="Q674" i="1"/>
  <c r="S673" i="1"/>
  <c r="R673" i="1" a="1"/>
  <c r="R673" i="1" s="1"/>
  <c r="Q673" i="1"/>
  <c r="S672" i="1"/>
  <c r="R672" i="1" a="1"/>
  <c r="R672" i="1" s="1"/>
  <c r="Q672" i="1"/>
  <c r="S671" i="1"/>
  <c r="R671" i="1" a="1"/>
  <c r="R671" i="1" s="1"/>
  <c r="Q671" i="1"/>
  <c r="S670" i="1"/>
  <c r="R670" i="1" a="1"/>
  <c r="R670" i="1" s="1"/>
  <c r="Q670" i="1"/>
  <c r="S669" i="1"/>
  <c r="R669" i="1" a="1"/>
  <c r="R669" i="1" s="1"/>
  <c r="Q669" i="1"/>
  <c r="S668" i="1"/>
  <c r="R668" i="1" a="1"/>
  <c r="R668" i="1" s="1"/>
  <c r="Q668" i="1"/>
  <c r="S667" i="1"/>
  <c r="R667" i="1" a="1"/>
  <c r="R667" i="1" s="1"/>
  <c r="Q667" i="1"/>
  <c r="S666" i="1"/>
  <c r="R666" i="1" a="1"/>
  <c r="R666" i="1" s="1"/>
  <c r="Q666" i="1"/>
  <c r="S665" i="1"/>
  <c r="R665" i="1" a="1"/>
  <c r="R665" i="1" s="1"/>
  <c r="Q665" i="1"/>
  <c r="S664" i="1"/>
  <c r="R664" i="1" a="1"/>
  <c r="R664" i="1" s="1"/>
  <c r="Q664" i="1"/>
  <c r="S663" i="1"/>
  <c r="R663" i="1" a="1"/>
  <c r="R663" i="1" s="1"/>
  <c r="Q663" i="1"/>
  <c r="S662" i="1"/>
  <c r="R662" i="1" a="1"/>
  <c r="R662" i="1" s="1"/>
  <c r="Q662" i="1"/>
  <c r="S661" i="1"/>
  <c r="R661" i="1" a="1"/>
  <c r="R661" i="1" s="1"/>
  <c r="Q661" i="1"/>
  <c r="S660" i="1"/>
  <c r="R660" i="1" a="1"/>
  <c r="R660" i="1" s="1"/>
  <c r="Q660" i="1"/>
  <c r="S659" i="1"/>
  <c r="R659" i="1" a="1"/>
  <c r="R659" i="1" s="1"/>
  <c r="Q659" i="1"/>
  <c r="S658" i="1"/>
  <c r="R658" i="1" a="1"/>
  <c r="R658" i="1" s="1"/>
  <c r="Q658" i="1"/>
  <c r="S657" i="1"/>
  <c r="R657" i="1" a="1"/>
  <c r="R657" i="1" s="1"/>
  <c r="Q657" i="1"/>
  <c r="S656" i="1"/>
  <c r="R656" i="1" a="1"/>
  <c r="R656" i="1" s="1"/>
  <c r="Q656" i="1"/>
  <c r="S655" i="1"/>
  <c r="R655" i="1" a="1"/>
  <c r="R655" i="1" s="1"/>
  <c r="Q655" i="1"/>
  <c r="S654" i="1"/>
  <c r="R654" i="1" a="1"/>
  <c r="R654" i="1" s="1"/>
  <c r="Q654" i="1"/>
  <c r="S653" i="1"/>
  <c r="R653" i="1" a="1"/>
  <c r="R653" i="1" s="1"/>
  <c r="Q653" i="1"/>
  <c r="S652" i="1"/>
  <c r="R652" i="1" a="1"/>
  <c r="R652" i="1" s="1"/>
  <c r="Q652" i="1"/>
  <c r="S651" i="1"/>
  <c r="R651" i="1" a="1"/>
  <c r="R651" i="1" s="1"/>
  <c r="Q651" i="1"/>
  <c r="S650" i="1"/>
  <c r="R650" i="1" a="1"/>
  <c r="R650" i="1" s="1"/>
  <c r="Q650" i="1"/>
  <c r="S649" i="1"/>
  <c r="R649" i="1" a="1"/>
  <c r="R649" i="1" s="1"/>
  <c r="Q649" i="1"/>
  <c r="S648" i="1"/>
  <c r="R648" i="1" a="1"/>
  <c r="R648" i="1" s="1"/>
  <c r="Q648" i="1"/>
  <c r="S647" i="1"/>
  <c r="R647" i="1" a="1"/>
  <c r="R647" i="1" s="1"/>
  <c r="Q647" i="1"/>
  <c r="S646" i="1"/>
  <c r="R646" i="1" a="1"/>
  <c r="R646" i="1" s="1"/>
  <c r="Q646" i="1"/>
  <c r="S645" i="1"/>
  <c r="R645" i="1" a="1"/>
  <c r="R645" i="1" s="1"/>
  <c r="Q645" i="1"/>
  <c r="S644" i="1"/>
  <c r="R644" i="1" a="1"/>
  <c r="R644" i="1" s="1"/>
  <c r="Q644" i="1"/>
  <c r="S643" i="1"/>
  <c r="R643" i="1" a="1"/>
  <c r="R643" i="1" s="1"/>
  <c r="Q643" i="1"/>
  <c r="S642" i="1"/>
  <c r="R642" i="1" a="1"/>
  <c r="R642" i="1" s="1"/>
  <c r="Q642" i="1"/>
  <c r="S641" i="1"/>
  <c r="R641" i="1" a="1"/>
  <c r="R641" i="1" s="1"/>
  <c r="Q641" i="1"/>
  <c r="S640" i="1"/>
  <c r="R640" i="1" a="1"/>
  <c r="R640" i="1" s="1"/>
  <c r="Q640" i="1"/>
  <c r="S639" i="1"/>
  <c r="R639" i="1" a="1"/>
  <c r="R639" i="1" s="1"/>
  <c r="Q639" i="1"/>
  <c r="S638" i="1"/>
  <c r="R638" i="1" a="1"/>
  <c r="R638" i="1" s="1"/>
  <c r="Q638" i="1"/>
  <c r="S637" i="1"/>
  <c r="R637" i="1" a="1"/>
  <c r="R637" i="1" s="1"/>
  <c r="Q637" i="1"/>
  <c r="S636" i="1"/>
  <c r="R636" i="1" a="1"/>
  <c r="R636" i="1" s="1"/>
  <c r="Q636" i="1"/>
  <c r="S635" i="1"/>
  <c r="R635" i="1" a="1"/>
  <c r="R635" i="1" s="1"/>
  <c r="Q635" i="1"/>
  <c r="S634" i="1"/>
  <c r="R634" i="1" a="1"/>
  <c r="R634" i="1" s="1"/>
  <c r="Q634" i="1"/>
  <c r="S633" i="1"/>
  <c r="R633" i="1" a="1"/>
  <c r="R633" i="1" s="1"/>
  <c r="Q633" i="1"/>
  <c r="S632" i="1"/>
  <c r="R632" i="1" a="1"/>
  <c r="R632" i="1" s="1"/>
  <c r="Q632" i="1"/>
  <c r="S631" i="1"/>
  <c r="R631" i="1" a="1"/>
  <c r="R631" i="1" s="1"/>
  <c r="Q631" i="1"/>
  <c r="S630" i="1"/>
  <c r="R630" i="1" a="1"/>
  <c r="R630" i="1" s="1"/>
  <c r="Q630" i="1"/>
  <c r="S629" i="1"/>
  <c r="R629" i="1" a="1"/>
  <c r="R629" i="1" s="1"/>
  <c r="Q629" i="1"/>
  <c r="S628" i="1"/>
  <c r="R628" i="1" a="1"/>
  <c r="R628" i="1" s="1"/>
  <c r="Q628" i="1"/>
  <c r="S627" i="1"/>
  <c r="R627" i="1" a="1"/>
  <c r="R627" i="1" s="1"/>
  <c r="Q627" i="1"/>
  <c r="S626" i="1"/>
  <c r="R626" i="1" a="1"/>
  <c r="R626" i="1" s="1"/>
  <c r="Q626" i="1"/>
  <c r="S625" i="1"/>
  <c r="R625" i="1" a="1"/>
  <c r="R625" i="1" s="1"/>
  <c r="Q625" i="1"/>
  <c r="S624" i="1"/>
  <c r="R624" i="1" a="1"/>
  <c r="R624" i="1" s="1"/>
  <c r="Q624" i="1"/>
  <c r="S623" i="1"/>
  <c r="R623" i="1" a="1"/>
  <c r="R623" i="1" s="1"/>
  <c r="Q623" i="1"/>
  <c r="S622" i="1"/>
  <c r="R622" i="1" a="1"/>
  <c r="R622" i="1" s="1"/>
  <c r="Q622" i="1"/>
  <c r="S621" i="1"/>
  <c r="R621" i="1" a="1"/>
  <c r="R621" i="1" s="1"/>
  <c r="Q621" i="1"/>
  <c r="S620" i="1"/>
  <c r="R620" i="1" a="1"/>
  <c r="R620" i="1" s="1"/>
  <c r="Q620" i="1"/>
  <c r="S619" i="1"/>
  <c r="R619" i="1" a="1"/>
  <c r="R619" i="1" s="1"/>
  <c r="Q619" i="1"/>
  <c r="S618" i="1"/>
  <c r="R618" i="1" a="1"/>
  <c r="R618" i="1" s="1"/>
  <c r="Q618" i="1"/>
  <c r="S617" i="1"/>
  <c r="R617" i="1" a="1"/>
  <c r="R617" i="1" s="1"/>
  <c r="Q617" i="1"/>
  <c r="S616" i="1"/>
  <c r="R616" i="1" a="1"/>
  <c r="R616" i="1" s="1"/>
  <c r="Q616" i="1"/>
  <c r="S615" i="1"/>
  <c r="R615" i="1" a="1"/>
  <c r="R615" i="1" s="1"/>
  <c r="Q615" i="1"/>
  <c r="S614" i="1"/>
  <c r="R614" i="1" a="1"/>
  <c r="R614" i="1" s="1"/>
  <c r="Q614" i="1"/>
  <c r="S613" i="1"/>
  <c r="R613" i="1" a="1"/>
  <c r="R613" i="1" s="1"/>
  <c r="Q613" i="1"/>
  <c r="S612" i="1"/>
  <c r="R612" i="1" a="1"/>
  <c r="R612" i="1" s="1"/>
  <c r="Q612" i="1"/>
  <c r="S611" i="1"/>
  <c r="R611" i="1" a="1"/>
  <c r="R611" i="1" s="1"/>
  <c r="Q611" i="1"/>
  <c r="S610" i="1"/>
  <c r="R610" i="1" a="1"/>
  <c r="R610" i="1" s="1"/>
  <c r="Q610" i="1"/>
  <c r="S609" i="1"/>
  <c r="R609" i="1" a="1"/>
  <c r="R609" i="1" s="1"/>
  <c r="Q609" i="1"/>
  <c r="S608" i="1"/>
  <c r="R608" i="1" a="1"/>
  <c r="R608" i="1" s="1"/>
  <c r="Q608" i="1"/>
  <c r="S607" i="1"/>
  <c r="R607" i="1" a="1"/>
  <c r="R607" i="1" s="1"/>
  <c r="Q607" i="1"/>
  <c r="S606" i="1"/>
  <c r="R606" i="1" a="1"/>
  <c r="R606" i="1" s="1"/>
  <c r="Q606" i="1"/>
  <c r="S605" i="1"/>
  <c r="R605" i="1" a="1"/>
  <c r="R605" i="1" s="1"/>
  <c r="Q605" i="1"/>
  <c r="S604" i="1"/>
  <c r="R604" i="1" a="1"/>
  <c r="R604" i="1" s="1"/>
  <c r="Q604" i="1"/>
  <c r="S603" i="1"/>
  <c r="R603" i="1" a="1"/>
  <c r="R603" i="1" s="1"/>
  <c r="Q603" i="1"/>
  <c r="S602" i="1"/>
  <c r="R602" i="1" a="1"/>
  <c r="R602" i="1" s="1"/>
  <c r="Q602" i="1"/>
  <c r="S601" i="1"/>
  <c r="R601" i="1" a="1"/>
  <c r="R601" i="1" s="1"/>
  <c r="Q601" i="1"/>
  <c r="S600" i="1"/>
  <c r="R600" i="1" a="1"/>
  <c r="R600" i="1" s="1"/>
  <c r="Q600" i="1"/>
  <c r="S599" i="1"/>
  <c r="R599" i="1" a="1"/>
  <c r="R599" i="1" s="1"/>
  <c r="Q599" i="1"/>
  <c r="S598" i="1"/>
  <c r="R598" i="1" a="1"/>
  <c r="R598" i="1" s="1"/>
  <c r="Q598" i="1"/>
  <c r="S597" i="1"/>
  <c r="R597" i="1" a="1"/>
  <c r="R597" i="1" s="1"/>
  <c r="Q597" i="1"/>
  <c r="S596" i="1"/>
  <c r="R596" i="1" a="1"/>
  <c r="R596" i="1" s="1"/>
  <c r="Q596" i="1"/>
  <c r="S595" i="1"/>
  <c r="R595" i="1" a="1"/>
  <c r="R595" i="1" s="1"/>
  <c r="Q595" i="1"/>
  <c r="S594" i="1"/>
  <c r="R594" i="1" a="1"/>
  <c r="R594" i="1" s="1"/>
  <c r="Q594" i="1"/>
  <c r="S593" i="1"/>
  <c r="R593" i="1" a="1"/>
  <c r="R593" i="1" s="1"/>
  <c r="Q593" i="1"/>
  <c r="S592" i="1"/>
  <c r="R592" i="1" a="1"/>
  <c r="R592" i="1" s="1"/>
  <c r="Q592" i="1"/>
  <c r="S591" i="1"/>
  <c r="R591" i="1" a="1"/>
  <c r="R591" i="1" s="1"/>
  <c r="Q591" i="1"/>
  <c r="S590" i="1"/>
  <c r="R590" i="1" a="1"/>
  <c r="R590" i="1" s="1"/>
  <c r="Q590" i="1"/>
  <c r="S589" i="1"/>
  <c r="R589" i="1" a="1"/>
  <c r="R589" i="1" s="1"/>
  <c r="Q589" i="1"/>
  <c r="S588" i="1"/>
  <c r="R588" i="1" a="1"/>
  <c r="R588" i="1" s="1"/>
  <c r="Q588" i="1"/>
  <c r="S587" i="1"/>
  <c r="R587" i="1" a="1"/>
  <c r="R587" i="1" s="1"/>
  <c r="Q587" i="1"/>
  <c r="S586" i="1"/>
  <c r="R586" i="1" a="1"/>
  <c r="R586" i="1" s="1"/>
  <c r="Q586" i="1"/>
  <c r="S585" i="1"/>
  <c r="R585" i="1" a="1"/>
  <c r="R585" i="1" s="1"/>
  <c r="Q585" i="1"/>
  <c r="S584" i="1"/>
  <c r="R584" i="1" a="1"/>
  <c r="R584" i="1" s="1"/>
  <c r="Q584" i="1"/>
  <c r="S583" i="1"/>
  <c r="R583" i="1" a="1"/>
  <c r="R583" i="1" s="1"/>
  <c r="Q583" i="1"/>
  <c r="S582" i="1"/>
  <c r="R582" i="1" a="1"/>
  <c r="R582" i="1" s="1"/>
  <c r="Q582" i="1"/>
  <c r="S581" i="1"/>
  <c r="R581" i="1" a="1"/>
  <c r="R581" i="1" s="1"/>
  <c r="Q581" i="1"/>
  <c r="S580" i="1"/>
  <c r="R580" i="1" a="1"/>
  <c r="R580" i="1" s="1"/>
  <c r="Q580" i="1"/>
  <c r="S579" i="1"/>
  <c r="R579" i="1" a="1"/>
  <c r="R579" i="1" s="1"/>
  <c r="Q579" i="1"/>
  <c r="S578" i="1"/>
  <c r="R578" i="1" a="1"/>
  <c r="R578" i="1" s="1"/>
  <c r="Q578" i="1"/>
  <c r="S577" i="1"/>
  <c r="R577" i="1" a="1"/>
  <c r="R577" i="1" s="1"/>
  <c r="Q577" i="1"/>
  <c r="S576" i="1"/>
  <c r="R576" i="1" a="1"/>
  <c r="R576" i="1" s="1"/>
  <c r="Q576" i="1"/>
  <c r="S575" i="1"/>
  <c r="R575" i="1" a="1"/>
  <c r="R575" i="1" s="1"/>
  <c r="Q575" i="1"/>
  <c r="S574" i="1"/>
  <c r="R574" i="1" a="1"/>
  <c r="R574" i="1" s="1"/>
  <c r="Q574" i="1"/>
  <c r="S573" i="1"/>
  <c r="R573" i="1" a="1"/>
  <c r="R573" i="1" s="1"/>
  <c r="Q573" i="1"/>
  <c r="S572" i="1"/>
  <c r="R572" i="1" a="1"/>
  <c r="R572" i="1" s="1"/>
  <c r="Q572" i="1"/>
  <c r="S571" i="1"/>
  <c r="R571" i="1" a="1"/>
  <c r="R571" i="1" s="1"/>
  <c r="Q571" i="1"/>
  <c r="S570" i="1"/>
  <c r="R570" i="1" a="1"/>
  <c r="R570" i="1" s="1"/>
  <c r="Q570" i="1"/>
  <c r="S569" i="1"/>
  <c r="R569" i="1" a="1"/>
  <c r="R569" i="1" s="1"/>
  <c r="Q569" i="1"/>
  <c r="S568" i="1"/>
  <c r="R568" i="1" a="1"/>
  <c r="R568" i="1" s="1"/>
  <c r="Q568" i="1"/>
  <c r="S567" i="1"/>
  <c r="R567" i="1" a="1"/>
  <c r="R567" i="1" s="1"/>
  <c r="Q567" i="1"/>
  <c r="S566" i="1"/>
  <c r="R566" i="1" a="1"/>
  <c r="R566" i="1" s="1"/>
  <c r="Q566" i="1"/>
  <c r="S565" i="1"/>
  <c r="R565" i="1" a="1"/>
  <c r="R565" i="1" s="1"/>
  <c r="Q565" i="1"/>
  <c r="S564" i="1"/>
  <c r="R564" i="1" a="1"/>
  <c r="R564" i="1" s="1"/>
  <c r="Q564" i="1"/>
  <c r="S563" i="1"/>
  <c r="R563" i="1" a="1"/>
  <c r="R563" i="1" s="1"/>
  <c r="Q563" i="1"/>
  <c r="S562" i="1"/>
  <c r="R562" i="1" a="1"/>
  <c r="R562" i="1" s="1"/>
  <c r="Q562" i="1"/>
  <c r="S561" i="1"/>
  <c r="R561" i="1" a="1"/>
  <c r="R561" i="1" s="1"/>
  <c r="Q561" i="1"/>
  <c r="S560" i="1"/>
  <c r="R560" i="1" a="1"/>
  <c r="R560" i="1" s="1"/>
  <c r="Q560" i="1"/>
  <c r="S559" i="1"/>
  <c r="R559" i="1" a="1"/>
  <c r="R559" i="1" s="1"/>
  <c r="Q559" i="1"/>
  <c r="S558" i="1"/>
  <c r="R558" i="1" a="1"/>
  <c r="R558" i="1" s="1"/>
  <c r="Q558" i="1"/>
  <c r="S557" i="1"/>
  <c r="R557" i="1" a="1"/>
  <c r="R557" i="1" s="1"/>
  <c r="Q557" i="1"/>
  <c r="S556" i="1"/>
  <c r="R556" i="1" a="1"/>
  <c r="R556" i="1" s="1"/>
  <c r="Q556" i="1"/>
  <c r="S555" i="1"/>
  <c r="R555" i="1" a="1"/>
  <c r="R555" i="1" s="1"/>
  <c r="Q555" i="1"/>
  <c r="S554" i="1"/>
  <c r="R554" i="1" a="1"/>
  <c r="R554" i="1" s="1"/>
  <c r="Q554" i="1"/>
  <c r="S553" i="1"/>
  <c r="R553" i="1" a="1"/>
  <c r="R553" i="1" s="1"/>
  <c r="Q553" i="1"/>
  <c r="S552" i="1"/>
  <c r="R552" i="1" a="1"/>
  <c r="R552" i="1" s="1"/>
  <c r="Q552" i="1"/>
  <c r="S551" i="1"/>
  <c r="R551" i="1" a="1"/>
  <c r="R551" i="1" s="1"/>
  <c r="Q551" i="1"/>
  <c r="S550" i="1"/>
  <c r="R550" i="1" a="1"/>
  <c r="R550" i="1" s="1"/>
  <c r="Q550" i="1"/>
  <c r="S549" i="1"/>
  <c r="R549" i="1" a="1"/>
  <c r="R549" i="1" s="1"/>
  <c r="Q549" i="1"/>
  <c r="S548" i="1"/>
  <c r="R548" i="1" a="1"/>
  <c r="R548" i="1" s="1"/>
  <c r="Q548" i="1"/>
  <c r="S547" i="1"/>
  <c r="R547" i="1" a="1"/>
  <c r="R547" i="1" s="1"/>
  <c r="Q547" i="1"/>
  <c r="S546" i="1"/>
  <c r="R546" i="1" a="1"/>
  <c r="R546" i="1" s="1"/>
  <c r="Q546" i="1"/>
  <c r="S545" i="1"/>
  <c r="R545" i="1" a="1"/>
  <c r="R545" i="1" s="1"/>
  <c r="Q545" i="1"/>
  <c r="S544" i="1"/>
  <c r="R544" i="1" a="1"/>
  <c r="R544" i="1" s="1"/>
  <c r="Q544" i="1"/>
  <c r="S543" i="1"/>
  <c r="R543" i="1" a="1"/>
  <c r="R543" i="1" s="1"/>
  <c r="Q543" i="1"/>
  <c r="S542" i="1"/>
  <c r="R542" i="1" a="1"/>
  <c r="R542" i="1" s="1"/>
  <c r="Q542" i="1"/>
  <c r="S541" i="1"/>
  <c r="R541" i="1" a="1"/>
  <c r="R541" i="1" s="1"/>
  <c r="Q541" i="1"/>
  <c r="S540" i="1"/>
  <c r="R540" i="1" a="1"/>
  <c r="R540" i="1" s="1"/>
  <c r="Q540" i="1"/>
  <c r="S539" i="1"/>
  <c r="R539" i="1" a="1"/>
  <c r="R539" i="1" s="1"/>
  <c r="Q539" i="1"/>
  <c r="S538" i="1"/>
  <c r="R538" i="1" a="1"/>
  <c r="R538" i="1" s="1"/>
  <c r="Q538" i="1"/>
  <c r="S537" i="1"/>
  <c r="R537" i="1" a="1"/>
  <c r="R537" i="1" s="1"/>
  <c r="Q537" i="1"/>
  <c r="S536" i="1"/>
  <c r="R536" i="1" a="1"/>
  <c r="R536" i="1" s="1"/>
  <c r="Q536" i="1"/>
  <c r="S535" i="1"/>
  <c r="R535" i="1" a="1"/>
  <c r="R535" i="1" s="1"/>
  <c r="Q535" i="1"/>
  <c r="S534" i="1"/>
  <c r="R534" i="1" a="1"/>
  <c r="R534" i="1" s="1"/>
  <c r="Q534" i="1"/>
  <c r="S533" i="1"/>
  <c r="R533" i="1" a="1"/>
  <c r="R533" i="1" s="1"/>
  <c r="Q533" i="1"/>
  <c r="S532" i="1"/>
  <c r="R532" i="1" a="1"/>
  <c r="R532" i="1" s="1"/>
  <c r="Q532" i="1"/>
  <c r="S531" i="1"/>
  <c r="R531" i="1" a="1"/>
  <c r="R531" i="1" s="1"/>
  <c r="Q531" i="1"/>
  <c r="S530" i="1"/>
  <c r="R530" i="1" a="1"/>
  <c r="R530" i="1" s="1"/>
  <c r="Q530" i="1"/>
  <c r="S529" i="1"/>
  <c r="R529" i="1" a="1"/>
  <c r="R529" i="1" s="1"/>
  <c r="Q529" i="1"/>
  <c r="S528" i="1"/>
  <c r="R528" i="1" a="1"/>
  <c r="R528" i="1" s="1"/>
  <c r="Q528" i="1"/>
  <c r="S527" i="1"/>
  <c r="R527" i="1" a="1"/>
  <c r="R527" i="1" s="1"/>
  <c r="Q527" i="1"/>
  <c r="S526" i="1"/>
  <c r="R526" i="1" a="1"/>
  <c r="R526" i="1" s="1"/>
  <c r="Q526" i="1"/>
  <c r="S525" i="1"/>
  <c r="R525" i="1" a="1"/>
  <c r="R525" i="1" s="1"/>
  <c r="Q525" i="1"/>
  <c r="S524" i="1"/>
  <c r="R524" i="1" a="1"/>
  <c r="R524" i="1" s="1"/>
  <c r="Q524" i="1"/>
  <c r="S523" i="1"/>
  <c r="R523" i="1" a="1"/>
  <c r="R523" i="1" s="1"/>
  <c r="Q523" i="1"/>
  <c r="S522" i="1"/>
  <c r="R522" i="1" a="1"/>
  <c r="R522" i="1" s="1"/>
  <c r="Q522" i="1"/>
  <c r="S521" i="1"/>
  <c r="R521" i="1" a="1"/>
  <c r="R521" i="1" s="1"/>
  <c r="Q521" i="1"/>
  <c r="S520" i="1"/>
  <c r="R520" i="1" a="1"/>
  <c r="R520" i="1" s="1"/>
  <c r="Q520" i="1"/>
  <c r="S519" i="1"/>
  <c r="R519" i="1" a="1"/>
  <c r="R519" i="1" s="1"/>
  <c r="Q519" i="1"/>
  <c r="S518" i="1"/>
  <c r="R518" i="1" a="1"/>
  <c r="R518" i="1" s="1"/>
  <c r="Q518" i="1"/>
  <c r="S517" i="1"/>
  <c r="R517" i="1" a="1"/>
  <c r="R517" i="1" s="1"/>
  <c r="Q517" i="1"/>
  <c r="S516" i="1"/>
  <c r="R516" i="1" a="1"/>
  <c r="R516" i="1" s="1"/>
  <c r="Q516" i="1"/>
  <c r="S515" i="1"/>
  <c r="R515" i="1" a="1"/>
  <c r="R515" i="1" s="1"/>
  <c r="Q515" i="1"/>
  <c r="S514" i="1"/>
  <c r="R514" i="1" a="1"/>
  <c r="R514" i="1" s="1"/>
  <c r="Q514" i="1"/>
  <c r="S513" i="1"/>
  <c r="R513" i="1" a="1"/>
  <c r="R513" i="1" s="1"/>
  <c r="Q513" i="1"/>
  <c r="S512" i="1"/>
  <c r="R512" i="1" a="1"/>
  <c r="R512" i="1" s="1"/>
  <c r="Q512" i="1"/>
  <c r="S511" i="1"/>
  <c r="R511" i="1" a="1"/>
  <c r="R511" i="1" s="1"/>
  <c r="Q511" i="1"/>
  <c r="S510" i="1"/>
  <c r="R510" i="1" a="1"/>
  <c r="R510" i="1" s="1"/>
  <c r="Q510" i="1"/>
  <c r="S509" i="1"/>
  <c r="R509" i="1" a="1"/>
  <c r="R509" i="1" s="1"/>
  <c r="Q509" i="1"/>
  <c r="S508" i="1"/>
  <c r="R508" i="1" a="1"/>
  <c r="R508" i="1" s="1"/>
  <c r="Q508" i="1"/>
  <c r="S507" i="1"/>
  <c r="R507" i="1" a="1"/>
  <c r="R507" i="1" s="1"/>
  <c r="Q507" i="1"/>
  <c r="S506" i="1"/>
  <c r="R506" i="1" a="1"/>
  <c r="R506" i="1" s="1"/>
  <c r="Q506" i="1"/>
  <c r="S505" i="1"/>
  <c r="R505" i="1" a="1"/>
  <c r="R505" i="1" s="1"/>
  <c r="Q505" i="1"/>
  <c r="S504" i="1"/>
  <c r="R504" i="1" a="1"/>
  <c r="R504" i="1" s="1"/>
  <c r="Q504" i="1"/>
  <c r="S503" i="1"/>
  <c r="R503" i="1" a="1"/>
  <c r="R503" i="1" s="1"/>
  <c r="Q503" i="1"/>
  <c r="S502" i="1"/>
  <c r="R502" i="1" a="1"/>
  <c r="R502" i="1" s="1"/>
  <c r="Q502" i="1"/>
  <c r="S501" i="1"/>
  <c r="R501" i="1" a="1"/>
  <c r="R501" i="1" s="1"/>
  <c r="Q501" i="1"/>
  <c r="S500" i="1"/>
  <c r="R500" i="1" a="1"/>
  <c r="R500" i="1" s="1"/>
  <c r="Q500" i="1"/>
  <c r="S499" i="1"/>
  <c r="R499" i="1" a="1"/>
  <c r="R499" i="1" s="1"/>
  <c r="Q499" i="1"/>
  <c r="S498" i="1"/>
  <c r="R498" i="1" a="1"/>
  <c r="R498" i="1" s="1"/>
  <c r="Q498" i="1"/>
  <c r="S497" i="1"/>
  <c r="R497" i="1" a="1"/>
  <c r="R497" i="1" s="1"/>
  <c r="Q497" i="1"/>
  <c r="S496" i="1"/>
  <c r="R496" i="1" a="1"/>
  <c r="R496" i="1" s="1"/>
  <c r="Q496" i="1"/>
  <c r="S495" i="1"/>
  <c r="R495" i="1" a="1"/>
  <c r="R495" i="1" s="1"/>
  <c r="Q495" i="1"/>
  <c r="S494" i="1"/>
  <c r="R494" i="1" a="1"/>
  <c r="R494" i="1" s="1"/>
  <c r="Q494" i="1"/>
  <c r="S493" i="1"/>
  <c r="R493" i="1" a="1"/>
  <c r="R493" i="1" s="1"/>
  <c r="Q493" i="1"/>
  <c r="S492" i="1"/>
  <c r="R492" i="1" a="1"/>
  <c r="R492" i="1" s="1"/>
  <c r="Q492" i="1"/>
  <c r="S491" i="1"/>
  <c r="R491" i="1" a="1"/>
  <c r="R491" i="1" s="1"/>
  <c r="Q491" i="1"/>
  <c r="S490" i="1"/>
  <c r="R490" i="1"/>
  <c r="R490" i="1" a="1"/>
  <c r="Q490" i="1"/>
  <c r="S489" i="1"/>
  <c r="R489" i="1" a="1"/>
  <c r="R489" i="1" s="1"/>
  <c r="Q489" i="1"/>
  <c r="S488" i="1"/>
  <c r="R488" i="1" a="1"/>
  <c r="R488" i="1" s="1"/>
  <c r="Q488" i="1"/>
  <c r="S487" i="1"/>
  <c r="R487" i="1" a="1"/>
  <c r="R487" i="1" s="1"/>
  <c r="Q487" i="1"/>
  <c r="S486" i="1"/>
  <c r="R486" i="1" a="1"/>
  <c r="R486" i="1" s="1"/>
  <c r="Q486" i="1"/>
  <c r="S485" i="1"/>
  <c r="R485" i="1" a="1"/>
  <c r="R485" i="1" s="1"/>
  <c r="Q485" i="1"/>
  <c r="S484" i="1"/>
  <c r="R484" i="1" a="1"/>
  <c r="R484" i="1" s="1"/>
  <c r="Q484" i="1"/>
  <c r="S483" i="1"/>
  <c r="R483" i="1" a="1"/>
  <c r="R483" i="1" s="1"/>
  <c r="Q483" i="1"/>
  <c r="S482" i="1"/>
  <c r="R482" i="1" a="1"/>
  <c r="R482" i="1" s="1"/>
  <c r="Q482" i="1"/>
  <c r="S481" i="1"/>
  <c r="R481" i="1" a="1"/>
  <c r="R481" i="1" s="1"/>
  <c r="Q481" i="1"/>
  <c r="S480" i="1"/>
  <c r="R480" i="1" a="1"/>
  <c r="R480" i="1" s="1"/>
  <c r="Q480" i="1"/>
  <c r="S479" i="1"/>
  <c r="R479" i="1" a="1"/>
  <c r="R479" i="1" s="1"/>
  <c r="Q479" i="1"/>
  <c r="S478" i="1"/>
  <c r="R478" i="1" a="1"/>
  <c r="R478" i="1" s="1"/>
  <c r="Q478" i="1"/>
  <c r="S477" i="1"/>
  <c r="R477" i="1" a="1"/>
  <c r="R477" i="1" s="1"/>
  <c r="Q477" i="1"/>
  <c r="S476" i="1"/>
  <c r="R476" i="1" a="1"/>
  <c r="R476" i="1" s="1"/>
  <c r="Q476" i="1"/>
  <c r="S475" i="1"/>
  <c r="R475" i="1" a="1"/>
  <c r="R475" i="1" s="1"/>
  <c r="Q475" i="1"/>
  <c r="S474" i="1"/>
  <c r="R474" i="1" a="1"/>
  <c r="R474" i="1" s="1"/>
  <c r="Q474" i="1"/>
  <c r="S473" i="1"/>
  <c r="R473" i="1" a="1"/>
  <c r="R473" i="1" s="1"/>
  <c r="Q473" i="1"/>
  <c r="S472" i="1"/>
  <c r="R472" i="1" a="1"/>
  <c r="R472" i="1" s="1"/>
  <c r="Q472" i="1"/>
  <c r="S471" i="1"/>
  <c r="R471" i="1" a="1"/>
  <c r="R471" i="1" s="1"/>
  <c r="Q471" i="1"/>
  <c r="S470" i="1"/>
  <c r="R470" i="1" a="1"/>
  <c r="R470" i="1" s="1"/>
  <c r="Q470" i="1"/>
  <c r="S469" i="1"/>
  <c r="R469" i="1" a="1"/>
  <c r="R469" i="1" s="1"/>
  <c r="Q469" i="1"/>
  <c r="S468" i="1"/>
  <c r="R468" i="1" a="1"/>
  <c r="R468" i="1" s="1"/>
  <c r="Q468" i="1"/>
  <c r="S467" i="1"/>
  <c r="R467" i="1" a="1"/>
  <c r="R467" i="1" s="1"/>
  <c r="Q467" i="1"/>
  <c r="S466" i="1"/>
  <c r="R466" i="1" a="1"/>
  <c r="R466" i="1" s="1"/>
  <c r="Q466" i="1"/>
  <c r="S465" i="1"/>
  <c r="R465" i="1" a="1"/>
  <c r="R465" i="1" s="1"/>
  <c r="Q465" i="1"/>
  <c r="S464" i="1"/>
  <c r="R464" i="1" a="1"/>
  <c r="R464" i="1" s="1"/>
  <c r="Q464" i="1"/>
  <c r="S463" i="1"/>
  <c r="R463" i="1" a="1"/>
  <c r="R463" i="1" s="1"/>
  <c r="Q463" i="1"/>
  <c r="S462" i="1"/>
  <c r="R462" i="1" a="1"/>
  <c r="R462" i="1" s="1"/>
  <c r="Q462" i="1"/>
  <c r="S461" i="1"/>
  <c r="R461" i="1" a="1"/>
  <c r="R461" i="1" s="1"/>
  <c r="Q461" i="1"/>
  <c r="S460" i="1"/>
  <c r="R460" i="1" a="1"/>
  <c r="R460" i="1" s="1"/>
  <c r="Q460" i="1"/>
  <c r="S459" i="1"/>
  <c r="R459" i="1" a="1"/>
  <c r="R459" i="1" s="1"/>
  <c r="Q459" i="1"/>
  <c r="S458" i="1"/>
  <c r="R458" i="1" a="1"/>
  <c r="R458" i="1" s="1"/>
  <c r="Q458" i="1"/>
  <c r="S457" i="1"/>
  <c r="R457" i="1" a="1"/>
  <c r="R457" i="1" s="1"/>
  <c r="Q457" i="1"/>
  <c r="S456" i="1"/>
  <c r="R456" i="1" a="1"/>
  <c r="R456" i="1" s="1"/>
  <c r="Q456" i="1"/>
  <c r="S455" i="1"/>
  <c r="R455" i="1" a="1"/>
  <c r="R455" i="1" s="1"/>
  <c r="Q455" i="1"/>
  <c r="S454" i="1"/>
  <c r="R454" i="1" a="1"/>
  <c r="R454" i="1" s="1"/>
  <c r="Q454" i="1"/>
  <c r="S453" i="1"/>
  <c r="R453" i="1" a="1"/>
  <c r="R453" i="1" s="1"/>
  <c r="Q453" i="1"/>
  <c r="S452" i="1"/>
  <c r="R452" i="1" a="1"/>
  <c r="R452" i="1" s="1"/>
  <c r="Q452" i="1"/>
  <c r="S451" i="1"/>
  <c r="R451" i="1" a="1"/>
  <c r="R451" i="1" s="1"/>
  <c r="Q451" i="1"/>
  <c r="S450" i="1"/>
  <c r="R450" i="1" a="1"/>
  <c r="R450" i="1" s="1"/>
  <c r="Q450" i="1"/>
  <c r="S449" i="1"/>
  <c r="R449" i="1" a="1"/>
  <c r="R449" i="1" s="1"/>
  <c r="Q449" i="1"/>
  <c r="S448" i="1"/>
  <c r="R448" i="1" a="1"/>
  <c r="R448" i="1" s="1"/>
  <c r="Q448" i="1"/>
  <c r="S447" i="1"/>
  <c r="R447" i="1" a="1"/>
  <c r="R447" i="1" s="1"/>
  <c r="Q447" i="1"/>
  <c r="S446" i="1"/>
  <c r="R446" i="1" a="1"/>
  <c r="R446" i="1" s="1"/>
  <c r="Q446" i="1"/>
  <c r="S445" i="1"/>
  <c r="R445" i="1" a="1"/>
  <c r="R445" i="1" s="1"/>
  <c r="Q445" i="1"/>
  <c r="S444" i="1"/>
  <c r="R444" i="1" a="1"/>
  <c r="R444" i="1" s="1"/>
  <c r="Q444" i="1"/>
  <c r="S443" i="1"/>
  <c r="R443" i="1" a="1"/>
  <c r="R443" i="1" s="1"/>
  <c r="Q443" i="1"/>
  <c r="S442" i="1"/>
  <c r="R442" i="1" a="1"/>
  <c r="R442" i="1" s="1"/>
  <c r="Q442" i="1"/>
  <c r="S441" i="1"/>
  <c r="R441" i="1" a="1"/>
  <c r="R441" i="1" s="1"/>
  <c r="Q441" i="1"/>
  <c r="S440" i="1"/>
  <c r="R440" i="1" a="1"/>
  <c r="R440" i="1" s="1"/>
  <c r="Q440" i="1"/>
  <c r="S439" i="1"/>
  <c r="R439" i="1"/>
  <c r="R439" i="1" a="1"/>
  <c r="Q439" i="1"/>
  <c r="S438" i="1"/>
  <c r="R438" i="1" a="1"/>
  <c r="R438" i="1" s="1"/>
  <c r="Q438" i="1"/>
  <c r="S437" i="1"/>
  <c r="R437" i="1" a="1"/>
  <c r="R437" i="1" s="1"/>
  <c r="Q437" i="1"/>
  <c r="S436" i="1"/>
  <c r="R436" i="1" a="1"/>
  <c r="R436" i="1" s="1"/>
  <c r="Q436" i="1"/>
  <c r="S435" i="1"/>
  <c r="R435" i="1" a="1"/>
  <c r="R435" i="1" s="1"/>
  <c r="Q435" i="1"/>
  <c r="S434" i="1"/>
  <c r="R434" i="1" a="1"/>
  <c r="R434" i="1" s="1"/>
  <c r="Q434" i="1"/>
  <c r="S433" i="1"/>
  <c r="R433" i="1" a="1"/>
  <c r="R433" i="1" s="1"/>
  <c r="Q433" i="1"/>
  <c r="S432" i="1"/>
  <c r="R432" i="1" a="1"/>
  <c r="R432" i="1" s="1"/>
  <c r="Q432" i="1"/>
  <c r="S431" i="1"/>
  <c r="R431" i="1" a="1"/>
  <c r="R431" i="1" s="1"/>
  <c r="Q431" i="1"/>
  <c r="S430" i="1"/>
  <c r="R430" i="1" a="1"/>
  <c r="R430" i="1" s="1"/>
  <c r="Q430" i="1"/>
  <c r="S429" i="1"/>
  <c r="R429" i="1" a="1"/>
  <c r="R429" i="1" s="1"/>
  <c r="Q429" i="1"/>
  <c r="S428" i="1"/>
  <c r="R428" i="1" a="1"/>
  <c r="R428" i="1" s="1"/>
  <c r="Q428" i="1"/>
  <c r="S427" i="1"/>
  <c r="R427" i="1" a="1"/>
  <c r="R427" i="1" s="1"/>
  <c r="Q427" i="1"/>
  <c r="S426" i="1"/>
  <c r="R426" i="1" a="1"/>
  <c r="R426" i="1" s="1"/>
  <c r="Q426" i="1"/>
  <c r="S425" i="1"/>
  <c r="R425" i="1" a="1"/>
  <c r="R425" i="1" s="1"/>
  <c r="Q425" i="1"/>
  <c r="S424" i="1"/>
  <c r="R424" i="1" a="1"/>
  <c r="R424" i="1" s="1"/>
  <c r="Q424" i="1"/>
  <c r="S423" i="1"/>
  <c r="R423" i="1" a="1"/>
  <c r="R423" i="1" s="1"/>
  <c r="Q423" i="1"/>
  <c r="S422" i="1"/>
  <c r="R422" i="1" a="1"/>
  <c r="R422" i="1" s="1"/>
  <c r="Q422" i="1"/>
  <c r="S421" i="1"/>
  <c r="R421" i="1" a="1"/>
  <c r="R421" i="1" s="1"/>
  <c r="Q421" i="1"/>
  <c r="S420" i="1"/>
  <c r="R420" i="1" a="1"/>
  <c r="R420" i="1" s="1"/>
  <c r="Q420" i="1"/>
  <c r="S419" i="1"/>
  <c r="R419" i="1" a="1"/>
  <c r="R419" i="1" s="1"/>
  <c r="Q419" i="1"/>
  <c r="S418" i="1"/>
  <c r="R418" i="1" a="1"/>
  <c r="R418" i="1" s="1"/>
  <c r="Q418" i="1"/>
  <c r="S417" i="1"/>
  <c r="R417" i="1" a="1"/>
  <c r="R417" i="1" s="1"/>
  <c r="Q417" i="1"/>
  <c r="S416" i="1"/>
  <c r="R416" i="1" a="1"/>
  <c r="R416" i="1" s="1"/>
  <c r="Q416" i="1"/>
  <c r="S415" i="1"/>
  <c r="R415" i="1" a="1"/>
  <c r="R415" i="1" s="1"/>
  <c r="Q415" i="1"/>
  <c r="S414" i="1"/>
  <c r="R414" i="1" a="1"/>
  <c r="R414" i="1" s="1"/>
  <c r="Q414" i="1"/>
  <c r="S413" i="1"/>
  <c r="R413" i="1" a="1"/>
  <c r="R413" i="1" s="1"/>
  <c r="Q413" i="1"/>
  <c r="S412" i="1"/>
  <c r="R412" i="1" a="1"/>
  <c r="R412" i="1" s="1"/>
  <c r="Q412" i="1"/>
  <c r="S411" i="1"/>
  <c r="R411" i="1" a="1"/>
  <c r="R411" i="1" s="1"/>
  <c r="Q411" i="1"/>
  <c r="S410" i="1"/>
  <c r="R410" i="1" a="1"/>
  <c r="R410" i="1" s="1"/>
  <c r="Q410" i="1"/>
  <c r="S409" i="1"/>
  <c r="R409" i="1" a="1"/>
  <c r="R409" i="1" s="1"/>
  <c r="Q409" i="1"/>
  <c r="S408" i="1"/>
  <c r="R408" i="1" a="1"/>
  <c r="R408" i="1" s="1"/>
  <c r="Q408" i="1"/>
  <c r="S407" i="1"/>
  <c r="R407" i="1" a="1"/>
  <c r="R407" i="1" s="1"/>
  <c r="Q407" i="1"/>
  <c r="S406" i="1"/>
  <c r="R406" i="1" a="1"/>
  <c r="R406" i="1" s="1"/>
  <c r="Q406" i="1"/>
  <c r="S405" i="1"/>
  <c r="R405" i="1" a="1"/>
  <c r="R405" i="1" s="1"/>
  <c r="Q405" i="1"/>
  <c r="S404" i="1"/>
  <c r="R404" i="1" a="1"/>
  <c r="R404" i="1" s="1"/>
  <c r="Q404" i="1"/>
  <c r="S403" i="1"/>
  <c r="R403" i="1" a="1"/>
  <c r="R403" i="1" s="1"/>
  <c r="Q403" i="1"/>
  <c r="S402" i="1"/>
  <c r="R402" i="1" a="1"/>
  <c r="R402" i="1" s="1"/>
  <c r="Q402" i="1"/>
  <c r="S401" i="1"/>
  <c r="R401" i="1" a="1"/>
  <c r="R401" i="1" s="1"/>
  <c r="Q401" i="1"/>
  <c r="S400" i="1"/>
  <c r="R400" i="1"/>
  <c r="R400" i="1" a="1"/>
  <c r="Q400" i="1"/>
  <c r="S399" i="1"/>
  <c r="R399" i="1" a="1"/>
  <c r="R399" i="1" s="1"/>
  <c r="Q399" i="1"/>
  <c r="S398" i="1"/>
  <c r="R398" i="1" a="1"/>
  <c r="R398" i="1" s="1"/>
  <c r="Q398" i="1"/>
  <c r="S397" i="1"/>
  <c r="R397" i="1" a="1"/>
  <c r="R397" i="1" s="1"/>
  <c r="Q397" i="1"/>
  <c r="S396" i="1"/>
  <c r="R396" i="1" a="1"/>
  <c r="R396" i="1" s="1"/>
  <c r="Q396" i="1"/>
  <c r="S395" i="1"/>
  <c r="R395" i="1" a="1"/>
  <c r="R395" i="1" s="1"/>
  <c r="Q395" i="1"/>
  <c r="S394" i="1"/>
  <c r="R394" i="1" a="1"/>
  <c r="R394" i="1" s="1"/>
  <c r="Q394" i="1"/>
  <c r="S393" i="1"/>
  <c r="R393" i="1" a="1"/>
  <c r="R393" i="1" s="1"/>
  <c r="Q393" i="1"/>
  <c r="S392" i="1"/>
  <c r="R392" i="1" a="1"/>
  <c r="R392" i="1" s="1"/>
  <c r="Q392" i="1"/>
  <c r="S391" i="1"/>
  <c r="R391" i="1" a="1"/>
  <c r="R391" i="1" s="1"/>
  <c r="Q391" i="1"/>
  <c r="S390" i="1"/>
  <c r="R390" i="1" a="1"/>
  <c r="R390" i="1" s="1"/>
  <c r="Q390" i="1"/>
  <c r="S389" i="1"/>
  <c r="R389" i="1" a="1"/>
  <c r="R389" i="1" s="1"/>
  <c r="Q389" i="1"/>
  <c r="S388" i="1"/>
  <c r="R388" i="1" a="1"/>
  <c r="R388" i="1" s="1"/>
  <c r="Q388" i="1"/>
  <c r="S387" i="1"/>
  <c r="R387" i="1" a="1"/>
  <c r="R387" i="1" s="1"/>
  <c r="Q387" i="1"/>
  <c r="S386" i="1"/>
  <c r="R386" i="1" a="1"/>
  <c r="R386" i="1" s="1"/>
  <c r="Q386" i="1"/>
  <c r="S385" i="1"/>
  <c r="R385" i="1" a="1"/>
  <c r="R385" i="1" s="1"/>
  <c r="Q385" i="1"/>
  <c r="S384" i="1"/>
  <c r="R384" i="1" a="1"/>
  <c r="R384" i="1" s="1"/>
  <c r="Q384" i="1"/>
  <c r="S383" i="1"/>
  <c r="R383" i="1" a="1"/>
  <c r="R383" i="1" s="1"/>
  <c r="Q383" i="1"/>
  <c r="S382" i="1"/>
  <c r="R382" i="1" a="1"/>
  <c r="R382" i="1" s="1"/>
  <c r="Q382" i="1"/>
  <c r="S381" i="1"/>
  <c r="R381" i="1" a="1"/>
  <c r="R381" i="1" s="1"/>
  <c r="Q381" i="1"/>
  <c r="S380" i="1"/>
  <c r="R380" i="1" a="1"/>
  <c r="R380" i="1" s="1"/>
  <c r="Q380" i="1"/>
  <c r="S379" i="1"/>
  <c r="R379" i="1" a="1"/>
  <c r="R379" i="1" s="1"/>
  <c r="Q379" i="1"/>
  <c r="S378" i="1"/>
  <c r="R378" i="1" a="1"/>
  <c r="R378" i="1" s="1"/>
  <c r="Q378" i="1"/>
  <c r="S377" i="1"/>
  <c r="R377" i="1" a="1"/>
  <c r="R377" i="1" s="1"/>
  <c r="Q377" i="1"/>
  <c r="S376" i="1"/>
  <c r="R376" i="1" a="1"/>
  <c r="R376" i="1" s="1"/>
  <c r="Q376" i="1"/>
  <c r="S375" i="1"/>
  <c r="R375" i="1" a="1"/>
  <c r="R375" i="1" s="1"/>
  <c r="Q375" i="1"/>
  <c r="S374" i="1"/>
  <c r="R374" i="1" a="1"/>
  <c r="R374" i="1" s="1"/>
  <c r="Q374" i="1"/>
  <c r="S373" i="1"/>
  <c r="R373" i="1" a="1"/>
  <c r="R373" i="1" s="1"/>
  <c r="Q373" i="1"/>
  <c r="S372" i="1"/>
  <c r="R372" i="1" a="1"/>
  <c r="R372" i="1" s="1"/>
  <c r="Q372" i="1"/>
  <c r="S371" i="1"/>
  <c r="R371" i="1" a="1"/>
  <c r="R371" i="1" s="1"/>
  <c r="Q371" i="1"/>
  <c r="S370" i="1"/>
  <c r="R370" i="1" a="1"/>
  <c r="R370" i="1" s="1"/>
  <c r="Q370" i="1"/>
  <c r="S369" i="1"/>
  <c r="R369" i="1" a="1"/>
  <c r="R369" i="1" s="1"/>
  <c r="Q369" i="1"/>
  <c r="S368" i="1"/>
  <c r="R368" i="1" a="1"/>
  <c r="R368" i="1" s="1"/>
  <c r="Q368" i="1"/>
  <c r="S367" i="1"/>
  <c r="R367" i="1" a="1"/>
  <c r="R367" i="1" s="1"/>
  <c r="Q367" i="1"/>
  <c r="S366" i="1"/>
  <c r="R366" i="1" a="1"/>
  <c r="R366" i="1" s="1"/>
  <c r="Q366" i="1"/>
  <c r="S365" i="1"/>
  <c r="R365" i="1" a="1"/>
  <c r="R365" i="1" s="1"/>
  <c r="Q365" i="1"/>
  <c r="S364" i="1"/>
  <c r="R364" i="1" a="1"/>
  <c r="R364" i="1" s="1"/>
  <c r="Q364" i="1"/>
  <c r="S363" i="1"/>
  <c r="R363" i="1" a="1"/>
  <c r="R363" i="1" s="1"/>
  <c r="Q363" i="1"/>
  <c r="S362" i="1"/>
  <c r="R362" i="1" a="1"/>
  <c r="R362" i="1" s="1"/>
  <c r="Q362" i="1"/>
  <c r="S361" i="1"/>
  <c r="R361" i="1" a="1"/>
  <c r="R361" i="1" s="1"/>
  <c r="Q361" i="1"/>
  <c r="S360" i="1"/>
  <c r="R360" i="1" a="1"/>
  <c r="R360" i="1" s="1"/>
  <c r="Q360" i="1"/>
  <c r="S359" i="1"/>
  <c r="R359" i="1" a="1"/>
  <c r="R359" i="1" s="1"/>
  <c r="Q359" i="1"/>
  <c r="S358" i="1"/>
  <c r="R358" i="1" a="1"/>
  <c r="R358" i="1" s="1"/>
  <c r="Q358" i="1"/>
  <c r="S357" i="1"/>
  <c r="R357" i="1" a="1"/>
  <c r="R357" i="1" s="1"/>
  <c r="Q357" i="1"/>
  <c r="S356" i="1"/>
  <c r="R356" i="1" a="1"/>
  <c r="R356" i="1" s="1"/>
  <c r="Q356" i="1"/>
  <c r="S355" i="1"/>
  <c r="R355" i="1" a="1"/>
  <c r="R355" i="1" s="1"/>
  <c r="Q355" i="1"/>
  <c r="S354" i="1"/>
  <c r="R354" i="1" a="1"/>
  <c r="R354" i="1" s="1"/>
  <c r="Q354" i="1"/>
  <c r="S353" i="1"/>
  <c r="R353" i="1" a="1"/>
  <c r="R353" i="1" s="1"/>
  <c r="Q353" i="1"/>
  <c r="S352" i="1"/>
  <c r="R352" i="1" a="1"/>
  <c r="R352" i="1" s="1"/>
  <c r="Q352" i="1"/>
  <c r="S351" i="1"/>
  <c r="R351" i="1" a="1"/>
  <c r="R351" i="1" s="1"/>
  <c r="Q351" i="1"/>
  <c r="S350" i="1"/>
  <c r="R350" i="1" a="1"/>
  <c r="R350" i="1" s="1"/>
  <c r="Q350" i="1"/>
  <c r="S349" i="1"/>
  <c r="R349" i="1" a="1"/>
  <c r="R349" i="1" s="1"/>
  <c r="Q349" i="1"/>
  <c r="S348" i="1"/>
  <c r="R348" i="1" a="1"/>
  <c r="R348" i="1" s="1"/>
  <c r="Q348" i="1"/>
  <c r="S347" i="1"/>
  <c r="R347" i="1" a="1"/>
  <c r="R347" i="1" s="1"/>
  <c r="Q347" i="1"/>
  <c r="S346" i="1"/>
  <c r="R346" i="1" a="1"/>
  <c r="R346" i="1" s="1"/>
  <c r="Q346" i="1"/>
  <c r="S345" i="1"/>
  <c r="R345" i="1" a="1"/>
  <c r="R345" i="1" s="1"/>
  <c r="Q345" i="1"/>
  <c r="S344" i="1"/>
  <c r="R344" i="1" a="1"/>
  <c r="R344" i="1" s="1"/>
  <c r="Q344" i="1"/>
  <c r="S343" i="1"/>
  <c r="R343" i="1" a="1"/>
  <c r="R343" i="1" s="1"/>
  <c r="Q343" i="1"/>
  <c r="S342" i="1"/>
  <c r="R342" i="1" a="1"/>
  <c r="R342" i="1" s="1"/>
  <c r="Q342" i="1"/>
  <c r="S341" i="1"/>
  <c r="R341" i="1" a="1"/>
  <c r="R341" i="1" s="1"/>
  <c r="Q341" i="1"/>
  <c r="S340" i="1"/>
  <c r="R340" i="1" a="1"/>
  <c r="R340" i="1" s="1"/>
  <c r="Q340" i="1"/>
  <c r="S339" i="1"/>
  <c r="R339" i="1" a="1"/>
  <c r="R339" i="1" s="1"/>
  <c r="Q339" i="1"/>
  <c r="S338" i="1"/>
  <c r="R338" i="1" a="1"/>
  <c r="R338" i="1" s="1"/>
  <c r="Q338" i="1"/>
  <c r="S337" i="1"/>
  <c r="R337" i="1" a="1"/>
  <c r="R337" i="1" s="1"/>
  <c r="Q337" i="1"/>
  <c r="S336" i="1"/>
  <c r="R336" i="1" a="1"/>
  <c r="R336" i="1" s="1"/>
  <c r="Q336" i="1"/>
  <c r="S335" i="1"/>
  <c r="R335" i="1" a="1"/>
  <c r="R335" i="1" s="1"/>
  <c r="Q335" i="1"/>
  <c r="S334" i="1"/>
  <c r="R334" i="1" a="1"/>
  <c r="R334" i="1" s="1"/>
  <c r="Q334" i="1"/>
  <c r="S333" i="1"/>
  <c r="R333" i="1" a="1"/>
  <c r="R333" i="1" s="1"/>
  <c r="Q333" i="1"/>
  <c r="S332" i="1"/>
  <c r="R332" i="1" a="1"/>
  <c r="R332" i="1" s="1"/>
  <c r="Q332" i="1"/>
  <c r="S331" i="1"/>
  <c r="R331" i="1" a="1"/>
  <c r="R331" i="1" s="1"/>
  <c r="Q331" i="1"/>
  <c r="S330" i="1"/>
  <c r="R330" i="1" a="1"/>
  <c r="R330" i="1" s="1"/>
  <c r="Q330" i="1"/>
  <c r="S329" i="1"/>
  <c r="R329" i="1" a="1"/>
  <c r="R329" i="1" s="1"/>
  <c r="Q329" i="1"/>
  <c r="S328" i="1"/>
  <c r="R328" i="1" a="1"/>
  <c r="R328" i="1" s="1"/>
  <c r="Q328" i="1"/>
  <c r="S327" i="1"/>
  <c r="R327" i="1" a="1"/>
  <c r="R327" i="1" s="1"/>
  <c r="Q327" i="1"/>
  <c r="S326" i="1"/>
  <c r="R326" i="1" a="1"/>
  <c r="R326" i="1" s="1"/>
  <c r="Q326" i="1"/>
  <c r="S325" i="1"/>
  <c r="R325" i="1" a="1"/>
  <c r="R325" i="1" s="1"/>
  <c r="Q325" i="1"/>
  <c r="S324" i="1"/>
  <c r="R324" i="1" a="1"/>
  <c r="R324" i="1" s="1"/>
  <c r="Q324" i="1"/>
  <c r="S323" i="1"/>
  <c r="R323" i="1" a="1"/>
  <c r="R323" i="1" s="1"/>
  <c r="Q323" i="1"/>
  <c r="S322" i="1"/>
  <c r="R322" i="1" a="1"/>
  <c r="R322" i="1" s="1"/>
  <c r="Q322" i="1"/>
  <c r="S321" i="1"/>
  <c r="R321" i="1" a="1"/>
  <c r="R321" i="1" s="1"/>
  <c r="Q321" i="1"/>
  <c r="S320" i="1"/>
  <c r="R320" i="1" a="1"/>
  <c r="R320" i="1" s="1"/>
  <c r="Q320" i="1"/>
  <c r="S319" i="1"/>
  <c r="R319" i="1" a="1"/>
  <c r="R319" i="1" s="1"/>
  <c r="Q319" i="1"/>
  <c r="S318" i="1"/>
  <c r="R318" i="1" a="1"/>
  <c r="R318" i="1" s="1"/>
  <c r="Q318" i="1"/>
  <c r="S317" i="1"/>
  <c r="R317" i="1" a="1"/>
  <c r="R317" i="1" s="1"/>
  <c r="Q317" i="1"/>
  <c r="S316" i="1"/>
  <c r="R316" i="1" a="1"/>
  <c r="R316" i="1" s="1"/>
  <c r="Q316" i="1"/>
  <c r="S315" i="1"/>
  <c r="R315" i="1" a="1"/>
  <c r="R315" i="1" s="1"/>
  <c r="Q315" i="1"/>
  <c r="S314" i="1"/>
  <c r="R314" i="1" a="1"/>
  <c r="R314" i="1" s="1"/>
  <c r="Q314" i="1"/>
  <c r="S313" i="1"/>
  <c r="R313" i="1" a="1"/>
  <c r="R313" i="1" s="1"/>
  <c r="Q313" i="1"/>
  <c r="S312" i="1"/>
  <c r="R312" i="1" a="1"/>
  <c r="R312" i="1" s="1"/>
  <c r="Q312" i="1"/>
  <c r="S311" i="1"/>
  <c r="R311" i="1" a="1"/>
  <c r="R311" i="1" s="1"/>
  <c r="Q311" i="1"/>
  <c r="S310" i="1"/>
  <c r="R310" i="1" a="1"/>
  <c r="R310" i="1" s="1"/>
  <c r="Q310" i="1"/>
  <c r="S309" i="1"/>
  <c r="R309" i="1" a="1"/>
  <c r="R309" i="1" s="1"/>
  <c r="Q309" i="1"/>
  <c r="S308" i="1"/>
  <c r="R308" i="1" a="1"/>
  <c r="R308" i="1" s="1"/>
  <c r="Q308" i="1"/>
  <c r="S307" i="1"/>
  <c r="R307" i="1" a="1"/>
  <c r="R307" i="1" s="1"/>
  <c r="Q307" i="1"/>
  <c r="S306" i="1"/>
  <c r="R306" i="1" a="1"/>
  <c r="R306" i="1" s="1"/>
  <c r="Q306" i="1"/>
  <c r="S305" i="1"/>
  <c r="R305" i="1" a="1"/>
  <c r="R305" i="1" s="1"/>
  <c r="Q305" i="1"/>
  <c r="S304" i="1"/>
  <c r="R304" i="1" a="1"/>
  <c r="R304" i="1" s="1"/>
  <c r="Q304" i="1"/>
  <c r="S303" i="1"/>
  <c r="R303" i="1" a="1"/>
  <c r="R303" i="1" s="1"/>
  <c r="Q303" i="1"/>
  <c r="S302" i="1"/>
  <c r="R302" i="1"/>
  <c r="R302" i="1" a="1"/>
  <c r="Q302" i="1"/>
  <c r="S301" i="1"/>
  <c r="R301" i="1" a="1"/>
  <c r="R301" i="1" s="1"/>
  <c r="Q301" i="1"/>
  <c r="S300" i="1"/>
  <c r="R300" i="1" a="1"/>
  <c r="R300" i="1" s="1"/>
  <c r="Q300" i="1"/>
  <c r="S299" i="1"/>
  <c r="R299" i="1" a="1"/>
  <c r="R299" i="1" s="1"/>
  <c r="Q299" i="1"/>
  <c r="S298" i="1"/>
  <c r="R298" i="1" a="1"/>
  <c r="R298" i="1" s="1"/>
  <c r="Q298" i="1"/>
  <c r="S297" i="1"/>
  <c r="R297" i="1" a="1"/>
  <c r="R297" i="1" s="1"/>
  <c r="Q297" i="1"/>
  <c r="S296" i="1"/>
  <c r="R296" i="1" a="1"/>
  <c r="R296" i="1" s="1"/>
  <c r="Q296" i="1"/>
  <c r="S295" i="1"/>
  <c r="R295" i="1" a="1"/>
  <c r="R295" i="1" s="1"/>
  <c r="Q295" i="1"/>
  <c r="S294" i="1"/>
  <c r="R294" i="1" a="1"/>
  <c r="R294" i="1" s="1"/>
  <c r="Q294" i="1"/>
  <c r="S293" i="1"/>
  <c r="R293" i="1" a="1"/>
  <c r="R293" i="1" s="1"/>
  <c r="Q293" i="1"/>
  <c r="S292" i="1"/>
  <c r="R292" i="1" a="1"/>
  <c r="R292" i="1" s="1"/>
  <c r="Q292" i="1"/>
  <c r="S291" i="1"/>
  <c r="R291" i="1" a="1"/>
  <c r="R291" i="1" s="1"/>
  <c r="Q291" i="1"/>
  <c r="S290" i="1"/>
  <c r="R290" i="1" a="1"/>
  <c r="R290" i="1" s="1"/>
  <c r="Q290" i="1"/>
  <c r="S289" i="1"/>
  <c r="R289" i="1" a="1"/>
  <c r="R289" i="1" s="1"/>
  <c r="Q289" i="1"/>
  <c r="S288" i="1"/>
  <c r="R288" i="1" a="1"/>
  <c r="R288" i="1" s="1"/>
  <c r="Q288" i="1"/>
  <c r="S287" i="1"/>
  <c r="R287" i="1"/>
  <c r="R287" i="1" a="1"/>
  <c r="Q287" i="1"/>
  <c r="S286" i="1"/>
  <c r="R286" i="1" a="1"/>
  <c r="R286" i="1" s="1"/>
  <c r="Q286" i="1"/>
  <c r="S285" i="1"/>
  <c r="R285" i="1" a="1"/>
  <c r="R285" i="1" s="1"/>
  <c r="Q285" i="1"/>
  <c r="S284" i="1"/>
  <c r="R284" i="1" a="1"/>
  <c r="R284" i="1" s="1"/>
  <c r="Q284" i="1"/>
  <c r="S283" i="1"/>
  <c r="R283" i="1" a="1"/>
  <c r="R283" i="1" s="1"/>
  <c r="Q283" i="1"/>
  <c r="S282" i="1"/>
  <c r="R282" i="1" a="1"/>
  <c r="R282" i="1" s="1"/>
  <c r="Q282" i="1"/>
  <c r="S281" i="1"/>
  <c r="R281" i="1" a="1"/>
  <c r="R281" i="1" s="1"/>
  <c r="Q281" i="1"/>
  <c r="S280" i="1"/>
  <c r="R280" i="1"/>
  <c r="R280" i="1" a="1"/>
  <c r="Q280" i="1"/>
  <c r="S279" i="1"/>
  <c r="R279" i="1" a="1"/>
  <c r="R279" i="1" s="1"/>
  <c r="Q279" i="1"/>
  <c r="S278" i="1"/>
  <c r="R278" i="1" a="1"/>
  <c r="R278" i="1" s="1"/>
  <c r="Q278" i="1"/>
  <c r="S277" i="1"/>
  <c r="R277" i="1" a="1"/>
  <c r="R277" i="1" s="1"/>
  <c r="Q277" i="1"/>
  <c r="S276" i="1"/>
  <c r="R276" i="1" a="1"/>
  <c r="R276" i="1" s="1"/>
  <c r="Q276" i="1"/>
  <c r="S275" i="1"/>
  <c r="R275" i="1" a="1"/>
  <c r="R275" i="1" s="1"/>
  <c r="Q275" i="1"/>
  <c r="S274" i="1"/>
  <c r="R274" i="1" a="1"/>
  <c r="R274" i="1" s="1"/>
  <c r="Q274" i="1"/>
  <c r="S273" i="1"/>
  <c r="R273" i="1" a="1"/>
  <c r="R273" i="1" s="1"/>
  <c r="Q273" i="1"/>
  <c r="S272" i="1"/>
  <c r="R272" i="1" a="1"/>
  <c r="R272" i="1" s="1"/>
  <c r="Q272" i="1"/>
  <c r="S271" i="1"/>
  <c r="R271" i="1" a="1"/>
  <c r="R271" i="1" s="1"/>
  <c r="Q271" i="1"/>
  <c r="S270" i="1"/>
  <c r="R270" i="1" a="1"/>
  <c r="R270" i="1" s="1"/>
  <c r="Q270" i="1"/>
  <c r="S269" i="1"/>
  <c r="R269" i="1" a="1"/>
  <c r="R269" i="1" s="1"/>
  <c r="Q269" i="1"/>
  <c r="S268" i="1"/>
  <c r="R268" i="1" a="1"/>
  <c r="R268" i="1" s="1"/>
  <c r="Q268" i="1"/>
  <c r="S267" i="1"/>
  <c r="R267" i="1" a="1"/>
  <c r="R267" i="1" s="1"/>
  <c r="Q267" i="1"/>
  <c r="S266" i="1"/>
  <c r="R266" i="1" a="1"/>
  <c r="R266" i="1" s="1"/>
  <c r="Q266" i="1"/>
  <c r="S265" i="1"/>
  <c r="R265" i="1" a="1"/>
  <c r="R265" i="1" s="1"/>
  <c r="Q265" i="1"/>
  <c r="S264" i="1"/>
  <c r="R264" i="1" a="1"/>
  <c r="R264" i="1" s="1"/>
  <c r="Q264" i="1"/>
  <c r="S263" i="1"/>
  <c r="R263" i="1" a="1"/>
  <c r="R263" i="1" s="1"/>
  <c r="Q263" i="1"/>
  <c r="S262" i="1"/>
  <c r="R262" i="1" a="1"/>
  <c r="R262" i="1" s="1"/>
  <c r="Q262" i="1"/>
  <c r="S261" i="1"/>
  <c r="R261" i="1" a="1"/>
  <c r="R261" i="1" s="1"/>
  <c r="Q261" i="1"/>
  <c r="S260" i="1"/>
  <c r="R260" i="1" a="1"/>
  <c r="R260" i="1" s="1"/>
  <c r="Q260" i="1"/>
  <c r="S259" i="1"/>
  <c r="R259" i="1" a="1"/>
  <c r="R259" i="1" s="1"/>
  <c r="Q259" i="1"/>
  <c r="S258" i="1"/>
  <c r="R258" i="1" a="1"/>
  <c r="R258" i="1" s="1"/>
  <c r="Q258" i="1"/>
  <c r="S257" i="1"/>
  <c r="R257" i="1" a="1"/>
  <c r="R257" i="1" s="1"/>
  <c r="Q257" i="1"/>
  <c r="S256" i="1"/>
  <c r="R256" i="1" a="1"/>
  <c r="R256" i="1" s="1"/>
  <c r="Q256" i="1"/>
  <c r="S255" i="1"/>
  <c r="R255" i="1" a="1"/>
  <c r="R255" i="1" s="1"/>
  <c r="Q255" i="1"/>
  <c r="S254" i="1"/>
  <c r="R254" i="1" a="1"/>
  <c r="R254" i="1" s="1"/>
  <c r="Q254" i="1"/>
  <c r="S253" i="1"/>
  <c r="R253" i="1" a="1"/>
  <c r="R253" i="1" s="1"/>
  <c r="Q253" i="1"/>
  <c r="S252" i="1"/>
  <c r="R252" i="1" a="1"/>
  <c r="R252" i="1" s="1"/>
  <c r="Q252" i="1"/>
  <c r="S251" i="1"/>
  <c r="R251" i="1" a="1"/>
  <c r="R251" i="1" s="1"/>
  <c r="Q251" i="1"/>
  <c r="S250" i="1"/>
  <c r="R250" i="1" a="1"/>
  <c r="R250" i="1" s="1"/>
  <c r="Q250" i="1"/>
  <c r="S249" i="1"/>
  <c r="R249" i="1" a="1"/>
  <c r="R249" i="1" s="1"/>
  <c r="Q249" i="1"/>
  <c r="S248" i="1"/>
  <c r="R248" i="1" a="1"/>
  <c r="R248" i="1" s="1"/>
  <c r="Q248" i="1"/>
  <c r="S247" i="1"/>
  <c r="R247" i="1" a="1"/>
  <c r="R247" i="1" s="1"/>
  <c r="Q247" i="1"/>
  <c r="S246" i="1"/>
  <c r="R246" i="1" a="1"/>
  <c r="R246" i="1" s="1"/>
  <c r="Q246" i="1"/>
  <c r="S245" i="1"/>
  <c r="R245" i="1" a="1"/>
  <c r="R245" i="1" s="1"/>
  <c r="Q245" i="1"/>
  <c r="S244" i="1"/>
  <c r="R244" i="1" a="1"/>
  <c r="R244" i="1" s="1"/>
  <c r="Q244" i="1"/>
  <c r="S243" i="1"/>
  <c r="R243" i="1" a="1"/>
  <c r="R243" i="1" s="1"/>
  <c r="Q243" i="1"/>
  <c r="S242" i="1"/>
  <c r="R242" i="1" a="1"/>
  <c r="R242" i="1" s="1"/>
  <c r="Q242" i="1"/>
  <c r="S241" i="1"/>
  <c r="R241" i="1" a="1"/>
  <c r="R241" i="1" s="1"/>
  <c r="Q241" i="1"/>
  <c r="S240" i="1"/>
  <c r="R240" i="1" a="1"/>
  <c r="R240" i="1" s="1"/>
  <c r="Q240" i="1"/>
  <c r="S239" i="1"/>
  <c r="R239" i="1" a="1"/>
  <c r="R239" i="1" s="1"/>
  <c r="Q239" i="1"/>
  <c r="S238" i="1"/>
  <c r="R238" i="1" a="1"/>
  <c r="R238" i="1" s="1"/>
  <c r="Q238" i="1"/>
  <c r="S237" i="1"/>
  <c r="R237" i="1" a="1"/>
  <c r="R237" i="1" s="1"/>
  <c r="Q237" i="1"/>
  <c r="S236" i="1"/>
  <c r="R236" i="1" a="1"/>
  <c r="R236" i="1" s="1"/>
  <c r="Q236" i="1"/>
  <c r="S235" i="1"/>
  <c r="R235" i="1" a="1"/>
  <c r="R235" i="1" s="1"/>
  <c r="Q235" i="1"/>
  <c r="S234" i="1"/>
  <c r="R234" i="1" a="1"/>
  <c r="R234" i="1" s="1"/>
  <c r="Q234" i="1"/>
  <c r="S233" i="1"/>
  <c r="R233" i="1" a="1"/>
  <c r="R233" i="1" s="1"/>
  <c r="Q233" i="1"/>
  <c r="S232" i="1"/>
  <c r="R232" i="1" a="1"/>
  <c r="R232" i="1" s="1"/>
  <c r="Q232" i="1"/>
  <c r="S231" i="1"/>
  <c r="R231" i="1" a="1"/>
  <c r="R231" i="1" s="1"/>
  <c r="Q231" i="1"/>
  <c r="S230" i="1"/>
  <c r="R230" i="1" a="1"/>
  <c r="R230" i="1" s="1"/>
  <c r="Q230" i="1"/>
  <c r="S229" i="1"/>
  <c r="R229" i="1" a="1"/>
  <c r="R229" i="1" s="1"/>
  <c r="Q229" i="1"/>
  <c r="S228" i="1"/>
  <c r="R228" i="1" a="1"/>
  <c r="R228" i="1" s="1"/>
  <c r="Q228" i="1"/>
  <c r="S227" i="1"/>
  <c r="R227" i="1" a="1"/>
  <c r="R227" i="1" s="1"/>
  <c r="Q227" i="1"/>
  <c r="S226" i="1"/>
  <c r="R226" i="1" a="1"/>
  <c r="R226" i="1" s="1"/>
  <c r="Q226" i="1"/>
  <c r="S225" i="1"/>
  <c r="R225" i="1" a="1"/>
  <c r="R225" i="1" s="1"/>
  <c r="Q225" i="1"/>
  <c r="S224" i="1"/>
  <c r="R224" i="1" a="1"/>
  <c r="R224" i="1" s="1"/>
  <c r="Q224" i="1"/>
  <c r="S223" i="1"/>
  <c r="R223" i="1" a="1"/>
  <c r="R223" i="1" s="1"/>
  <c r="Q223" i="1"/>
  <c r="S222" i="1"/>
  <c r="R222" i="1" a="1"/>
  <c r="R222" i="1" s="1"/>
  <c r="Q222" i="1"/>
  <c r="S221" i="1"/>
  <c r="R221" i="1" a="1"/>
  <c r="R221" i="1" s="1"/>
  <c r="Q221" i="1"/>
  <c r="S220" i="1"/>
  <c r="R220" i="1" a="1"/>
  <c r="R220" i="1" s="1"/>
  <c r="Q220" i="1"/>
  <c r="S219" i="1"/>
  <c r="R219" i="1" a="1"/>
  <c r="R219" i="1" s="1"/>
  <c r="Q219" i="1"/>
  <c r="S218" i="1"/>
  <c r="R218" i="1" a="1"/>
  <c r="R218" i="1" s="1"/>
  <c r="Q218" i="1"/>
  <c r="S217" i="1"/>
  <c r="R217" i="1"/>
  <c r="R217" i="1" a="1"/>
  <c r="Q217" i="1"/>
  <c r="S216" i="1"/>
  <c r="R216" i="1" a="1"/>
  <c r="R216" i="1" s="1"/>
  <c r="Q216" i="1"/>
  <c r="S215" i="1"/>
  <c r="R215" i="1" a="1"/>
  <c r="R215" i="1" s="1"/>
  <c r="Q215" i="1"/>
  <c r="S214" i="1"/>
  <c r="R214" i="1" a="1"/>
  <c r="R214" i="1" s="1"/>
  <c r="Q214" i="1"/>
  <c r="S213" i="1"/>
  <c r="R213" i="1" a="1"/>
  <c r="R213" i="1" s="1"/>
  <c r="Q213" i="1"/>
  <c r="S212" i="1"/>
  <c r="R212" i="1" a="1"/>
  <c r="R212" i="1" s="1"/>
  <c r="Q212" i="1"/>
  <c r="S211" i="1"/>
  <c r="R211" i="1" a="1"/>
  <c r="R211" i="1" s="1"/>
  <c r="Q211" i="1"/>
  <c r="S210" i="1"/>
  <c r="R210" i="1" a="1"/>
  <c r="R210" i="1" s="1"/>
  <c r="Q210" i="1"/>
  <c r="S209" i="1"/>
  <c r="R209" i="1" a="1"/>
  <c r="R209" i="1" s="1"/>
  <c r="Q209" i="1"/>
  <c r="S208" i="1"/>
  <c r="R208" i="1" a="1"/>
  <c r="R208" i="1" s="1"/>
  <c r="Q208" i="1"/>
  <c r="S207" i="1"/>
  <c r="R207" i="1" a="1"/>
  <c r="R207" i="1" s="1"/>
  <c r="Q207" i="1"/>
  <c r="S206" i="1"/>
  <c r="R206" i="1" a="1"/>
  <c r="R206" i="1" s="1"/>
  <c r="Q206" i="1"/>
  <c r="S205" i="1"/>
  <c r="R205" i="1" a="1"/>
  <c r="R205" i="1" s="1"/>
  <c r="Q205" i="1"/>
  <c r="S204" i="1"/>
  <c r="R204" i="1" a="1"/>
  <c r="R204" i="1" s="1"/>
  <c r="Q204" i="1"/>
  <c r="S203" i="1"/>
  <c r="R203" i="1" a="1"/>
  <c r="R203" i="1" s="1"/>
  <c r="Q203" i="1"/>
  <c r="S202" i="1"/>
  <c r="R202" i="1" a="1"/>
  <c r="R202" i="1" s="1"/>
  <c r="Q202" i="1"/>
  <c r="S201" i="1"/>
  <c r="R201" i="1" a="1"/>
  <c r="R201" i="1" s="1"/>
  <c r="Q201" i="1"/>
  <c r="S200" i="1"/>
  <c r="R200" i="1" a="1"/>
  <c r="R200" i="1" s="1"/>
  <c r="Q200" i="1"/>
  <c r="S199" i="1"/>
  <c r="R199" i="1" a="1"/>
  <c r="R199" i="1" s="1"/>
  <c r="Q199" i="1"/>
  <c r="S198" i="1"/>
  <c r="R198" i="1" a="1"/>
  <c r="R198" i="1" s="1"/>
  <c r="Q198" i="1"/>
  <c r="S197" i="1"/>
  <c r="R197" i="1" a="1"/>
  <c r="R197" i="1" s="1"/>
  <c r="Q197" i="1"/>
  <c r="S196" i="1"/>
  <c r="R196" i="1" a="1"/>
  <c r="R196" i="1" s="1"/>
  <c r="Q196" i="1"/>
  <c r="S195" i="1"/>
  <c r="R195" i="1" a="1"/>
  <c r="R195" i="1" s="1"/>
  <c r="Q195" i="1"/>
  <c r="S194" i="1"/>
  <c r="R194" i="1" a="1"/>
  <c r="R194" i="1" s="1"/>
  <c r="Q194" i="1"/>
  <c r="S193" i="1"/>
  <c r="R193" i="1" a="1"/>
  <c r="R193" i="1" s="1"/>
  <c r="Q193" i="1"/>
  <c r="S192" i="1"/>
  <c r="R192" i="1" a="1"/>
  <c r="R192" i="1" s="1"/>
  <c r="Q192" i="1"/>
  <c r="S191" i="1"/>
  <c r="R191" i="1" a="1"/>
  <c r="R191" i="1" s="1"/>
  <c r="Q191" i="1"/>
  <c r="S190" i="1"/>
  <c r="R190" i="1" a="1"/>
  <c r="R190" i="1" s="1"/>
  <c r="Q190" i="1"/>
  <c r="S189" i="1"/>
  <c r="R189" i="1" a="1"/>
  <c r="R189" i="1" s="1"/>
  <c r="Q189" i="1"/>
  <c r="S188" i="1"/>
  <c r="R188" i="1" a="1"/>
  <c r="R188" i="1" s="1"/>
  <c r="Q188" i="1"/>
  <c r="S187" i="1"/>
  <c r="R187" i="1" a="1"/>
  <c r="R187" i="1" s="1"/>
  <c r="Q187" i="1"/>
  <c r="S186" i="1"/>
  <c r="R186" i="1" a="1"/>
  <c r="R186" i="1" s="1"/>
  <c r="Q186" i="1"/>
  <c r="S185" i="1"/>
  <c r="R185" i="1" a="1"/>
  <c r="R185" i="1" s="1"/>
  <c r="Q185" i="1"/>
  <c r="S184" i="1"/>
  <c r="R184" i="1" a="1"/>
  <c r="R184" i="1" s="1"/>
  <c r="Q184" i="1"/>
  <c r="S183" i="1"/>
  <c r="R183" i="1" a="1"/>
  <c r="R183" i="1" s="1"/>
  <c r="Q183" i="1"/>
  <c r="S182" i="1"/>
  <c r="R182" i="1" a="1"/>
  <c r="R182" i="1" s="1"/>
  <c r="Q182" i="1"/>
  <c r="S181" i="1"/>
  <c r="R181" i="1" a="1"/>
  <c r="R181" i="1" s="1"/>
  <c r="Q181" i="1"/>
  <c r="S180" i="1"/>
  <c r="R180" i="1" a="1"/>
  <c r="R180" i="1" s="1"/>
  <c r="Q180" i="1"/>
  <c r="S179" i="1"/>
  <c r="R179" i="1" a="1"/>
  <c r="R179" i="1" s="1"/>
  <c r="Q179" i="1"/>
  <c r="S178" i="1"/>
  <c r="R178" i="1"/>
  <c r="R178" i="1" a="1"/>
  <c r="Q178" i="1"/>
  <c r="S177" i="1"/>
  <c r="R177" i="1" a="1"/>
  <c r="R177" i="1" s="1"/>
  <c r="Q177" i="1"/>
  <c r="S176" i="1"/>
  <c r="R176" i="1" a="1"/>
  <c r="R176" i="1" s="1"/>
  <c r="Q176" i="1"/>
  <c r="S175" i="1"/>
  <c r="R175" i="1" a="1"/>
  <c r="R175" i="1" s="1"/>
  <c r="Q175" i="1"/>
  <c r="S174" i="1"/>
  <c r="R174" i="1" a="1"/>
  <c r="R174" i="1" s="1"/>
  <c r="Q174" i="1"/>
  <c r="S173" i="1"/>
  <c r="R173" i="1" a="1"/>
  <c r="R173" i="1" s="1"/>
  <c r="Q173" i="1"/>
  <c r="S172" i="1"/>
  <c r="R172" i="1" a="1"/>
  <c r="R172" i="1" s="1"/>
  <c r="Q172" i="1"/>
  <c r="S171" i="1"/>
  <c r="R171" i="1" a="1"/>
  <c r="R171" i="1" s="1"/>
  <c r="Q171" i="1"/>
  <c r="S170" i="1"/>
  <c r="R170" i="1" a="1"/>
  <c r="R170" i="1" s="1"/>
  <c r="Q170" i="1"/>
  <c r="S169" i="1"/>
  <c r="R169" i="1" a="1"/>
  <c r="R169" i="1" s="1"/>
  <c r="Q169" i="1"/>
  <c r="S168" i="1"/>
  <c r="R168" i="1" a="1"/>
  <c r="R168" i="1" s="1"/>
  <c r="Q168" i="1"/>
  <c r="S167" i="1"/>
  <c r="R167" i="1" a="1"/>
  <c r="R167" i="1" s="1"/>
  <c r="Q167" i="1"/>
  <c r="S166" i="1"/>
  <c r="R166" i="1" a="1"/>
  <c r="R166" i="1" s="1"/>
  <c r="Q166" i="1"/>
  <c r="S165" i="1"/>
  <c r="R165" i="1" a="1"/>
  <c r="R165" i="1" s="1"/>
  <c r="Q165" i="1"/>
  <c r="S164" i="1"/>
  <c r="R164" i="1" a="1"/>
  <c r="R164" i="1" s="1"/>
  <c r="Q164" i="1"/>
  <c r="S163" i="1"/>
  <c r="R163" i="1" a="1"/>
  <c r="R163" i="1" s="1"/>
  <c r="Q163" i="1"/>
  <c r="S162" i="1"/>
  <c r="R162" i="1" a="1"/>
  <c r="R162" i="1" s="1"/>
  <c r="Q162" i="1"/>
  <c r="S161" i="1"/>
  <c r="R161" i="1" a="1"/>
  <c r="R161" i="1" s="1"/>
  <c r="Q161" i="1"/>
  <c r="S160" i="1"/>
  <c r="R160" i="1" a="1"/>
  <c r="R160" i="1" s="1"/>
  <c r="Q160" i="1"/>
  <c r="S159" i="1"/>
  <c r="R159" i="1" a="1"/>
  <c r="R159" i="1" s="1"/>
  <c r="Q159" i="1"/>
  <c r="S158" i="1"/>
  <c r="R158" i="1" a="1"/>
  <c r="R158" i="1" s="1"/>
  <c r="Q158" i="1"/>
  <c r="S157" i="1"/>
  <c r="R157" i="1" a="1"/>
  <c r="R157" i="1" s="1"/>
  <c r="Q157" i="1"/>
  <c r="S156" i="1"/>
  <c r="R156" i="1" a="1"/>
  <c r="R156" i="1" s="1"/>
  <c r="Q156" i="1"/>
  <c r="S155" i="1"/>
  <c r="R155" i="1" a="1"/>
  <c r="R155" i="1" s="1"/>
  <c r="Q155" i="1"/>
  <c r="S154" i="1"/>
  <c r="R154" i="1" a="1"/>
  <c r="R154" i="1" s="1"/>
  <c r="Q154" i="1"/>
  <c r="S153" i="1"/>
  <c r="R153" i="1" a="1"/>
  <c r="R153" i="1" s="1"/>
  <c r="Q153" i="1"/>
  <c r="S152" i="1"/>
  <c r="R152" i="1" a="1"/>
  <c r="R152" i="1" s="1"/>
  <c r="Q152" i="1"/>
  <c r="S151" i="1"/>
  <c r="R151" i="1"/>
  <c r="R151" i="1" a="1"/>
  <c r="Q151" i="1"/>
  <c r="S150" i="1"/>
  <c r="R150" i="1" a="1"/>
  <c r="R150" i="1" s="1"/>
  <c r="Q150" i="1"/>
  <c r="S149" i="1"/>
  <c r="R149" i="1" a="1"/>
  <c r="R149" i="1" s="1"/>
  <c r="Q149" i="1"/>
  <c r="S148" i="1"/>
  <c r="R148" i="1" a="1"/>
  <c r="R148" i="1" s="1"/>
  <c r="Q148" i="1"/>
  <c r="S147" i="1"/>
  <c r="R147" i="1" a="1"/>
  <c r="R147" i="1" s="1"/>
  <c r="Q147" i="1"/>
  <c r="S146" i="1"/>
  <c r="R146" i="1" a="1"/>
  <c r="R146" i="1" s="1"/>
  <c r="Q146" i="1"/>
  <c r="S145" i="1"/>
  <c r="R145" i="1" a="1"/>
  <c r="R145" i="1" s="1"/>
  <c r="Q145" i="1"/>
  <c r="S144" i="1"/>
  <c r="R144" i="1" a="1"/>
  <c r="R144" i="1" s="1"/>
  <c r="Q144" i="1"/>
  <c r="S143" i="1"/>
  <c r="R143" i="1" a="1"/>
  <c r="R143" i="1" s="1"/>
  <c r="Q143" i="1"/>
  <c r="S142" i="1"/>
  <c r="R142" i="1" a="1"/>
  <c r="R142" i="1" s="1"/>
  <c r="Q142" i="1"/>
  <c r="S141" i="1"/>
  <c r="R141" i="1" a="1"/>
  <c r="R141" i="1" s="1"/>
  <c r="Q141" i="1"/>
  <c r="S140" i="1"/>
  <c r="R140" i="1" a="1"/>
  <c r="R140" i="1" s="1"/>
  <c r="Q140" i="1"/>
  <c r="S139" i="1"/>
  <c r="R139" i="1" a="1"/>
  <c r="R139" i="1" s="1"/>
  <c r="Q139" i="1"/>
  <c r="S138" i="1"/>
  <c r="R138" i="1" a="1"/>
  <c r="R138" i="1" s="1"/>
  <c r="Q138" i="1"/>
  <c r="S137" i="1"/>
  <c r="R137" i="1" a="1"/>
  <c r="R137" i="1" s="1"/>
  <c r="Q137" i="1"/>
  <c r="S136" i="1"/>
  <c r="R136" i="1" a="1"/>
  <c r="R136" i="1" s="1"/>
  <c r="Q136" i="1"/>
  <c r="S135" i="1"/>
  <c r="R135" i="1" a="1"/>
  <c r="R135" i="1" s="1"/>
  <c r="Q135" i="1"/>
  <c r="S134" i="1"/>
  <c r="R134" i="1" a="1"/>
  <c r="R134" i="1" s="1"/>
  <c r="Q134" i="1"/>
  <c r="S133" i="1"/>
  <c r="R133" i="1" a="1"/>
  <c r="R133" i="1" s="1"/>
  <c r="Q133" i="1"/>
  <c r="S132" i="1"/>
  <c r="R132" i="1" a="1"/>
  <c r="R132" i="1" s="1"/>
  <c r="Q132" i="1"/>
  <c r="S131" i="1"/>
  <c r="R131" i="1" a="1"/>
  <c r="R131" i="1" s="1"/>
  <c r="Q131" i="1"/>
  <c r="S130" i="1"/>
  <c r="R130" i="1" a="1"/>
  <c r="R130" i="1" s="1"/>
  <c r="Q130" i="1"/>
  <c r="S129" i="1"/>
  <c r="R129" i="1" a="1"/>
  <c r="R129" i="1" s="1"/>
  <c r="Q129" i="1"/>
  <c r="S128" i="1"/>
  <c r="R128" i="1" a="1"/>
  <c r="R128" i="1" s="1"/>
  <c r="Q128" i="1"/>
  <c r="S127" i="1"/>
  <c r="R127" i="1" a="1"/>
  <c r="R127" i="1" s="1"/>
  <c r="Q127" i="1"/>
  <c r="S126" i="1"/>
  <c r="R126" i="1" a="1"/>
  <c r="R126" i="1" s="1"/>
  <c r="Q126" i="1"/>
  <c r="S125" i="1"/>
  <c r="R125" i="1" a="1"/>
  <c r="R125" i="1" s="1"/>
  <c r="Q125" i="1"/>
  <c r="S124" i="1"/>
  <c r="R124" i="1" a="1"/>
  <c r="R124" i="1" s="1"/>
  <c r="Q124" i="1"/>
  <c r="S123" i="1"/>
  <c r="R123" i="1" a="1"/>
  <c r="R123" i="1" s="1"/>
  <c r="Q123" i="1"/>
  <c r="S122" i="1"/>
  <c r="R122" i="1" a="1"/>
  <c r="R122" i="1" s="1"/>
  <c r="Q122" i="1"/>
  <c r="S121" i="1"/>
  <c r="R121" i="1" a="1"/>
  <c r="R121" i="1" s="1"/>
  <c r="Q121" i="1"/>
  <c r="S120" i="1"/>
  <c r="R120" i="1" a="1"/>
  <c r="R120" i="1" s="1"/>
  <c r="Q120" i="1"/>
  <c r="S119" i="1"/>
  <c r="R119" i="1" a="1"/>
  <c r="R119" i="1" s="1"/>
  <c r="Q119" i="1"/>
  <c r="S118" i="1"/>
  <c r="R118" i="1" a="1"/>
  <c r="R118" i="1" s="1"/>
  <c r="Q118" i="1"/>
  <c r="S117" i="1"/>
  <c r="R117" i="1" a="1"/>
  <c r="R117" i="1" s="1"/>
  <c r="Q117" i="1"/>
  <c r="S116" i="1"/>
  <c r="R116" i="1" a="1"/>
  <c r="R116" i="1" s="1"/>
  <c r="Q116" i="1"/>
  <c r="S115" i="1"/>
  <c r="R115" i="1" a="1"/>
  <c r="R115" i="1" s="1"/>
  <c r="Q115" i="1"/>
  <c r="S114" i="1"/>
  <c r="R114" i="1" a="1"/>
  <c r="R114" i="1" s="1"/>
  <c r="Q114" i="1"/>
  <c r="S113" i="1"/>
  <c r="R113" i="1" a="1"/>
  <c r="R113" i="1" s="1"/>
  <c r="Q113" i="1"/>
  <c r="S112" i="1"/>
  <c r="R112" i="1" a="1"/>
  <c r="R112" i="1" s="1"/>
  <c r="Q112" i="1"/>
  <c r="S111" i="1"/>
  <c r="R111" i="1" a="1"/>
  <c r="R111" i="1" s="1"/>
  <c r="Q111" i="1"/>
  <c r="S110" i="1"/>
  <c r="R110" i="1" a="1"/>
  <c r="R110" i="1" s="1"/>
  <c r="Q110" i="1"/>
  <c r="S109" i="1"/>
  <c r="R109" i="1" a="1"/>
  <c r="R109" i="1" s="1"/>
  <c r="Q109" i="1"/>
  <c r="S108" i="1"/>
  <c r="R108" i="1" a="1"/>
  <c r="R108" i="1" s="1"/>
  <c r="Q108" i="1"/>
  <c r="S107" i="1"/>
  <c r="R107" i="1" a="1"/>
  <c r="R107" i="1" s="1"/>
  <c r="Q107" i="1"/>
  <c r="S106" i="1"/>
  <c r="R106" i="1" a="1"/>
  <c r="R106" i="1" s="1"/>
  <c r="Q106" i="1"/>
  <c r="S105" i="1"/>
  <c r="R105" i="1" a="1"/>
  <c r="R105" i="1" s="1"/>
  <c r="Q105" i="1"/>
  <c r="S104" i="1"/>
  <c r="R104" i="1" a="1"/>
  <c r="R104" i="1" s="1"/>
  <c r="Q104" i="1"/>
  <c r="S103" i="1"/>
  <c r="R103" i="1" a="1"/>
  <c r="R103" i="1" s="1"/>
  <c r="Q103" i="1"/>
  <c r="S102" i="1"/>
  <c r="R102" i="1" a="1"/>
  <c r="R102" i="1" s="1"/>
  <c r="Q102" i="1"/>
  <c r="S101" i="1"/>
  <c r="R101" i="1" a="1"/>
  <c r="R101" i="1" s="1"/>
  <c r="Q101" i="1"/>
  <c r="S100" i="1"/>
  <c r="R100" i="1" a="1"/>
  <c r="R100" i="1" s="1"/>
  <c r="Q100" i="1"/>
  <c r="S99" i="1"/>
  <c r="R99" i="1" a="1"/>
  <c r="R99" i="1" s="1"/>
  <c r="Q99" i="1"/>
  <c r="S98" i="1"/>
  <c r="R98" i="1" a="1"/>
  <c r="R98" i="1" s="1"/>
  <c r="Q98" i="1"/>
  <c r="S97" i="1"/>
  <c r="R97" i="1" a="1"/>
  <c r="R97" i="1" s="1"/>
  <c r="Q97" i="1"/>
  <c r="S96" i="1"/>
  <c r="R96" i="1" a="1"/>
  <c r="R96" i="1" s="1"/>
  <c r="Q96" i="1"/>
  <c r="S95" i="1"/>
  <c r="R95" i="1" a="1"/>
  <c r="R95" i="1" s="1"/>
  <c r="Q95" i="1"/>
  <c r="S94" i="1"/>
  <c r="R94" i="1" a="1"/>
  <c r="R94" i="1" s="1"/>
  <c r="Q94" i="1"/>
  <c r="S93" i="1"/>
  <c r="R93" i="1" a="1"/>
  <c r="R93" i="1" s="1"/>
  <c r="Q93" i="1"/>
  <c r="S92" i="1"/>
  <c r="R92" i="1" a="1"/>
  <c r="R92" i="1" s="1"/>
  <c r="Q92" i="1"/>
  <c r="S91" i="1"/>
  <c r="R91" i="1" a="1"/>
  <c r="R91" i="1" s="1"/>
  <c r="Q91" i="1"/>
  <c r="S90" i="1"/>
  <c r="R90" i="1" a="1"/>
  <c r="R90" i="1" s="1"/>
  <c r="Q90" i="1"/>
  <c r="S89" i="1"/>
  <c r="R89" i="1" a="1"/>
  <c r="R89" i="1" s="1"/>
  <c r="Q89" i="1"/>
  <c r="S88" i="1"/>
  <c r="R88" i="1" a="1"/>
  <c r="R88" i="1" s="1"/>
  <c r="Q88" i="1"/>
  <c r="S87" i="1"/>
  <c r="R87" i="1" a="1"/>
  <c r="R87" i="1" s="1"/>
  <c r="Q87" i="1"/>
  <c r="S86" i="1"/>
  <c r="R86" i="1" a="1"/>
  <c r="R86" i="1" s="1"/>
  <c r="Q86" i="1"/>
  <c r="S85" i="1"/>
  <c r="R85" i="1" a="1"/>
  <c r="R85" i="1" s="1"/>
  <c r="Q85" i="1"/>
  <c r="S84" i="1"/>
  <c r="R84" i="1" a="1"/>
  <c r="R84" i="1" s="1"/>
  <c r="Q84" i="1"/>
  <c r="S83" i="1"/>
  <c r="R83" i="1" a="1"/>
  <c r="R83" i="1" s="1"/>
  <c r="Q83" i="1"/>
  <c r="S82" i="1"/>
  <c r="R82" i="1" a="1"/>
  <c r="R82" i="1" s="1"/>
  <c r="Q82" i="1"/>
  <c r="S81" i="1"/>
  <c r="R81" i="1" a="1"/>
  <c r="R81" i="1" s="1"/>
  <c r="Q81" i="1"/>
  <c r="S80" i="1"/>
  <c r="R80" i="1" a="1"/>
  <c r="R80" i="1" s="1"/>
  <c r="Q80" i="1"/>
  <c r="S79" i="1"/>
  <c r="R79" i="1" a="1"/>
  <c r="R79" i="1" s="1"/>
  <c r="Q79" i="1"/>
  <c r="S78" i="1"/>
  <c r="R78" i="1" a="1"/>
  <c r="R78" i="1" s="1"/>
  <c r="Q78" i="1"/>
  <c r="S77" i="1"/>
  <c r="R77" i="1" a="1"/>
  <c r="R77" i="1" s="1"/>
  <c r="Q77" i="1"/>
  <c r="S76" i="1"/>
  <c r="R76" i="1" a="1"/>
  <c r="R76" i="1" s="1"/>
  <c r="Q76" i="1"/>
  <c r="S75" i="1"/>
  <c r="R75" i="1" a="1"/>
  <c r="R75" i="1" s="1"/>
  <c r="Q75" i="1"/>
  <c r="S74" i="1"/>
  <c r="R74" i="1" a="1"/>
  <c r="R74" i="1" s="1"/>
  <c r="Q74" i="1"/>
  <c r="S73" i="1"/>
  <c r="R73" i="1" a="1"/>
  <c r="R73" i="1" s="1"/>
  <c r="Q73" i="1"/>
  <c r="S72" i="1"/>
  <c r="R72" i="1" a="1"/>
  <c r="R72" i="1" s="1"/>
  <c r="Q72" i="1"/>
  <c r="S71" i="1"/>
  <c r="R71" i="1" a="1"/>
  <c r="R71" i="1" s="1"/>
  <c r="Q71" i="1"/>
  <c r="S70" i="1"/>
  <c r="R70" i="1" a="1"/>
  <c r="R70" i="1" s="1"/>
  <c r="Q70" i="1"/>
  <c r="S69" i="1"/>
  <c r="R69" i="1" a="1"/>
  <c r="R69" i="1" s="1"/>
  <c r="Q69" i="1"/>
  <c r="S68" i="1"/>
  <c r="R68" i="1" a="1"/>
  <c r="R68" i="1" s="1"/>
  <c r="Q68" i="1"/>
  <c r="S67" i="1"/>
  <c r="R67" i="1" a="1"/>
  <c r="R67" i="1" s="1"/>
  <c r="Q67" i="1"/>
  <c r="S66" i="1"/>
  <c r="R66" i="1" a="1"/>
  <c r="R66" i="1" s="1"/>
  <c r="Q66" i="1"/>
  <c r="S65" i="1"/>
  <c r="R65" i="1" a="1"/>
  <c r="R65" i="1" s="1"/>
  <c r="Q65" i="1"/>
  <c r="S64" i="1"/>
  <c r="R64" i="1" a="1"/>
  <c r="R64" i="1" s="1"/>
  <c r="Q64" i="1"/>
  <c r="S63" i="1"/>
  <c r="R63" i="1" a="1"/>
  <c r="R63" i="1" s="1"/>
  <c r="Q63" i="1"/>
  <c r="S62" i="1"/>
  <c r="R62" i="1" a="1"/>
  <c r="R62" i="1" s="1"/>
  <c r="Q62" i="1"/>
  <c r="S61" i="1"/>
  <c r="R61" i="1" a="1"/>
  <c r="R61" i="1" s="1"/>
  <c r="Q61" i="1"/>
  <c r="S60" i="1"/>
  <c r="R60" i="1" a="1"/>
  <c r="R60" i="1" s="1"/>
  <c r="Q60" i="1"/>
  <c r="S59" i="1"/>
  <c r="R59" i="1" a="1"/>
  <c r="R59" i="1" s="1"/>
  <c r="Q59" i="1"/>
  <c r="S58" i="1"/>
  <c r="R58" i="1" a="1"/>
  <c r="R58" i="1" s="1"/>
  <c r="Q58" i="1"/>
  <c r="S57" i="1"/>
  <c r="R57" i="1" a="1"/>
  <c r="R57" i="1" s="1"/>
  <c r="Q57" i="1"/>
  <c r="S56" i="1"/>
  <c r="R56" i="1" a="1"/>
  <c r="R56" i="1" s="1"/>
  <c r="Q56" i="1"/>
  <c r="S55" i="1"/>
  <c r="R55" i="1" a="1"/>
  <c r="R55" i="1" s="1"/>
  <c r="Q55" i="1"/>
  <c r="S54" i="1"/>
  <c r="R54" i="1" a="1"/>
  <c r="R54" i="1" s="1"/>
  <c r="Q54" i="1"/>
  <c r="S53" i="1"/>
  <c r="R53" i="1" a="1"/>
  <c r="R53" i="1" s="1"/>
  <c r="Q53" i="1"/>
  <c r="S52" i="1"/>
  <c r="R52" i="1" a="1"/>
  <c r="R52" i="1" s="1"/>
  <c r="Q52" i="1"/>
  <c r="S51" i="1"/>
  <c r="R51" i="1" a="1"/>
  <c r="R51" i="1" s="1"/>
  <c r="Q51" i="1"/>
  <c r="S50" i="1"/>
  <c r="R50" i="1" a="1"/>
  <c r="R50" i="1" s="1"/>
  <c r="Q50" i="1"/>
  <c r="S49" i="1"/>
  <c r="R49" i="1" a="1"/>
  <c r="R49" i="1" s="1"/>
  <c r="Q49" i="1"/>
  <c r="S48" i="1"/>
  <c r="R48" i="1" a="1"/>
  <c r="R48" i="1" s="1"/>
  <c r="Q48" i="1"/>
  <c r="S47" i="1"/>
  <c r="R47" i="1" a="1"/>
  <c r="R47" i="1" s="1"/>
  <c r="Q47" i="1"/>
  <c r="S46" i="1"/>
  <c r="R46" i="1" a="1"/>
  <c r="R46" i="1" s="1"/>
  <c r="Q46" i="1"/>
  <c r="S45" i="1"/>
  <c r="R45" i="1" a="1"/>
  <c r="R45" i="1" s="1"/>
  <c r="Q45" i="1"/>
  <c r="S44" i="1"/>
  <c r="R44" i="1" a="1"/>
  <c r="R44" i="1" s="1"/>
  <c r="Q44" i="1"/>
  <c r="S43" i="1"/>
  <c r="R43" i="1" a="1"/>
  <c r="R43" i="1" s="1"/>
  <c r="Q43" i="1"/>
  <c r="S42" i="1"/>
  <c r="R42" i="1" a="1"/>
  <c r="R42" i="1" s="1"/>
  <c r="Q42" i="1"/>
  <c r="S41" i="1"/>
  <c r="R41" i="1" a="1"/>
  <c r="R41" i="1" s="1"/>
  <c r="Q41" i="1"/>
  <c r="S40" i="1"/>
  <c r="R40" i="1" a="1"/>
  <c r="R40" i="1" s="1"/>
  <c r="Q40" i="1"/>
  <c r="S39" i="1"/>
  <c r="R39" i="1" a="1"/>
  <c r="R39" i="1" s="1"/>
  <c r="Q39" i="1"/>
  <c r="S38" i="1"/>
  <c r="R38" i="1" a="1"/>
  <c r="R38" i="1" s="1"/>
  <c r="Q38" i="1"/>
  <c r="S37" i="1"/>
  <c r="R37" i="1" a="1"/>
  <c r="R37" i="1" s="1"/>
  <c r="Q37" i="1"/>
  <c r="S36" i="1"/>
  <c r="R36" i="1" a="1"/>
  <c r="R36" i="1" s="1"/>
  <c r="Q36" i="1"/>
  <c r="S35" i="1"/>
  <c r="R35" i="1" a="1"/>
  <c r="R35" i="1" s="1"/>
  <c r="Q35" i="1"/>
  <c r="S34" i="1"/>
  <c r="R34" i="1" a="1"/>
  <c r="R34" i="1" s="1"/>
  <c r="Q34" i="1"/>
  <c r="S33" i="1"/>
  <c r="R33" i="1" a="1"/>
  <c r="R33" i="1" s="1"/>
  <c r="Q33" i="1"/>
  <c r="S32" i="1"/>
  <c r="R32" i="1" a="1"/>
  <c r="R32" i="1" s="1"/>
  <c r="Q32" i="1"/>
  <c r="S31" i="1"/>
  <c r="R31" i="1" a="1"/>
  <c r="R31" i="1" s="1"/>
  <c r="Q31" i="1"/>
  <c r="S30" i="1"/>
  <c r="R30" i="1" a="1"/>
  <c r="R30" i="1" s="1"/>
  <c r="Q30" i="1"/>
  <c r="S29" i="1"/>
  <c r="R29" i="1" a="1"/>
  <c r="R29" i="1" s="1"/>
  <c r="Q29" i="1"/>
  <c r="S28" i="1"/>
  <c r="R28" i="1" a="1"/>
  <c r="R28" i="1" s="1"/>
  <c r="Q28" i="1"/>
  <c r="S27" i="1"/>
  <c r="R27" i="1" a="1"/>
  <c r="R27" i="1" s="1"/>
  <c r="Q27" i="1"/>
  <c r="S26" i="1"/>
  <c r="R26" i="1" a="1"/>
  <c r="R26" i="1" s="1"/>
  <c r="Q26" i="1"/>
  <c r="S25" i="1"/>
  <c r="R25" i="1" a="1"/>
  <c r="R25" i="1" s="1"/>
  <c r="Q25" i="1"/>
  <c r="S24" i="1"/>
  <c r="R24" i="1" a="1"/>
  <c r="R24" i="1" s="1"/>
  <c r="Q24" i="1"/>
  <c r="S23" i="1"/>
  <c r="R23" i="1" a="1"/>
  <c r="R23" i="1" s="1"/>
  <c r="Q23" i="1"/>
  <c r="S22" i="1"/>
  <c r="R22" i="1" a="1"/>
  <c r="R22" i="1" s="1"/>
  <c r="Q22" i="1"/>
  <c r="S21" i="1"/>
  <c r="R21" i="1" a="1"/>
  <c r="R21" i="1" s="1"/>
  <c r="Q21" i="1"/>
  <c r="S20" i="1"/>
  <c r="R20" i="1" a="1"/>
  <c r="R20" i="1" s="1"/>
  <c r="Q20" i="1"/>
  <c r="S19" i="1"/>
  <c r="R19" i="1" a="1"/>
  <c r="R19" i="1" s="1"/>
  <c r="Q19" i="1"/>
  <c r="S18" i="1"/>
  <c r="R18" i="1" a="1"/>
  <c r="R18" i="1" s="1"/>
  <c r="Q18" i="1"/>
  <c r="S17" i="1"/>
  <c r="R17" i="1" a="1"/>
  <c r="R17" i="1" s="1"/>
  <c r="Q17" i="1"/>
  <c r="S16" i="1"/>
  <c r="R16" i="1" a="1"/>
  <c r="R16" i="1" s="1"/>
  <c r="Q16" i="1"/>
  <c r="S15" i="1"/>
  <c r="R15" i="1" a="1"/>
  <c r="R15" i="1" s="1"/>
  <c r="Q15" i="1"/>
  <c r="S14" i="1"/>
  <c r="R14" i="1" a="1"/>
  <c r="R14" i="1" s="1"/>
  <c r="Q14" i="1"/>
  <c r="S13" i="1"/>
  <c r="R13" i="1" a="1"/>
  <c r="R13" i="1" s="1"/>
  <c r="Q13" i="1"/>
  <c r="S12" i="1"/>
  <c r="R12" i="1" a="1"/>
  <c r="R12" i="1" s="1"/>
  <c r="Q12" i="1"/>
  <c r="S11" i="1"/>
  <c r="R11" i="1" a="1"/>
  <c r="R11" i="1" s="1"/>
  <c r="Q11" i="1"/>
  <c r="S10" i="1"/>
  <c r="R10" i="1" a="1"/>
  <c r="R10" i="1" s="1"/>
  <c r="Q10" i="1"/>
  <c r="S9" i="1"/>
  <c r="R9" i="1" a="1"/>
  <c r="R9" i="1" s="1"/>
  <c r="Q9" i="1"/>
  <c r="S8" i="1"/>
  <c r="R8" i="1" a="1"/>
  <c r="R8" i="1" s="1"/>
  <c r="Q8" i="1"/>
  <c r="S7" i="1"/>
  <c r="R7" i="1" a="1"/>
  <c r="R7" i="1" s="1"/>
  <c r="Q7" i="1"/>
  <c r="S6" i="1"/>
  <c r="R6" i="1" a="1"/>
  <c r="R6" i="1" s="1"/>
  <c r="Q6" i="1"/>
  <c r="S5" i="1"/>
  <c r="R5" i="1" a="1"/>
  <c r="R5" i="1" s="1"/>
  <c r="Q5" i="1"/>
  <c r="S4" i="1"/>
  <c r="R4" i="1" a="1"/>
  <c r="R4" i="1" s="1"/>
  <c r="Q4" i="1"/>
  <c r="R3" i="1" a="1"/>
  <c r="R3" i="1" s="1"/>
  <c r="Q3" i="1"/>
  <c r="S2" i="1"/>
  <c r="S1002" i="1" s="1"/>
  <c r="R2" i="1" a="1"/>
  <c r="R2" i="1" s="1"/>
  <c r="Z29" i="2"/>
  <c r="S32" i="2"/>
  <c r="I27" i="2"/>
  <c r="B32" i="2"/>
  <c r="F34" i="2"/>
  <c r="L33" i="2"/>
  <c r="I2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<sst xmlns="http://schemas.openxmlformats.org/spreadsheetml/2006/main" count="7093" uniqueCount="1090">
  <si>
    <t>Transaction ID</t>
  </si>
  <si>
    <t>Date</t>
  </si>
  <si>
    <t>Sales Rep</t>
  </si>
  <si>
    <t>Branch Code</t>
  </si>
  <si>
    <t>Region</t>
  </si>
  <si>
    <t>Product</t>
  </si>
  <si>
    <t>Lead Source</t>
  </si>
  <si>
    <t>Customer Segment</t>
  </si>
  <si>
    <t>Customer Age</t>
  </si>
  <si>
    <t>Account Tenure Months</t>
  </si>
  <si>
    <t>Revenue</t>
  </si>
  <si>
    <t>Processing Fee</t>
  </si>
  <si>
    <t>Discount Applied</t>
  </si>
  <si>
    <t>Target Achieved</t>
  </si>
  <si>
    <t>CSAT Score</t>
  </si>
  <si>
    <t>Retention Risk</t>
  </si>
  <si>
    <t>Value Tier</t>
  </si>
  <si>
    <t>Bonus Eligible</t>
  </si>
  <si>
    <t>TRX-10000</t>
  </si>
  <si>
    <t>Jamie</t>
  </si>
  <si>
    <t>BR-006</t>
  </si>
  <si>
    <t>East</t>
  </si>
  <si>
    <t>Wealth Management</t>
  </si>
  <si>
    <t>Walk-in</t>
  </si>
  <si>
    <t>Retail</t>
  </si>
  <si>
    <t>TRX-10001</t>
  </si>
  <si>
    <t>Morgan</t>
  </si>
  <si>
    <t>BR-015</t>
  </si>
  <si>
    <t>South</t>
  </si>
  <si>
    <t>Personal Loan</t>
  </si>
  <si>
    <t>Website</t>
  </si>
  <si>
    <t>High Net Worth</t>
  </si>
  <si>
    <t>TRX-10002</t>
  </si>
  <si>
    <t>Casey</t>
  </si>
  <si>
    <t>BR-001</t>
  </si>
  <si>
    <t>Auto Loan</t>
  </si>
  <si>
    <t>Social Media</t>
  </si>
  <si>
    <t>TRX-10003</t>
  </si>
  <si>
    <t>BR-009</t>
  </si>
  <si>
    <t>Central</t>
  </si>
  <si>
    <t>Mortgage</t>
  </si>
  <si>
    <t>TRX-10004</t>
  </si>
  <si>
    <t>Taylor</t>
  </si>
  <si>
    <t>TRX-10005</t>
  </si>
  <si>
    <t>Drew</t>
  </si>
  <si>
    <t>BR-005</t>
  </si>
  <si>
    <t>West</t>
  </si>
  <si>
    <t>TRX-10006</t>
  </si>
  <si>
    <t>BR-004</t>
  </si>
  <si>
    <t>TRX-10007</t>
  </si>
  <si>
    <t>BR-013</t>
  </si>
  <si>
    <t>TRX-10008</t>
  </si>
  <si>
    <t>BR-012</t>
  </si>
  <si>
    <t>Corporate</t>
  </si>
  <si>
    <t>TRX-10009</t>
  </si>
  <si>
    <t>Jordan</t>
  </si>
  <si>
    <t>Email Campaign</t>
  </si>
  <si>
    <t>SME</t>
  </si>
  <si>
    <t>TRX-10010</t>
  </si>
  <si>
    <t>North</t>
  </si>
  <si>
    <t>TRX-10011</t>
  </si>
  <si>
    <t>BR-014</t>
  </si>
  <si>
    <t>TRX-10012</t>
  </si>
  <si>
    <t>BR-003</t>
  </si>
  <si>
    <t>TRX-10013</t>
  </si>
  <si>
    <t>Referral</t>
  </si>
  <si>
    <t>TRX-10014</t>
  </si>
  <si>
    <t>TRX-10015</t>
  </si>
  <si>
    <t>BR-002</t>
  </si>
  <si>
    <t>Credit Card</t>
  </si>
  <si>
    <t>TRX-10016</t>
  </si>
  <si>
    <t>TRX-10017</t>
  </si>
  <si>
    <t>TRX-10018</t>
  </si>
  <si>
    <t>TRX-10019</t>
  </si>
  <si>
    <t>TRX-10020</t>
  </si>
  <si>
    <t>Sam</t>
  </si>
  <si>
    <t>TRX-10021</t>
  </si>
  <si>
    <t>BR-010</t>
  </si>
  <si>
    <t>TRX-10022</t>
  </si>
  <si>
    <t>BR-008</t>
  </si>
  <si>
    <t>TRX-10023</t>
  </si>
  <si>
    <t>TRX-10024</t>
  </si>
  <si>
    <t>TRX-10025</t>
  </si>
  <si>
    <t>BR-011</t>
  </si>
  <si>
    <t>TRX-10026</t>
  </si>
  <si>
    <t>TRX-10027</t>
  </si>
  <si>
    <t>TRX-10028</t>
  </si>
  <si>
    <t>BR-007</t>
  </si>
  <si>
    <t>TRX-10029</t>
  </si>
  <si>
    <t>TRX-10030</t>
  </si>
  <si>
    <t>TRX-10031</t>
  </si>
  <si>
    <t>Alex</t>
  </si>
  <si>
    <t>TRX-10032</t>
  </si>
  <si>
    <t>TRX-10033</t>
  </si>
  <si>
    <t>TRX-10034</t>
  </si>
  <si>
    <t>TRX-10035</t>
  </si>
  <si>
    <t>TRX-10036</t>
  </si>
  <si>
    <t>TRX-10037</t>
  </si>
  <si>
    <t>TRX-10038</t>
  </si>
  <si>
    <t>TRX-10039</t>
  </si>
  <si>
    <t>TRX-10040</t>
  </si>
  <si>
    <t>TRX-10041</t>
  </si>
  <si>
    <t>TRX-10042</t>
  </si>
  <si>
    <t>TRX-10043</t>
  </si>
  <si>
    <t>TRX-10044</t>
  </si>
  <si>
    <t>TRX-10045</t>
  </si>
  <si>
    <t>TRX-10046</t>
  </si>
  <si>
    <t>TRX-10047</t>
  </si>
  <si>
    <t>TRX-10048</t>
  </si>
  <si>
    <t>TRX-10049</t>
  </si>
  <si>
    <t>TRX-10050</t>
  </si>
  <si>
    <t>TRX-10051</t>
  </si>
  <si>
    <t>TRX-10052</t>
  </si>
  <si>
    <t>TRX-10053</t>
  </si>
  <si>
    <t>TRX-10054</t>
  </si>
  <si>
    <t>TRX-10055</t>
  </si>
  <si>
    <t>TRX-10056</t>
  </si>
  <si>
    <t>TRX-10057</t>
  </si>
  <si>
    <t>TRX-10058</t>
  </si>
  <si>
    <t>TRX-10059</t>
  </si>
  <si>
    <t>TRX-10060</t>
  </si>
  <si>
    <t>TRX-10061</t>
  </si>
  <si>
    <t>TRX-10062</t>
  </si>
  <si>
    <t>TRX-10063</t>
  </si>
  <si>
    <t>TRX-10064</t>
  </si>
  <si>
    <t>TRX-10065</t>
  </si>
  <si>
    <t>TRX-10066</t>
  </si>
  <si>
    <t>TRX-10067</t>
  </si>
  <si>
    <t>TRX-10068</t>
  </si>
  <si>
    <t>TRX-10069</t>
  </si>
  <si>
    <t>TRX-10070</t>
  </si>
  <si>
    <t>TRX-10071</t>
  </si>
  <si>
    <t>TRX-10072</t>
  </si>
  <si>
    <t>TRX-10073</t>
  </si>
  <si>
    <t>TRX-10074</t>
  </si>
  <si>
    <t>TRX-10075</t>
  </si>
  <si>
    <t>TRX-10076</t>
  </si>
  <si>
    <t>TRX-10077</t>
  </si>
  <si>
    <t>TRX-10078</t>
  </si>
  <si>
    <t>TRX-10079</t>
  </si>
  <si>
    <t>TRX-10080</t>
  </si>
  <si>
    <t>TRX-10081</t>
  </si>
  <si>
    <t>TRX-10082</t>
  </si>
  <si>
    <t>TRX-10083</t>
  </si>
  <si>
    <t>TRX-10084</t>
  </si>
  <si>
    <t>TRX-10085</t>
  </si>
  <si>
    <t>TRX-10086</t>
  </si>
  <si>
    <t>TRX-10087</t>
  </si>
  <si>
    <t>TRX-10088</t>
  </si>
  <si>
    <t>TRX-10089</t>
  </si>
  <si>
    <t>TRX-10090</t>
  </si>
  <si>
    <t>TRX-10091</t>
  </si>
  <si>
    <t>TRX-10092</t>
  </si>
  <si>
    <t>TRX-10093</t>
  </si>
  <si>
    <t>TRX-10094</t>
  </si>
  <si>
    <t>TRX-10095</t>
  </si>
  <si>
    <t>TRX-10096</t>
  </si>
  <si>
    <t>TRX-10097</t>
  </si>
  <si>
    <t>TRX-10098</t>
  </si>
  <si>
    <t>TRX-10099</t>
  </si>
  <si>
    <t>TRX-10100</t>
  </si>
  <si>
    <t>TRX-10101</t>
  </si>
  <si>
    <t>TRX-10102</t>
  </si>
  <si>
    <t>TRX-10103</t>
  </si>
  <si>
    <t>TRX-10104</t>
  </si>
  <si>
    <t>TRX-10105</t>
  </si>
  <si>
    <t>TRX-10106</t>
  </si>
  <si>
    <t>TRX-10107</t>
  </si>
  <si>
    <t>TRX-10108</t>
  </si>
  <si>
    <t>TRX-10109</t>
  </si>
  <si>
    <t>TRX-10110</t>
  </si>
  <si>
    <t>TRX-10111</t>
  </si>
  <si>
    <t>TRX-10112</t>
  </si>
  <si>
    <t>TRX-10113</t>
  </si>
  <si>
    <t>TRX-10114</t>
  </si>
  <si>
    <t>TRX-10115</t>
  </si>
  <si>
    <t>TRX-10116</t>
  </si>
  <si>
    <t>TRX-10117</t>
  </si>
  <si>
    <t>TRX-10118</t>
  </si>
  <si>
    <t>TRX-10119</t>
  </si>
  <si>
    <t>TRX-10120</t>
  </si>
  <si>
    <t>TRX-10121</t>
  </si>
  <si>
    <t>TRX-10122</t>
  </si>
  <si>
    <t>TRX-10123</t>
  </si>
  <si>
    <t>TRX-10124</t>
  </si>
  <si>
    <t>TRX-10125</t>
  </si>
  <si>
    <t>TRX-10126</t>
  </si>
  <si>
    <t>TRX-10127</t>
  </si>
  <si>
    <t>TRX-10128</t>
  </si>
  <si>
    <t>TRX-10129</t>
  </si>
  <si>
    <t>TRX-10130</t>
  </si>
  <si>
    <t>TRX-10131</t>
  </si>
  <si>
    <t>TRX-10132</t>
  </si>
  <si>
    <t>TRX-10133</t>
  </si>
  <si>
    <t>TRX-10134</t>
  </si>
  <si>
    <t>TRX-10135</t>
  </si>
  <si>
    <t>TRX-10136</t>
  </si>
  <si>
    <t>TRX-10137</t>
  </si>
  <si>
    <t>TRX-10138</t>
  </si>
  <si>
    <t>TRX-10139</t>
  </si>
  <si>
    <t>TRX-10140</t>
  </si>
  <si>
    <t>TRX-10141</t>
  </si>
  <si>
    <t>TRX-10142</t>
  </si>
  <si>
    <t>TRX-10143</t>
  </si>
  <si>
    <t>TRX-10144</t>
  </si>
  <si>
    <t>TRX-10145</t>
  </si>
  <si>
    <t>TRX-10146</t>
  </si>
  <si>
    <t>TRX-10147</t>
  </si>
  <si>
    <t>TRX-10148</t>
  </si>
  <si>
    <t>TRX-10149</t>
  </si>
  <si>
    <t>TRX-10150</t>
  </si>
  <si>
    <t>TRX-10151</t>
  </si>
  <si>
    <t>TRX-10152</t>
  </si>
  <si>
    <t>TRX-10153</t>
  </si>
  <si>
    <t>TRX-10154</t>
  </si>
  <si>
    <t>TRX-10155</t>
  </si>
  <si>
    <t>TRX-10156</t>
  </si>
  <si>
    <t>TRX-10157</t>
  </si>
  <si>
    <t>TRX-10158</t>
  </si>
  <si>
    <t>TRX-10159</t>
  </si>
  <si>
    <t>TRX-10160</t>
  </si>
  <si>
    <t>TRX-10161</t>
  </si>
  <si>
    <t>TRX-10162</t>
  </si>
  <si>
    <t>TRX-10163</t>
  </si>
  <si>
    <t>TRX-10164</t>
  </si>
  <si>
    <t>TRX-10165</t>
  </si>
  <si>
    <t>TRX-10166</t>
  </si>
  <si>
    <t>TRX-10167</t>
  </si>
  <si>
    <t>TRX-10168</t>
  </si>
  <si>
    <t>TRX-10169</t>
  </si>
  <si>
    <t>TRX-10170</t>
  </si>
  <si>
    <t>TRX-10171</t>
  </si>
  <si>
    <t>TRX-10172</t>
  </si>
  <si>
    <t>TRX-10173</t>
  </si>
  <si>
    <t>TRX-10174</t>
  </si>
  <si>
    <t>TRX-10175</t>
  </si>
  <si>
    <t>TRX-10176</t>
  </si>
  <si>
    <t>TRX-10177</t>
  </si>
  <si>
    <t>TRX-10178</t>
  </si>
  <si>
    <t>TRX-10179</t>
  </si>
  <si>
    <t>TRX-10180</t>
  </si>
  <si>
    <t>TRX-10181</t>
  </si>
  <si>
    <t>TRX-10182</t>
  </si>
  <si>
    <t>TRX-10183</t>
  </si>
  <si>
    <t>TRX-10184</t>
  </si>
  <si>
    <t>TRX-10185</t>
  </si>
  <si>
    <t>TRX-10186</t>
  </si>
  <si>
    <t>TRX-10187</t>
  </si>
  <si>
    <t>TRX-10188</t>
  </si>
  <si>
    <t>TRX-10189</t>
  </si>
  <si>
    <t>TRX-10190</t>
  </si>
  <si>
    <t>TRX-10191</t>
  </si>
  <si>
    <t>TRX-10192</t>
  </si>
  <si>
    <t>TRX-10193</t>
  </si>
  <si>
    <t>TRX-10194</t>
  </si>
  <si>
    <t>TRX-10195</t>
  </si>
  <si>
    <t>TRX-10196</t>
  </si>
  <si>
    <t>TRX-10197</t>
  </si>
  <si>
    <t>TRX-10198</t>
  </si>
  <si>
    <t>TRX-10199</t>
  </si>
  <si>
    <t>TRX-10200</t>
  </si>
  <si>
    <t>TRX-10201</t>
  </si>
  <si>
    <t>TRX-10202</t>
  </si>
  <si>
    <t>TRX-10203</t>
  </si>
  <si>
    <t>TRX-10204</t>
  </si>
  <si>
    <t>TRX-10205</t>
  </si>
  <si>
    <t>TRX-10206</t>
  </si>
  <si>
    <t>TRX-10207</t>
  </si>
  <si>
    <t>TRX-10208</t>
  </si>
  <si>
    <t>TRX-10209</t>
  </si>
  <si>
    <t>TRX-10210</t>
  </si>
  <si>
    <t>TRX-10211</t>
  </si>
  <si>
    <t>TRX-10212</t>
  </si>
  <si>
    <t>TRX-10213</t>
  </si>
  <si>
    <t>TRX-10214</t>
  </si>
  <si>
    <t>TRX-10215</t>
  </si>
  <si>
    <t>TRX-10216</t>
  </si>
  <si>
    <t>TRX-10217</t>
  </si>
  <si>
    <t>TRX-10218</t>
  </si>
  <si>
    <t>TRX-10219</t>
  </si>
  <si>
    <t>TRX-10220</t>
  </si>
  <si>
    <t>TRX-10221</t>
  </si>
  <si>
    <t>TRX-10222</t>
  </si>
  <si>
    <t>TRX-10223</t>
  </si>
  <si>
    <t>TRX-10224</t>
  </si>
  <si>
    <t>TRX-10225</t>
  </si>
  <si>
    <t>TRX-10226</t>
  </si>
  <si>
    <t>TRX-10227</t>
  </si>
  <si>
    <t>TRX-10228</t>
  </si>
  <si>
    <t>TRX-10229</t>
  </si>
  <si>
    <t>TRX-10230</t>
  </si>
  <si>
    <t>TRX-10231</t>
  </si>
  <si>
    <t>TRX-10232</t>
  </si>
  <si>
    <t>TRX-10233</t>
  </si>
  <si>
    <t>TRX-10234</t>
  </si>
  <si>
    <t>TRX-10235</t>
  </si>
  <si>
    <t>TRX-10236</t>
  </si>
  <si>
    <t>TRX-10237</t>
  </si>
  <si>
    <t>TRX-10238</t>
  </si>
  <si>
    <t>TRX-10239</t>
  </si>
  <si>
    <t>TRX-10240</t>
  </si>
  <si>
    <t>TRX-10241</t>
  </si>
  <si>
    <t>TRX-10242</t>
  </si>
  <si>
    <t>TRX-10243</t>
  </si>
  <si>
    <t>TRX-10244</t>
  </si>
  <si>
    <t>TRX-10245</t>
  </si>
  <si>
    <t>TRX-10246</t>
  </si>
  <si>
    <t>TRX-10247</t>
  </si>
  <si>
    <t>TRX-10248</t>
  </si>
  <si>
    <t>TRX-10249</t>
  </si>
  <si>
    <t>TRX-10250</t>
  </si>
  <si>
    <t>TRX-10251</t>
  </si>
  <si>
    <t>TRX-10252</t>
  </si>
  <si>
    <t>TRX-10253</t>
  </si>
  <si>
    <t>TRX-10254</t>
  </si>
  <si>
    <t>TRX-10255</t>
  </si>
  <si>
    <t>TRX-10256</t>
  </si>
  <si>
    <t>TRX-10257</t>
  </si>
  <si>
    <t>TRX-10258</t>
  </si>
  <si>
    <t>TRX-10259</t>
  </si>
  <si>
    <t>TRX-10260</t>
  </si>
  <si>
    <t>TRX-10261</t>
  </si>
  <si>
    <t>TRX-10262</t>
  </si>
  <si>
    <t>TRX-10263</t>
  </si>
  <si>
    <t>TRX-10264</t>
  </si>
  <si>
    <t>TRX-10265</t>
  </si>
  <si>
    <t>TRX-10266</t>
  </si>
  <si>
    <t>TRX-10267</t>
  </si>
  <si>
    <t>TRX-10268</t>
  </si>
  <si>
    <t>TRX-10269</t>
  </si>
  <si>
    <t>TRX-10270</t>
  </si>
  <si>
    <t>TRX-10271</t>
  </si>
  <si>
    <t>TRX-10272</t>
  </si>
  <si>
    <t>TRX-10273</t>
  </si>
  <si>
    <t>TRX-10274</t>
  </si>
  <si>
    <t>TRX-10275</t>
  </si>
  <si>
    <t>TRX-10276</t>
  </si>
  <si>
    <t>TRX-10277</t>
  </si>
  <si>
    <t>TRX-10278</t>
  </si>
  <si>
    <t>TRX-10279</t>
  </si>
  <si>
    <t>TRX-10280</t>
  </si>
  <si>
    <t>TRX-10281</t>
  </si>
  <si>
    <t>TRX-10282</t>
  </si>
  <si>
    <t>TRX-10283</t>
  </si>
  <si>
    <t>TRX-10284</t>
  </si>
  <si>
    <t>TRX-10285</t>
  </si>
  <si>
    <t>TRX-10286</t>
  </si>
  <si>
    <t>TRX-10287</t>
  </si>
  <si>
    <t>TRX-10288</t>
  </si>
  <si>
    <t>TRX-10289</t>
  </si>
  <si>
    <t>TRX-10290</t>
  </si>
  <si>
    <t>TRX-10291</t>
  </si>
  <si>
    <t>TRX-10292</t>
  </si>
  <si>
    <t>TRX-10293</t>
  </si>
  <si>
    <t>TRX-10294</t>
  </si>
  <si>
    <t>TRX-10295</t>
  </si>
  <si>
    <t>TRX-10296</t>
  </si>
  <si>
    <t>TRX-10297</t>
  </si>
  <si>
    <t>TRX-10298</t>
  </si>
  <si>
    <t>TRX-10299</t>
  </si>
  <si>
    <t>TRX-10300</t>
  </si>
  <si>
    <t>TRX-10301</t>
  </si>
  <si>
    <t>TRX-10302</t>
  </si>
  <si>
    <t>TRX-10303</t>
  </si>
  <si>
    <t>TRX-10304</t>
  </si>
  <si>
    <t>TRX-10305</t>
  </si>
  <si>
    <t>TRX-10306</t>
  </si>
  <si>
    <t>TRX-10307</t>
  </si>
  <si>
    <t>TRX-10308</t>
  </si>
  <si>
    <t>TRX-10309</t>
  </si>
  <si>
    <t>TRX-10310</t>
  </si>
  <si>
    <t>TRX-10311</t>
  </si>
  <si>
    <t>TRX-10312</t>
  </si>
  <si>
    <t>TRX-10313</t>
  </si>
  <si>
    <t>TRX-10314</t>
  </si>
  <si>
    <t>TRX-10315</t>
  </si>
  <si>
    <t>TRX-10316</t>
  </si>
  <si>
    <t>TRX-10317</t>
  </si>
  <si>
    <t>TRX-10318</t>
  </si>
  <si>
    <t>TRX-10319</t>
  </si>
  <si>
    <t>TRX-10320</t>
  </si>
  <si>
    <t>TRX-10321</t>
  </si>
  <si>
    <t>TRX-10322</t>
  </si>
  <si>
    <t>TRX-10323</t>
  </si>
  <si>
    <t>TRX-10324</t>
  </si>
  <si>
    <t>TRX-10325</t>
  </si>
  <si>
    <t>TRX-10326</t>
  </si>
  <si>
    <t>TRX-10327</t>
  </si>
  <si>
    <t>TRX-10328</t>
  </si>
  <si>
    <t>TRX-10329</t>
  </si>
  <si>
    <t>TRX-10330</t>
  </si>
  <si>
    <t>TRX-10331</t>
  </si>
  <si>
    <t>TRX-10332</t>
  </si>
  <si>
    <t>TRX-10333</t>
  </si>
  <si>
    <t>TRX-10334</t>
  </si>
  <si>
    <t>TRX-10335</t>
  </si>
  <si>
    <t>TRX-10336</t>
  </si>
  <si>
    <t>TRX-10337</t>
  </si>
  <si>
    <t>TRX-10338</t>
  </si>
  <si>
    <t>TRX-10339</t>
  </si>
  <si>
    <t>TRX-10340</t>
  </si>
  <si>
    <t>TRX-10341</t>
  </si>
  <si>
    <t>TRX-10342</t>
  </si>
  <si>
    <t>TRX-10343</t>
  </si>
  <si>
    <t>TRX-10344</t>
  </si>
  <si>
    <t>TRX-10345</t>
  </si>
  <si>
    <t>TRX-10346</t>
  </si>
  <si>
    <t>TRX-10347</t>
  </si>
  <si>
    <t>TRX-10348</t>
  </si>
  <si>
    <t>TRX-10349</t>
  </si>
  <si>
    <t>TRX-10350</t>
  </si>
  <si>
    <t>TRX-10351</t>
  </si>
  <si>
    <t>TRX-10352</t>
  </si>
  <si>
    <t>TRX-10353</t>
  </si>
  <si>
    <t>TRX-10354</t>
  </si>
  <si>
    <t>TRX-10355</t>
  </si>
  <si>
    <t>TRX-10356</t>
  </si>
  <si>
    <t>TRX-10357</t>
  </si>
  <si>
    <t>TRX-10358</t>
  </si>
  <si>
    <t>TRX-10359</t>
  </si>
  <si>
    <t>TRX-10360</t>
  </si>
  <si>
    <t>TRX-10361</t>
  </si>
  <si>
    <t>TRX-10362</t>
  </si>
  <si>
    <t>TRX-10363</t>
  </si>
  <si>
    <t>TRX-10364</t>
  </si>
  <si>
    <t>TRX-10365</t>
  </si>
  <si>
    <t>TRX-10366</t>
  </si>
  <si>
    <t>TRX-10367</t>
  </si>
  <si>
    <t>TRX-10368</t>
  </si>
  <si>
    <t>TRX-10369</t>
  </si>
  <si>
    <t>TRX-10370</t>
  </si>
  <si>
    <t>TRX-10371</t>
  </si>
  <si>
    <t>TRX-10372</t>
  </si>
  <si>
    <t>TRX-10373</t>
  </si>
  <si>
    <t>TRX-10374</t>
  </si>
  <si>
    <t>TRX-10375</t>
  </si>
  <si>
    <t>TRX-10376</t>
  </si>
  <si>
    <t>TRX-10377</t>
  </si>
  <si>
    <t>TRX-10378</t>
  </si>
  <si>
    <t>TRX-10379</t>
  </si>
  <si>
    <t>TRX-10380</t>
  </si>
  <si>
    <t>TRX-10381</t>
  </si>
  <si>
    <t>TRX-10382</t>
  </si>
  <si>
    <t>TRX-10383</t>
  </si>
  <si>
    <t>TRX-10384</t>
  </si>
  <si>
    <t>TRX-10385</t>
  </si>
  <si>
    <t>TRX-10386</t>
  </si>
  <si>
    <t>TRX-10387</t>
  </si>
  <si>
    <t>TRX-10388</t>
  </si>
  <si>
    <t>TRX-10389</t>
  </si>
  <si>
    <t>TRX-10390</t>
  </si>
  <si>
    <t>TRX-10391</t>
  </si>
  <si>
    <t>TRX-10392</t>
  </si>
  <si>
    <t>TRX-10393</t>
  </si>
  <si>
    <t>TRX-10394</t>
  </si>
  <si>
    <t>TRX-10395</t>
  </si>
  <si>
    <t>TRX-10396</t>
  </si>
  <si>
    <t>TRX-10397</t>
  </si>
  <si>
    <t>TRX-10398</t>
  </si>
  <si>
    <t>TRX-10399</t>
  </si>
  <si>
    <t>TRX-10400</t>
  </si>
  <si>
    <t>TRX-10401</t>
  </si>
  <si>
    <t>TRX-10402</t>
  </si>
  <si>
    <t>TRX-10403</t>
  </si>
  <si>
    <t>TRX-10404</t>
  </si>
  <si>
    <t>TRX-10405</t>
  </si>
  <si>
    <t>TRX-10406</t>
  </si>
  <si>
    <t>TRX-10407</t>
  </si>
  <si>
    <t>TRX-10408</t>
  </si>
  <si>
    <t>TRX-10409</t>
  </si>
  <si>
    <t>TRX-10410</t>
  </si>
  <si>
    <t>TRX-10411</t>
  </si>
  <si>
    <t>TRX-10412</t>
  </si>
  <si>
    <t>TRX-10413</t>
  </si>
  <si>
    <t>TRX-10414</t>
  </si>
  <si>
    <t>TRX-10415</t>
  </si>
  <si>
    <t>TRX-10416</t>
  </si>
  <si>
    <t>TRX-10417</t>
  </si>
  <si>
    <t>TRX-10418</t>
  </si>
  <si>
    <t>TRX-10419</t>
  </si>
  <si>
    <t>TRX-10420</t>
  </si>
  <si>
    <t>TRX-10421</t>
  </si>
  <si>
    <t>TRX-10422</t>
  </si>
  <si>
    <t>TRX-10423</t>
  </si>
  <si>
    <t>TRX-10424</t>
  </si>
  <si>
    <t>TRX-10425</t>
  </si>
  <si>
    <t>TRX-10426</t>
  </si>
  <si>
    <t>TRX-10427</t>
  </si>
  <si>
    <t>TRX-10428</t>
  </si>
  <si>
    <t>TRX-10429</t>
  </si>
  <si>
    <t>TRX-10430</t>
  </si>
  <si>
    <t>TRX-10431</t>
  </si>
  <si>
    <t>TRX-10432</t>
  </si>
  <si>
    <t>TRX-10433</t>
  </si>
  <si>
    <t>TRX-10434</t>
  </si>
  <si>
    <t>TRX-10435</t>
  </si>
  <si>
    <t>TRX-10436</t>
  </si>
  <si>
    <t>TRX-10437</t>
  </si>
  <si>
    <t>TRX-10438</t>
  </si>
  <si>
    <t>TRX-10439</t>
  </si>
  <si>
    <t>TRX-10440</t>
  </si>
  <si>
    <t>TRX-10441</t>
  </si>
  <si>
    <t>TRX-10442</t>
  </si>
  <si>
    <t>TRX-10443</t>
  </si>
  <si>
    <t>TRX-10444</t>
  </si>
  <si>
    <t>TRX-10445</t>
  </si>
  <si>
    <t>TRX-10446</t>
  </si>
  <si>
    <t>TRX-10447</t>
  </si>
  <si>
    <t>TRX-10448</t>
  </si>
  <si>
    <t>TRX-10449</t>
  </si>
  <si>
    <t>TRX-10450</t>
  </si>
  <si>
    <t>TRX-10451</t>
  </si>
  <si>
    <t>TRX-10452</t>
  </si>
  <si>
    <t>TRX-10453</t>
  </si>
  <si>
    <t>TRX-10454</t>
  </si>
  <si>
    <t>TRX-10455</t>
  </si>
  <si>
    <t>TRX-10456</t>
  </si>
  <si>
    <t>TRX-10457</t>
  </si>
  <si>
    <t>TRX-10458</t>
  </si>
  <si>
    <t>TRX-10459</t>
  </si>
  <si>
    <t>TRX-10460</t>
  </si>
  <si>
    <t>TRX-10461</t>
  </si>
  <si>
    <t>TRX-10462</t>
  </si>
  <si>
    <t>TRX-10463</t>
  </si>
  <si>
    <t>TRX-10464</t>
  </si>
  <si>
    <t>TRX-10465</t>
  </si>
  <si>
    <t>TRX-10466</t>
  </si>
  <si>
    <t>TRX-10467</t>
  </si>
  <si>
    <t>TRX-10468</t>
  </si>
  <si>
    <t>TRX-10469</t>
  </si>
  <si>
    <t>TRX-10470</t>
  </si>
  <si>
    <t>TRX-10471</t>
  </si>
  <si>
    <t>TRX-10472</t>
  </si>
  <si>
    <t>TRX-10473</t>
  </si>
  <si>
    <t>TRX-10474</t>
  </si>
  <si>
    <t>TRX-10475</t>
  </si>
  <si>
    <t>TRX-10476</t>
  </si>
  <si>
    <t>TRX-10477</t>
  </si>
  <si>
    <t>TRX-10478</t>
  </si>
  <si>
    <t>TRX-10479</t>
  </si>
  <si>
    <t>TRX-10480</t>
  </si>
  <si>
    <t>TRX-10481</t>
  </si>
  <si>
    <t>TRX-10482</t>
  </si>
  <si>
    <t>TRX-10483</t>
  </si>
  <si>
    <t>TRX-10484</t>
  </si>
  <si>
    <t>TRX-10485</t>
  </si>
  <si>
    <t>TRX-10486</t>
  </si>
  <si>
    <t>TRX-10487</t>
  </si>
  <si>
    <t>TRX-10488</t>
  </si>
  <si>
    <t>TRX-10489</t>
  </si>
  <si>
    <t>TRX-10490</t>
  </si>
  <si>
    <t>TRX-10491</t>
  </si>
  <si>
    <t>TRX-10492</t>
  </si>
  <si>
    <t>TRX-10493</t>
  </si>
  <si>
    <t>TRX-10494</t>
  </si>
  <si>
    <t>TRX-10495</t>
  </si>
  <si>
    <t>TRX-10496</t>
  </si>
  <si>
    <t>TRX-10497</t>
  </si>
  <si>
    <t>TRX-10498</t>
  </si>
  <si>
    <t>TRX-10499</t>
  </si>
  <si>
    <t>TRX-10500</t>
  </si>
  <si>
    <t>TRX-10501</t>
  </si>
  <si>
    <t>TRX-10502</t>
  </si>
  <si>
    <t>TRX-10503</t>
  </si>
  <si>
    <t>TRX-10504</t>
  </si>
  <si>
    <t>TRX-10505</t>
  </si>
  <si>
    <t>TRX-10506</t>
  </si>
  <si>
    <t>TRX-10507</t>
  </si>
  <si>
    <t>TRX-10508</t>
  </si>
  <si>
    <t>TRX-10509</t>
  </si>
  <si>
    <t>TRX-10510</t>
  </si>
  <si>
    <t>TRX-10511</t>
  </si>
  <si>
    <t>TRX-10512</t>
  </si>
  <si>
    <t>TRX-10513</t>
  </si>
  <si>
    <t>TRX-10514</t>
  </si>
  <si>
    <t>TRX-10515</t>
  </si>
  <si>
    <t>TRX-10516</t>
  </si>
  <si>
    <t>TRX-10517</t>
  </si>
  <si>
    <t>TRX-10518</t>
  </si>
  <si>
    <t>TRX-10519</t>
  </si>
  <si>
    <t>TRX-10520</t>
  </si>
  <si>
    <t>TRX-10521</t>
  </si>
  <si>
    <t>TRX-10522</t>
  </si>
  <si>
    <t>TRX-10523</t>
  </si>
  <si>
    <t>TRX-10524</t>
  </si>
  <si>
    <t>TRX-10525</t>
  </si>
  <si>
    <t>TRX-10526</t>
  </si>
  <si>
    <t>TRX-10527</t>
  </si>
  <si>
    <t>TRX-10528</t>
  </si>
  <si>
    <t>TRX-10529</t>
  </si>
  <si>
    <t>TRX-10530</t>
  </si>
  <si>
    <t>TRX-10531</t>
  </si>
  <si>
    <t>TRX-10532</t>
  </si>
  <si>
    <t>TRX-10533</t>
  </si>
  <si>
    <t>TRX-10534</t>
  </si>
  <si>
    <t>TRX-10535</t>
  </si>
  <si>
    <t>TRX-10536</t>
  </si>
  <si>
    <t>TRX-10537</t>
  </si>
  <si>
    <t>TRX-10538</t>
  </si>
  <si>
    <t>TRX-10539</t>
  </si>
  <si>
    <t>TRX-10540</t>
  </si>
  <si>
    <t>TRX-10541</t>
  </si>
  <si>
    <t>TRX-10542</t>
  </si>
  <si>
    <t>TRX-10543</t>
  </si>
  <si>
    <t>TRX-10544</t>
  </si>
  <si>
    <t>TRX-10545</t>
  </si>
  <si>
    <t>TRX-10546</t>
  </si>
  <si>
    <t>TRX-10547</t>
  </si>
  <si>
    <t>TRX-10548</t>
  </si>
  <si>
    <t>TRX-10549</t>
  </si>
  <si>
    <t>TRX-10550</t>
  </si>
  <si>
    <t>TRX-10551</t>
  </si>
  <si>
    <t>TRX-10552</t>
  </si>
  <si>
    <t>TRX-10553</t>
  </si>
  <si>
    <t>TRX-10554</t>
  </si>
  <si>
    <t>TRX-10555</t>
  </si>
  <si>
    <t>TRX-10556</t>
  </si>
  <si>
    <t>TRX-10557</t>
  </si>
  <si>
    <t>TRX-10558</t>
  </si>
  <si>
    <t>TRX-10559</t>
  </si>
  <si>
    <t>TRX-10560</t>
  </si>
  <si>
    <t>TRX-10561</t>
  </si>
  <si>
    <t>TRX-10562</t>
  </si>
  <si>
    <t>TRX-10563</t>
  </si>
  <si>
    <t>TRX-10564</t>
  </si>
  <si>
    <t>TRX-10565</t>
  </si>
  <si>
    <t>TRX-10566</t>
  </si>
  <si>
    <t>TRX-10567</t>
  </si>
  <si>
    <t>TRX-10568</t>
  </si>
  <si>
    <t>TRX-10569</t>
  </si>
  <si>
    <t>TRX-10570</t>
  </si>
  <si>
    <t>TRX-10571</t>
  </si>
  <si>
    <t>TRX-10572</t>
  </si>
  <si>
    <t>TRX-10573</t>
  </si>
  <si>
    <t>TRX-10574</t>
  </si>
  <si>
    <t>TRX-10575</t>
  </si>
  <si>
    <t>TRX-10576</t>
  </si>
  <si>
    <t>TRX-10577</t>
  </si>
  <si>
    <t>TRX-10578</t>
  </si>
  <si>
    <t>TRX-10579</t>
  </si>
  <si>
    <t>TRX-10580</t>
  </si>
  <si>
    <t>TRX-10581</t>
  </si>
  <si>
    <t>TRX-10582</t>
  </si>
  <si>
    <t>TRX-10583</t>
  </si>
  <si>
    <t>TRX-10584</t>
  </si>
  <si>
    <t>TRX-10585</t>
  </si>
  <si>
    <t>TRX-10586</t>
  </si>
  <si>
    <t>TRX-10587</t>
  </si>
  <si>
    <t>TRX-10588</t>
  </si>
  <si>
    <t>TRX-10589</t>
  </si>
  <si>
    <t>TRX-10590</t>
  </si>
  <si>
    <t>TRX-10591</t>
  </si>
  <si>
    <t>TRX-10592</t>
  </si>
  <si>
    <t>TRX-10593</t>
  </si>
  <si>
    <t>TRX-10594</t>
  </si>
  <si>
    <t>TRX-10595</t>
  </si>
  <si>
    <t>TRX-10596</t>
  </si>
  <si>
    <t>TRX-10597</t>
  </si>
  <si>
    <t>TRX-10598</t>
  </si>
  <si>
    <t>TRX-10599</t>
  </si>
  <si>
    <t>TRX-10600</t>
  </si>
  <si>
    <t>TRX-10601</t>
  </si>
  <si>
    <t>TRX-10602</t>
  </si>
  <si>
    <t>TRX-10603</t>
  </si>
  <si>
    <t>TRX-10604</t>
  </si>
  <si>
    <t>TRX-10605</t>
  </si>
  <si>
    <t>TRX-10606</t>
  </si>
  <si>
    <t>TRX-10607</t>
  </si>
  <si>
    <t>TRX-10608</t>
  </si>
  <si>
    <t>TRX-10609</t>
  </si>
  <si>
    <t>TRX-10610</t>
  </si>
  <si>
    <t>TRX-10611</t>
  </si>
  <si>
    <t>TRX-10612</t>
  </si>
  <si>
    <t>TRX-10613</t>
  </si>
  <si>
    <t>TRX-10614</t>
  </si>
  <si>
    <t>TRX-10615</t>
  </si>
  <si>
    <t>TRX-10616</t>
  </si>
  <si>
    <t>TRX-10617</t>
  </si>
  <si>
    <t>TRX-10618</t>
  </si>
  <si>
    <t>TRX-10619</t>
  </si>
  <si>
    <t>TRX-10620</t>
  </si>
  <si>
    <t>TRX-10621</t>
  </si>
  <si>
    <t>TRX-10622</t>
  </si>
  <si>
    <t>TRX-10623</t>
  </si>
  <si>
    <t>TRX-10624</t>
  </si>
  <si>
    <t>TRX-10625</t>
  </si>
  <si>
    <t>TRX-10626</t>
  </si>
  <si>
    <t>TRX-10627</t>
  </si>
  <si>
    <t>TRX-10628</t>
  </si>
  <si>
    <t>TRX-10629</t>
  </si>
  <si>
    <t>TRX-10630</t>
  </si>
  <si>
    <t>TRX-10631</t>
  </si>
  <si>
    <t>TRX-10632</t>
  </si>
  <si>
    <t>TRX-10633</t>
  </si>
  <si>
    <t>TRX-10634</t>
  </si>
  <si>
    <t>TRX-10635</t>
  </si>
  <si>
    <t>TRX-10636</t>
  </si>
  <si>
    <t>TRX-10637</t>
  </si>
  <si>
    <t>TRX-10638</t>
  </si>
  <si>
    <t>TRX-10639</t>
  </si>
  <si>
    <t>TRX-10640</t>
  </si>
  <si>
    <t>TRX-10641</t>
  </si>
  <si>
    <t>TRX-10642</t>
  </si>
  <si>
    <t>TRX-10643</t>
  </si>
  <si>
    <t>TRX-10644</t>
  </si>
  <si>
    <t>TRX-10645</t>
  </si>
  <si>
    <t>TRX-10646</t>
  </si>
  <si>
    <t>TRX-10647</t>
  </si>
  <si>
    <t>TRX-10648</t>
  </si>
  <si>
    <t>TRX-10649</t>
  </si>
  <si>
    <t>TRX-10650</t>
  </si>
  <si>
    <t>TRX-10651</t>
  </si>
  <si>
    <t>TRX-10652</t>
  </si>
  <si>
    <t>TRX-10653</t>
  </si>
  <si>
    <t>TRX-10654</t>
  </si>
  <si>
    <t>TRX-10655</t>
  </si>
  <si>
    <t>TRX-10656</t>
  </si>
  <si>
    <t>TRX-10657</t>
  </si>
  <si>
    <t>TRX-10658</t>
  </si>
  <si>
    <t>TRX-10659</t>
  </si>
  <si>
    <t>TRX-10660</t>
  </si>
  <si>
    <t>TRX-10661</t>
  </si>
  <si>
    <t>TRX-10662</t>
  </si>
  <si>
    <t>TRX-10663</t>
  </si>
  <si>
    <t>TRX-10664</t>
  </si>
  <si>
    <t>TRX-10665</t>
  </si>
  <si>
    <t>TRX-10666</t>
  </si>
  <si>
    <t>TRX-10667</t>
  </si>
  <si>
    <t>TRX-10668</t>
  </si>
  <si>
    <t>TRX-10669</t>
  </si>
  <si>
    <t>TRX-10670</t>
  </si>
  <si>
    <t>TRX-10671</t>
  </si>
  <si>
    <t>TRX-10672</t>
  </si>
  <si>
    <t>TRX-10673</t>
  </si>
  <si>
    <t>TRX-10674</t>
  </si>
  <si>
    <t>TRX-10675</t>
  </si>
  <si>
    <t>TRX-10676</t>
  </si>
  <si>
    <t>TRX-10677</t>
  </si>
  <si>
    <t>TRX-10678</t>
  </si>
  <si>
    <t>TRX-10679</t>
  </si>
  <si>
    <t>TRX-10680</t>
  </si>
  <si>
    <t>TRX-10681</t>
  </si>
  <si>
    <t>TRX-10682</t>
  </si>
  <si>
    <t>TRX-10683</t>
  </si>
  <si>
    <t>TRX-10684</t>
  </si>
  <si>
    <t>TRX-10685</t>
  </si>
  <si>
    <t>TRX-10686</t>
  </si>
  <si>
    <t>TRX-10687</t>
  </si>
  <si>
    <t>TRX-10688</t>
  </si>
  <si>
    <t>TRX-10689</t>
  </si>
  <si>
    <t>TRX-10690</t>
  </si>
  <si>
    <t>TRX-10691</t>
  </si>
  <si>
    <t>TRX-10692</t>
  </si>
  <si>
    <t>TRX-10693</t>
  </si>
  <si>
    <t>TRX-10694</t>
  </si>
  <si>
    <t>TRX-10695</t>
  </si>
  <si>
    <t>TRX-10696</t>
  </si>
  <si>
    <t>TRX-10697</t>
  </si>
  <si>
    <t>TRX-10698</t>
  </si>
  <si>
    <t>TRX-10699</t>
  </si>
  <si>
    <t>TRX-10700</t>
  </si>
  <si>
    <t>TRX-10701</t>
  </si>
  <si>
    <t>TRX-10702</t>
  </si>
  <si>
    <t>TRX-10703</t>
  </si>
  <si>
    <t>TRX-10704</t>
  </si>
  <si>
    <t>TRX-10705</t>
  </si>
  <si>
    <t>TRX-10706</t>
  </si>
  <si>
    <t>TRX-10707</t>
  </si>
  <si>
    <t>TRX-10708</t>
  </si>
  <si>
    <t>TRX-10709</t>
  </si>
  <si>
    <t>TRX-10710</t>
  </si>
  <si>
    <t>TRX-10711</t>
  </si>
  <si>
    <t>TRX-10712</t>
  </si>
  <si>
    <t>TRX-10713</t>
  </si>
  <si>
    <t>TRX-10714</t>
  </si>
  <si>
    <t>TRX-10715</t>
  </si>
  <si>
    <t>TRX-10716</t>
  </si>
  <si>
    <t>TRX-10717</t>
  </si>
  <si>
    <t>TRX-10718</t>
  </si>
  <si>
    <t>TRX-10719</t>
  </si>
  <si>
    <t>TRX-10720</t>
  </si>
  <si>
    <t>TRX-10721</t>
  </si>
  <si>
    <t>TRX-10722</t>
  </si>
  <si>
    <t>TRX-10723</t>
  </si>
  <si>
    <t>TRX-10724</t>
  </si>
  <si>
    <t>TRX-10725</t>
  </si>
  <si>
    <t>TRX-10726</t>
  </si>
  <si>
    <t>TRX-10727</t>
  </si>
  <si>
    <t>TRX-10728</t>
  </si>
  <si>
    <t>TRX-10729</t>
  </si>
  <si>
    <t>TRX-10730</t>
  </si>
  <si>
    <t>TRX-10731</t>
  </si>
  <si>
    <t>TRX-10732</t>
  </si>
  <si>
    <t>TRX-10733</t>
  </si>
  <si>
    <t>TRX-10734</t>
  </si>
  <si>
    <t>TRX-10735</t>
  </si>
  <si>
    <t>TRX-10736</t>
  </si>
  <si>
    <t>TRX-10737</t>
  </si>
  <si>
    <t>TRX-10738</t>
  </si>
  <si>
    <t>TRX-10739</t>
  </si>
  <si>
    <t>TRX-10740</t>
  </si>
  <si>
    <t>TRX-10741</t>
  </si>
  <si>
    <t>TRX-10742</t>
  </si>
  <si>
    <t>TRX-10743</t>
  </si>
  <si>
    <t>TRX-10744</t>
  </si>
  <si>
    <t>TRX-10745</t>
  </si>
  <si>
    <t>TRX-10746</t>
  </si>
  <si>
    <t>TRX-10747</t>
  </si>
  <si>
    <t>TRX-10748</t>
  </si>
  <si>
    <t>TRX-10749</t>
  </si>
  <si>
    <t>TRX-10750</t>
  </si>
  <si>
    <t>TRX-10751</t>
  </si>
  <si>
    <t>TRX-10752</t>
  </si>
  <si>
    <t>TRX-10753</t>
  </si>
  <si>
    <t>TRX-10754</t>
  </si>
  <si>
    <t>TRX-10755</t>
  </si>
  <si>
    <t>TRX-10756</t>
  </si>
  <si>
    <t>TRX-10757</t>
  </si>
  <si>
    <t>TRX-10758</t>
  </si>
  <si>
    <t>TRX-10759</t>
  </si>
  <si>
    <t>TRX-10760</t>
  </si>
  <si>
    <t>TRX-10761</t>
  </si>
  <si>
    <t>TRX-10762</t>
  </si>
  <si>
    <t>TRX-10763</t>
  </si>
  <si>
    <t>TRX-10764</t>
  </si>
  <si>
    <t>TRX-10765</t>
  </si>
  <si>
    <t>TRX-10766</t>
  </si>
  <si>
    <t>TRX-10767</t>
  </si>
  <si>
    <t>TRX-10768</t>
  </si>
  <si>
    <t>TRX-10769</t>
  </si>
  <si>
    <t>TRX-10770</t>
  </si>
  <si>
    <t>TRX-10771</t>
  </si>
  <si>
    <t>TRX-10772</t>
  </si>
  <si>
    <t>TRX-10773</t>
  </si>
  <si>
    <t>TRX-10774</t>
  </si>
  <si>
    <t>TRX-10775</t>
  </si>
  <si>
    <t>TRX-10776</t>
  </si>
  <si>
    <t>TRX-10777</t>
  </si>
  <si>
    <t>TRX-10778</t>
  </si>
  <si>
    <t>TRX-10779</t>
  </si>
  <si>
    <t>TRX-10780</t>
  </si>
  <si>
    <t>TRX-10781</t>
  </si>
  <si>
    <t>TRX-10782</t>
  </si>
  <si>
    <t>TRX-10783</t>
  </si>
  <si>
    <t>TRX-10784</t>
  </si>
  <si>
    <t>TRX-10785</t>
  </si>
  <si>
    <t>TRX-10786</t>
  </si>
  <si>
    <t>TRX-10787</t>
  </si>
  <si>
    <t>TRX-10788</t>
  </si>
  <si>
    <t>TRX-10789</t>
  </si>
  <si>
    <t>TRX-10790</t>
  </si>
  <si>
    <t>TRX-10791</t>
  </si>
  <si>
    <t>TRX-10792</t>
  </si>
  <si>
    <t>TRX-10793</t>
  </si>
  <si>
    <t>TRX-10794</t>
  </si>
  <si>
    <t>TRX-10795</t>
  </si>
  <si>
    <t>TRX-10796</t>
  </si>
  <si>
    <t>TRX-10797</t>
  </si>
  <si>
    <t>TRX-10798</t>
  </si>
  <si>
    <t>TRX-10799</t>
  </si>
  <si>
    <t>TRX-10800</t>
  </si>
  <si>
    <t>TRX-10801</t>
  </si>
  <si>
    <t>TRX-10802</t>
  </si>
  <si>
    <t>TRX-10803</t>
  </si>
  <si>
    <t>TRX-10804</t>
  </si>
  <si>
    <t>TRX-10805</t>
  </si>
  <si>
    <t>TRX-10806</t>
  </si>
  <si>
    <t>TRX-10807</t>
  </si>
  <si>
    <t>TRX-10808</t>
  </si>
  <si>
    <t>TRX-10809</t>
  </si>
  <si>
    <t>TRX-10810</t>
  </si>
  <si>
    <t>TRX-10811</t>
  </si>
  <si>
    <t>TRX-10812</t>
  </si>
  <si>
    <t>TRX-10813</t>
  </si>
  <si>
    <t>TRX-10814</t>
  </si>
  <si>
    <t>TRX-10815</t>
  </si>
  <si>
    <t>TRX-10816</t>
  </si>
  <si>
    <t>TRX-10817</t>
  </si>
  <si>
    <t>TRX-10818</t>
  </si>
  <si>
    <t>TRX-10819</t>
  </si>
  <si>
    <t>TRX-10820</t>
  </si>
  <si>
    <t>TRX-10821</t>
  </si>
  <si>
    <t>TRX-10822</t>
  </si>
  <si>
    <t>TRX-10823</t>
  </si>
  <si>
    <t>TRX-10824</t>
  </si>
  <si>
    <t>TRX-10825</t>
  </si>
  <si>
    <t>TRX-10826</t>
  </si>
  <si>
    <t>TRX-10827</t>
  </si>
  <si>
    <t>TRX-10828</t>
  </si>
  <si>
    <t>TRX-10829</t>
  </si>
  <si>
    <t>TRX-10830</t>
  </si>
  <si>
    <t>TRX-10831</t>
  </si>
  <si>
    <t>TRX-10832</t>
  </si>
  <si>
    <t>TRX-10833</t>
  </si>
  <si>
    <t>TRX-10834</t>
  </si>
  <si>
    <t>TRX-10835</t>
  </si>
  <si>
    <t>TRX-10836</t>
  </si>
  <si>
    <t>TRX-10837</t>
  </si>
  <si>
    <t>TRX-10838</t>
  </si>
  <si>
    <t>TRX-10839</t>
  </si>
  <si>
    <t>TRX-10840</t>
  </si>
  <si>
    <t>TRX-10841</t>
  </si>
  <si>
    <t>TRX-10842</t>
  </si>
  <si>
    <t>TRX-10843</t>
  </si>
  <si>
    <t>TRX-10844</t>
  </si>
  <si>
    <t>TRX-10845</t>
  </si>
  <si>
    <t>TRX-10846</t>
  </si>
  <si>
    <t>TRX-10847</t>
  </si>
  <si>
    <t>TRX-10848</t>
  </si>
  <si>
    <t>TRX-10849</t>
  </si>
  <si>
    <t>TRX-10850</t>
  </si>
  <si>
    <t>TRX-10851</t>
  </si>
  <si>
    <t>TRX-10852</t>
  </si>
  <si>
    <t>TRX-10853</t>
  </si>
  <si>
    <t>TRX-10854</t>
  </si>
  <si>
    <t>TRX-10855</t>
  </si>
  <si>
    <t>TRX-10856</t>
  </si>
  <si>
    <t>TRX-10857</t>
  </si>
  <si>
    <t>TRX-10858</t>
  </si>
  <si>
    <t>TRX-10859</t>
  </si>
  <si>
    <t>TRX-10860</t>
  </si>
  <si>
    <t>TRX-10861</t>
  </si>
  <si>
    <t>TRX-10862</t>
  </si>
  <si>
    <t>TRX-10863</t>
  </si>
  <si>
    <t>TRX-10864</t>
  </si>
  <si>
    <t>TRX-10865</t>
  </si>
  <si>
    <t>TRX-10866</t>
  </si>
  <si>
    <t>TRX-10867</t>
  </si>
  <si>
    <t>TRX-10868</t>
  </si>
  <si>
    <t>TRX-10869</t>
  </si>
  <si>
    <t>TRX-10870</t>
  </si>
  <si>
    <t>TRX-10871</t>
  </si>
  <si>
    <t>TRX-10872</t>
  </si>
  <si>
    <t>TRX-10873</t>
  </si>
  <si>
    <t>TRX-10874</t>
  </si>
  <si>
    <t>TRX-10875</t>
  </si>
  <si>
    <t>TRX-10876</t>
  </si>
  <si>
    <t>TRX-10877</t>
  </si>
  <si>
    <t>TRX-10878</t>
  </si>
  <si>
    <t>TRX-10879</t>
  </si>
  <si>
    <t>TRX-10880</t>
  </si>
  <si>
    <t>TRX-10881</t>
  </si>
  <si>
    <t>TRX-10882</t>
  </si>
  <si>
    <t>TRX-10883</t>
  </si>
  <si>
    <t>TRX-10884</t>
  </si>
  <si>
    <t>TRX-10885</t>
  </si>
  <si>
    <t>TRX-10886</t>
  </si>
  <si>
    <t>TRX-10887</t>
  </si>
  <si>
    <t>TRX-10888</t>
  </si>
  <si>
    <t>TRX-10889</t>
  </si>
  <si>
    <t>TRX-10890</t>
  </si>
  <si>
    <t>TRX-10891</t>
  </si>
  <si>
    <t>TRX-10892</t>
  </si>
  <si>
    <t>TRX-10893</t>
  </si>
  <si>
    <t>TRX-10894</t>
  </si>
  <si>
    <t>TRX-10895</t>
  </si>
  <si>
    <t>TRX-10896</t>
  </si>
  <si>
    <t>TRX-10897</t>
  </si>
  <si>
    <t>TRX-10898</t>
  </si>
  <si>
    <t>TRX-10899</t>
  </si>
  <si>
    <t>TRX-10900</t>
  </si>
  <si>
    <t>TRX-10901</t>
  </si>
  <si>
    <t>TRX-10902</t>
  </si>
  <si>
    <t>TRX-10903</t>
  </si>
  <si>
    <t>TRX-10904</t>
  </si>
  <si>
    <t>TRX-10905</t>
  </si>
  <si>
    <t>TRX-10906</t>
  </si>
  <si>
    <t>TRX-10907</t>
  </si>
  <si>
    <t>TRX-10908</t>
  </si>
  <si>
    <t>TRX-10909</t>
  </si>
  <si>
    <t>TRX-10910</t>
  </si>
  <si>
    <t>TRX-10911</t>
  </si>
  <si>
    <t>TRX-10912</t>
  </si>
  <si>
    <t>TRX-10913</t>
  </si>
  <si>
    <t>TRX-10914</t>
  </si>
  <si>
    <t>TRX-10915</t>
  </si>
  <si>
    <t>TRX-10916</t>
  </si>
  <si>
    <t>TRX-10917</t>
  </si>
  <si>
    <t>TRX-10918</t>
  </si>
  <si>
    <t>TRX-10919</t>
  </si>
  <si>
    <t>TRX-10920</t>
  </si>
  <si>
    <t>TRX-10921</t>
  </si>
  <si>
    <t>TRX-10922</t>
  </si>
  <si>
    <t>TRX-10923</t>
  </si>
  <si>
    <t>TRX-10924</t>
  </si>
  <si>
    <t>TRX-10925</t>
  </si>
  <si>
    <t>TRX-10926</t>
  </si>
  <si>
    <t>TRX-10927</t>
  </si>
  <si>
    <t>TRX-10928</t>
  </si>
  <si>
    <t>TRX-10929</t>
  </si>
  <si>
    <t>TRX-10930</t>
  </si>
  <si>
    <t>TRX-10931</t>
  </si>
  <si>
    <t>TRX-10932</t>
  </si>
  <si>
    <t>TRX-10933</t>
  </si>
  <si>
    <t>TRX-10934</t>
  </si>
  <si>
    <t>TRX-10935</t>
  </si>
  <si>
    <t>TRX-10936</t>
  </si>
  <si>
    <t>TRX-10937</t>
  </si>
  <si>
    <t>TRX-10938</t>
  </si>
  <si>
    <t>TRX-10939</t>
  </si>
  <si>
    <t>TRX-10940</t>
  </si>
  <si>
    <t>TRX-10941</t>
  </si>
  <si>
    <t>TRX-10942</t>
  </si>
  <si>
    <t>TRX-10943</t>
  </si>
  <si>
    <t>TRX-10944</t>
  </si>
  <si>
    <t>TRX-10945</t>
  </si>
  <si>
    <t>TRX-10946</t>
  </si>
  <si>
    <t>TRX-10947</t>
  </si>
  <si>
    <t>TRX-10948</t>
  </si>
  <si>
    <t>TRX-10949</t>
  </si>
  <si>
    <t>TRX-10950</t>
  </si>
  <si>
    <t>TRX-10951</t>
  </si>
  <si>
    <t>TRX-10952</t>
  </si>
  <si>
    <t>TRX-10953</t>
  </si>
  <si>
    <t>TRX-10954</t>
  </si>
  <si>
    <t>TRX-10955</t>
  </si>
  <si>
    <t>TRX-10956</t>
  </si>
  <si>
    <t>TRX-10957</t>
  </si>
  <si>
    <t>TRX-10958</t>
  </si>
  <si>
    <t>TRX-10959</t>
  </si>
  <si>
    <t>TRX-10960</t>
  </si>
  <si>
    <t>TRX-10961</t>
  </si>
  <si>
    <t>TRX-10962</t>
  </si>
  <si>
    <t>TRX-10963</t>
  </si>
  <si>
    <t>TRX-10964</t>
  </si>
  <si>
    <t>TRX-10965</t>
  </si>
  <si>
    <t>TRX-10966</t>
  </si>
  <si>
    <t>TRX-10967</t>
  </si>
  <si>
    <t>TRX-10968</t>
  </si>
  <si>
    <t>TRX-10969</t>
  </si>
  <si>
    <t>TRX-10970</t>
  </si>
  <si>
    <t>TRX-10971</t>
  </si>
  <si>
    <t>TRX-10972</t>
  </si>
  <si>
    <t>TRX-10973</t>
  </si>
  <si>
    <t>TRX-10974</t>
  </si>
  <si>
    <t>TRX-10975</t>
  </si>
  <si>
    <t>TRX-10976</t>
  </si>
  <si>
    <t>TRX-10977</t>
  </si>
  <si>
    <t>TRX-10978</t>
  </si>
  <si>
    <t>TRX-10979</t>
  </si>
  <si>
    <t>TRX-10980</t>
  </si>
  <si>
    <t>TRX-10981</t>
  </si>
  <si>
    <t>TRX-10982</t>
  </si>
  <si>
    <t>TRX-10983</t>
  </si>
  <si>
    <t>TRX-10984</t>
  </si>
  <si>
    <t>TRX-10985</t>
  </si>
  <si>
    <t>TRX-10986</t>
  </si>
  <si>
    <t>TRX-10987</t>
  </si>
  <si>
    <t>TRX-10988</t>
  </si>
  <si>
    <t>TRX-10989</t>
  </si>
  <si>
    <t>TRX-10990</t>
  </si>
  <si>
    <t>TRX-10991</t>
  </si>
  <si>
    <t>TRX-10992</t>
  </si>
  <si>
    <t>TRX-10993</t>
  </si>
  <si>
    <t>TRX-10994</t>
  </si>
  <si>
    <t>TRX-10995</t>
  </si>
  <si>
    <t>TRX-10996</t>
  </si>
  <si>
    <t>TRX-10997</t>
  </si>
  <si>
    <t>TRX-10998</t>
  </si>
  <si>
    <t>TRX-10999</t>
  </si>
  <si>
    <t>Grand Total</t>
  </si>
  <si>
    <t>Average of CSAT Score</t>
  </si>
  <si>
    <t>Total target Achieved</t>
  </si>
  <si>
    <t>Total Processing Fees</t>
  </si>
  <si>
    <t>2025</t>
  </si>
  <si>
    <t>2026</t>
  </si>
  <si>
    <t>Customer Seg</t>
  </si>
  <si>
    <t>Total Revenue By Lead Source</t>
  </si>
  <si>
    <t>Net Processing Yield</t>
  </si>
  <si>
    <t>Total</t>
  </si>
  <si>
    <t>Total Revenue By Product</t>
  </si>
  <si>
    <t>Yes Or No</t>
  </si>
  <si>
    <t>Aug</t>
  </si>
  <si>
    <t>Sep</t>
  </si>
  <si>
    <t>Oct</t>
  </si>
  <si>
    <t>Nov</t>
  </si>
  <si>
    <t>Dec</t>
  </si>
  <si>
    <t>Jan</t>
  </si>
  <si>
    <t>Feb</t>
  </si>
  <si>
    <t>Mar</t>
  </si>
  <si>
    <t>Apr</t>
  </si>
  <si>
    <t>May</t>
  </si>
  <si>
    <t>Jun</t>
  </si>
  <si>
    <t>Jul</t>
  </si>
  <si>
    <t xml:space="preserve">Transaction ID </t>
  </si>
  <si>
    <t>Not Achieved</t>
  </si>
  <si>
    <t>Achieved</t>
  </si>
  <si>
    <t>Brannch Code</t>
  </si>
  <si>
    <t>Avg Of CSAT Score</t>
  </si>
  <si>
    <t>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</si>
</sst>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39]* #,##0.00_ ;_ [$₹-439]* \-#,##0.00_ ;_ [$₹-439]* &quot;-&quot;??_ ;_ @_ "/>
  </numFmts>
  <fonts count="5" x14ac:knownFonts="1">
    <font>
      <sz val="11"/>
      <color theme="1"/>
      <name val="Calibri"/>
      <family val="2"/>
      <scheme val="minor"/>
    </font>
    <font>
      <sz val="11"/>
      <color theme="0"/>
      <name val="Calibri"/>
      <family val="2"/>
      <scheme val="minor"/>
    </font>
    <font>
      <b/>
      <sz val="14"/>
      <color theme="1"/>
      <name val="Calibri"/>
      <family val="2"/>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0"/>
        <bgColor indexed="64"/>
      </patternFill>
    </fill>
  </fills>
  <borders count="12">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3">
    <xf numFmtId="0" fontId="0" fillId="0" borderId="0" xfId="0"/>
    <xf numFmtId="0" fontId="2" fillId="0" borderId="1" xfId="0" applyFont="1" applyBorder="1" applyAlignment="1">
      <alignment horizontal="center" vertical="center"/>
    </xf>
    <xf numFmtId="14"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0" fillId="0" borderId="4" xfId="0" applyBorder="1" applyAlignment="1">
      <alignment horizontal="center" vertical="center"/>
    </xf>
    <xf numFmtId="14" fontId="0" fillId="0" borderId="5" xfId="0" applyNumberFormat="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1" fillId="0" borderId="5" xfId="0" applyFont="1" applyBorder="1" applyAlignment="1">
      <alignment horizontal="center" vertical="center"/>
    </xf>
    <xf numFmtId="0" fontId="0" fillId="0" borderId="7" xfId="0" applyBorder="1" applyAlignment="1">
      <alignment horizontal="center" vertical="center"/>
    </xf>
    <xf numFmtId="14" fontId="0" fillId="0" borderId="8" xfId="0" applyNumberFormat="1"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0" xfId="0" pivotButton="1"/>
    <xf numFmtId="0" fontId="0" fillId="0" borderId="0" xfId="0" applyAlignment="1">
      <alignment horizontal="left"/>
    </xf>
    <xf numFmtId="10" fontId="0" fillId="0" borderId="0" xfId="0" applyNumberFormat="1"/>
    <xf numFmtId="164" fontId="2" fillId="0" borderId="2" xfId="0" applyNumberFormat="1" applyFont="1" applyBorder="1" applyAlignment="1">
      <alignment horizontal="center" vertical="center"/>
    </xf>
    <xf numFmtId="164" fontId="0" fillId="0" borderId="5" xfId="0" applyNumberFormat="1" applyBorder="1" applyAlignment="1">
      <alignment horizontal="center" vertical="center"/>
    </xf>
    <xf numFmtId="164" fontId="0" fillId="0" borderId="8" xfId="0" applyNumberFormat="1" applyBorder="1" applyAlignment="1">
      <alignment horizontal="center" vertical="center"/>
    </xf>
    <xf numFmtId="164" fontId="0" fillId="0" borderId="0" xfId="0" applyNumberFormat="1"/>
    <xf numFmtId="9" fontId="0" fillId="0" borderId="0" xfId="1" applyFont="1"/>
    <xf numFmtId="0" fontId="0" fillId="0" borderId="10" xfId="0" applyBorder="1" applyAlignment="1">
      <alignment horizontal="center" vertical="center"/>
    </xf>
    <xf numFmtId="0" fontId="0" fillId="0" borderId="11" xfId="0" applyBorder="1"/>
    <xf numFmtId="0" fontId="0" fillId="0" borderId="0" xfId="0" applyAlignment="1">
      <alignment horizontal="left" indent="1"/>
    </xf>
    <xf numFmtId="0" fontId="4" fillId="0" borderId="0" xfId="0" applyFont="1"/>
    <xf numFmtId="2" fontId="0" fillId="0" borderId="0" xfId="0" applyNumberFormat="1"/>
    <xf numFmtId="0" fontId="0" fillId="2" borderId="0" xfId="0" applyFill="1" applyAlignment="1">
      <alignment horizontal="center" vertical="top"/>
    </xf>
    <xf numFmtId="0" fontId="0" fillId="0" borderId="0" xfId="0" applyAlignment="1">
      <alignment horizontal="center" vertical="top"/>
    </xf>
    <xf numFmtId="0" fontId="0" fillId="0" borderId="0" xfId="0" applyNumberFormat="1"/>
    <xf numFmtId="0" fontId="0" fillId="0" borderId="0" xfId="0" applyFill="1" applyAlignment="1">
      <alignment horizontal="center" vertical="top"/>
    </xf>
  </cellXfs>
  <cellStyles count="2">
    <cellStyle name="Normal" xfId="0" builtinId="0"/>
    <cellStyle name="Percent" xfId="1" builtinId="5"/>
  </cellStyles>
  <dxfs count="44">
    <dxf>
      <font>
        <color rgb="FF9C0006"/>
      </font>
      <fill>
        <patternFill>
          <bgColor rgb="FFFFC7CE"/>
        </patternFill>
      </fill>
    </dxf>
    <dxf>
      <alignment horizontal="center" vertical="center" textRotation="0" wrapText="0" indent="0" justifyLastLine="0" shrinkToFit="0" readingOrder="0"/>
      <border diagonalUp="0" diagonalDown="0" outline="0">
        <left/>
        <right/>
        <top style="thin">
          <color auto="1"/>
        </top>
        <bottom/>
      </border>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auto="1"/>
        </left>
        <right/>
        <top style="thin">
          <color auto="1"/>
        </top>
        <bottom/>
      </border>
    </dxf>
    <dxf>
      <numFmt numFmtId="0" formatCode="General"/>
      <alignment horizontal="center" vertical="center"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center" textRotation="0" wrapText="0" indent="0" justifyLastLine="0" shrinkToFit="0" readingOrder="0"/>
      <border diagonalUp="0" diagonalDown="0" outline="0">
        <left style="thin">
          <color auto="1"/>
        </left>
        <right/>
        <top style="thin">
          <color auto="1"/>
        </top>
        <bottom/>
      </border>
    </dxf>
    <dxf>
      <numFmt numFmtId="0" formatCode="General"/>
      <alignment horizontal="center" vertical="center"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center" textRotation="0" wrapText="0" indent="0" justifyLastLine="0" shrinkToFit="0" readingOrder="0"/>
      <border diagonalUp="0" diagonalDown="0" outline="0">
        <left style="thin">
          <color auto="1"/>
        </left>
        <right/>
        <top style="thin">
          <color auto="1"/>
        </top>
        <bottom/>
      </border>
    </dxf>
    <dxf>
      <alignment horizontal="center" vertical="center"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0" formatCode="Genera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4" formatCode="_ [$₹-439]* #,##0.00_ ;_ [$₹-439]* \-#,##0.00_ ;_ [$₹-439]* &quot;-&quot;??_ ;_ @_ "/>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164" formatCode="_ [$₹-439]* #,##0.00_ ;_ [$₹-439]* \-#,##0.00_ ;_ [$₹-439]* &quot;-&quot;??_ ;_ @_ "/>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4" formatCode="_ [$₹-439]* #,##0.00_ ;_ [$₹-439]* \-#,##0.00_ ;_ [$₹-439]* &quot;-&quot;??_ ;_ @_ "/>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164" formatCode="_ [$₹-439]* #,##0.00_ ;_ [$₹-439]* \-#,##0.00_ ;_ [$₹-439]* &quot;-&quot;??_ ;_ @_ "/>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4" formatCode="_ [$₹-439]* #,##0.00_ ;_ [$₹-439]* \-#,##0.00_ ;_ [$₹-439]* &quot;-&quot;??_ ;_ @_ "/>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164" formatCode="_ [$₹-439]* #,##0.00_ ;_ [$₹-439]* \-#,##0.00_ ;_ [$₹-439]* &quot;-&quot;??_ ;_ @_ "/>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19" formatCode="dd/mm/yy"/>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outline="0">
        <left/>
        <right style="thin">
          <color auto="1"/>
        </right>
        <top style="thin">
          <color auto="1"/>
        </top>
        <bottom/>
      </border>
    </dxf>
    <dxf>
      <alignment horizontal="center" vertical="center"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4"/>
        <color theme="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theme" Target="theme/theme1.xml"/><Relationship Id="rId5" Type="http://schemas.microsoft.com/office/2007/relationships/slicerCache" Target="slicerCaches/slicerCache1.xml"/><Relationship Id="rId15" Type="http://schemas.openxmlformats.org/officeDocument/2006/relationships/calcChain" Target="calcChain.xml"/><Relationship Id="rId10" Type="http://schemas.microsoft.com/office/2011/relationships/timelineCache" Target="timelineCaches/timelineCache1.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sheetMetadata" Target="metadata.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3.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Dashboard.xlsx]Pivot_Table_KPI!Target_Achived_Rate</c:name>
    <c:fmtId val="2"/>
  </c:pivotSource>
  <c:chart>
    <c:autoTitleDeleted val="1"/>
    <c:pivotFmts>
      <c:pivotFmt>
        <c:idx val="0"/>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5180722891566265E-2"/>
              <c:y val="-3.7037037037037035E-2"/>
            </c:manualLayout>
          </c:layout>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5.0200803212851412E-2"/>
              <c:y val="7.9839423161992398E-2"/>
            </c:manualLayout>
          </c:layout>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4"/>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Pivot_Table_KPI!$I$10</c:f>
              <c:strCache>
                <c:ptCount val="1"/>
                <c:pt idx="0">
                  <c:v>Total</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2-2AD8-4529-AF52-8E57B771E78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2AD8-4529-AF52-8E57B771E786}"/>
              </c:ext>
            </c:extLst>
          </c:dPt>
          <c:dLbls>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c15:spPr>
              </c:ext>
            </c:extLst>
          </c:dLbls>
          <c:cat>
            <c:strRef>
              <c:f>Pivot_Table_KPI!$H$11:$H$13</c:f>
              <c:strCache>
                <c:ptCount val="2"/>
                <c:pt idx="0">
                  <c:v>Not Achieved</c:v>
                </c:pt>
                <c:pt idx="1">
                  <c:v>Achieved</c:v>
                </c:pt>
              </c:strCache>
            </c:strRef>
          </c:cat>
          <c:val>
            <c:numRef>
              <c:f>Pivot_Table_KPI!$I$11:$I$13</c:f>
              <c:numCache>
                <c:formatCode>0.00%</c:formatCode>
                <c:ptCount val="2"/>
                <c:pt idx="0">
                  <c:v>0.48498178488994509</c:v>
                </c:pt>
                <c:pt idx="1">
                  <c:v>0.51501821511005497</c:v>
                </c:pt>
              </c:numCache>
            </c:numRef>
          </c:val>
          <c:extLst>
            <c:ext xmlns:c16="http://schemas.microsoft.com/office/drawing/2014/chart" uri="{C3380CC4-5D6E-409C-BE32-E72D297353CC}">
              <c16:uniqueId val="{00000000-2AD8-4529-AF52-8E57B771E786}"/>
            </c:ext>
          </c:extLst>
        </c:ser>
        <c:dLbls>
          <c:dLblPos val="outEnd"/>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75000"/>
        <a:lumOff val="2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Dashboard.xlsx]Pivot_Table_KPI!Revenue_Trend</c:name>
    <c:fmtId val="13"/>
  </c:pivotSource>
  <c:chart>
    <c:autoTitleDeleted val="1"/>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anchor="ctr" anchorCtr="1"/>
            <a:lstStyle/>
            <a:p>
              <a:pPr>
                <a:defRPr sz="900" b="0" i="0" u="none" strike="noStrike" kern="1200" baseline="0">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gradFill flip="none" rotWithShape="1">
                    <a:gsLst>
                      <a:gs pos="0">
                        <a:schemeClr val="accent2">
                          <a:lumMod val="5000"/>
                          <a:lumOff val="95000"/>
                        </a:schemeClr>
                      </a:gs>
                      <a:gs pos="47000">
                        <a:schemeClr val="accent2">
                          <a:lumMod val="75000"/>
                        </a:schemeClr>
                      </a:gs>
                      <a:gs pos="83000">
                        <a:schemeClr val="accent2">
                          <a:lumMod val="45000"/>
                          <a:lumOff val="55000"/>
                        </a:schemeClr>
                      </a:gs>
                      <a:gs pos="100000">
                        <a:schemeClr val="accent2">
                          <a:lumMod val="30000"/>
                          <a:lumOff val="70000"/>
                        </a:schemeClr>
                      </a:gs>
                    </a:gsLst>
                    <a:lin ang="5400000" scaled="1"/>
                    <a:tileRect/>
                  </a:gra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gradFill flip="none" rotWithShape="1">
                    <a:gsLst>
                      <a:gs pos="0">
                        <a:schemeClr val="accent2">
                          <a:lumMod val="5000"/>
                          <a:lumOff val="95000"/>
                        </a:schemeClr>
                      </a:gs>
                      <a:gs pos="47000">
                        <a:schemeClr val="accent2">
                          <a:lumMod val="75000"/>
                        </a:schemeClr>
                      </a:gs>
                      <a:gs pos="83000">
                        <a:schemeClr val="accent2">
                          <a:lumMod val="45000"/>
                          <a:lumOff val="55000"/>
                        </a:schemeClr>
                      </a:gs>
                      <a:gs pos="100000">
                        <a:schemeClr val="accent2">
                          <a:lumMod val="30000"/>
                          <a:lumOff val="70000"/>
                        </a:schemeClr>
                      </a:gs>
                    </a:gsLst>
                    <a:lin ang="5400000" scaled="1"/>
                    <a:tileRect/>
                  </a:gra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Pivot_Table_KPI!$L$10</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Pivot_Table_KPI!$K$11:$K$26</c:f>
              <c:multiLvlStrCache>
                <c:ptCount val="13"/>
                <c:lvl>
                  <c:pt idx="0">
                    <c:v>Aug</c:v>
                  </c:pt>
                  <c:pt idx="1">
                    <c:v>Sep</c:v>
                  </c:pt>
                  <c:pt idx="2">
                    <c:v>Oct</c:v>
                  </c:pt>
                  <c:pt idx="3">
                    <c:v>Nov</c:v>
                  </c:pt>
                  <c:pt idx="4">
                    <c:v>Dec</c:v>
                  </c:pt>
                  <c:pt idx="5">
                    <c:v>Jan</c:v>
                  </c:pt>
                  <c:pt idx="6">
                    <c:v>Feb</c:v>
                  </c:pt>
                  <c:pt idx="7">
                    <c:v>Mar</c:v>
                  </c:pt>
                  <c:pt idx="8">
                    <c:v>Apr</c:v>
                  </c:pt>
                  <c:pt idx="9">
                    <c:v>May</c:v>
                  </c:pt>
                  <c:pt idx="10">
                    <c:v>Jun</c:v>
                  </c:pt>
                  <c:pt idx="11">
                    <c:v>Jul</c:v>
                  </c:pt>
                  <c:pt idx="12">
                    <c:v>Aug</c:v>
                  </c:pt>
                </c:lvl>
                <c:lvl>
                  <c:pt idx="0">
                    <c:v>2025</c:v>
                  </c:pt>
                  <c:pt idx="5">
                    <c:v>2026</c:v>
                  </c:pt>
                </c:lvl>
              </c:multiLvlStrCache>
            </c:multiLvlStrRef>
          </c:cat>
          <c:val>
            <c:numRef>
              <c:f>Pivot_Table_KPI!$L$11:$L$26</c:f>
              <c:numCache>
                <c:formatCode>General</c:formatCode>
                <c:ptCount val="13"/>
                <c:pt idx="0">
                  <c:v>3.1917808219178081</c:v>
                </c:pt>
                <c:pt idx="1">
                  <c:v>3.1414141414141414</c:v>
                </c:pt>
                <c:pt idx="2">
                  <c:v>3.074074074074074</c:v>
                </c:pt>
                <c:pt idx="3">
                  <c:v>2.8767123287671232</c:v>
                </c:pt>
                <c:pt idx="4">
                  <c:v>3.1176470588235294</c:v>
                </c:pt>
                <c:pt idx="5">
                  <c:v>3.0985915492957745</c:v>
                </c:pt>
                <c:pt idx="6">
                  <c:v>3.3783783783783785</c:v>
                </c:pt>
                <c:pt idx="7">
                  <c:v>2.9550561797752808</c:v>
                </c:pt>
                <c:pt idx="8">
                  <c:v>3.0736842105263156</c:v>
                </c:pt>
                <c:pt idx="9">
                  <c:v>2.7124999999999999</c:v>
                </c:pt>
                <c:pt idx="10">
                  <c:v>2.8624999999999998</c:v>
                </c:pt>
                <c:pt idx="11">
                  <c:v>3.09375</c:v>
                </c:pt>
                <c:pt idx="12">
                  <c:v>3.25</c:v>
                </c:pt>
              </c:numCache>
            </c:numRef>
          </c:val>
          <c:smooth val="0"/>
          <c:extLst>
            <c:ext xmlns:c16="http://schemas.microsoft.com/office/drawing/2014/chart" uri="{C3380CC4-5D6E-409C-BE32-E72D297353CC}">
              <c16:uniqueId val="{00000000-6594-46BA-B91F-DB2AF9027293}"/>
            </c:ext>
          </c:extLst>
        </c:ser>
        <c:dLbls>
          <c:showLegendKey val="0"/>
          <c:showVal val="0"/>
          <c:showCatName val="0"/>
          <c:showSerName val="0"/>
          <c:showPercent val="0"/>
          <c:showBubbleSize val="0"/>
        </c:dLbls>
        <c:marker val="1"/>
        <c:smooth val="0"/>
        <c:axId val="1395992463"/>
        <c:axId val="957653807"/>
      </c:lineChart>
      <c:catAx>
        <c:axId val="139599246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gradFill flip="none" rotWithShape="1">
                  <a:gsLst>
                    <a:gs pos="0">
                      <a:schemeClr val="accent2">
                        <a:lumMod val="5000"/>
                        <a:lumOff val="95000"/>
                      </a:schemeClr>
                    </a:gs>
                    <a:gs pos="47000">
                      <a:schemeClr val="accent2">
                        <a:lumMod val="75000"/>
                      </a:schemeClr>
                    </a:gs>
                    <a:gs pos="83000">
                      <a:schemeClr val="accent2">
                        <a:lumMod val="45000"/>
                        <a:lumOff val="55000"/>
                      </a:schemeClr>
                    </a:gs>
                    <a:gs pos="100000">
                      <a:schemeClr val="accent2">
                        <a:lumMod val="30000"/>
                        <a:lumOff val="70000"/>
                      </a:schemeClr>
                    </a:gs>
                  </a:gsLst>
                  <a:lin ang="5400000" scaled="1"/>
                  <a:tileRect/>
                </a:gradFill>
                <a:latin typeface="+mn-lt"/>
                <a:ea typeface="+mn-ea"/>
                <a:cs typeface="+mn-cs"/>
              </a:defRPr>
            </a:pPr>
            <a:endParaRPr lang="en-US"/>
          </a:p>
        </c:txPr>
        <c:crossAx val="957653807"/>
        <c:crosses val="autoZero"/>
        <c:auto val="1"/>
        <c:lblAlgn val="ctr"/>
        <c:lblOffset val="100"/>
        <c:noMultiLvlLbl val="0"/>
      </c:catAx>
      <c:valAx>
        <c:axId val="957653807"/>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gradFill flip="none" rotWithShape="1">
                  <a:gsLst>
                    <a:gs pos="0">
                      <a:schemeClr val="accent2">
                        <a:lumMod val="5000"/>
                        <a:lumOff val="95000"/>
                      </a:schemeClr>
                    </a:gs>
                    <a:gs pos="47000">
                      <a:schemeClr val="accent2">
                        <a:lumMod val="75000"/>
                      </a:schemeClr>
                    </a:gs>
                    <a:gs pos="83000">
                      <a:schemeClr val="accent2">
                        <a:lumMod val="45000"/>
                        <a:lumOff val="55000"/>
                      </a:schemeClr>
                    </a:gs>
                    <a:gs pos="100000">
                      <a:schemeClr val="accent2">
                        <a:lumMod val="30000"/>
                        <a:lumOff val="70000"/>
                      </a:schemeClr>
                    </a:gs>
                  </a:gsLst>
                  <a:lin ang="5400000" scaled="1"/>
                  <a:tileRect/>
                </a:gradFill>
                <a:latin typeface="+mn-lt"/>
                <a:ea typeface="+mn-ea"/>
                <a:cs typeface="+mn-cs"/>
              </a:defRPr>
            </a:pPr>
            <a:endParaRPr lang="en-US"/>
          </a:p>
        </c:txPr>
        <c:crossAx val="1395992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gradFill flip="none" rotWithShape="1">
            <a:gsLst>
              <a:gs pos="0">
                <a:schemeClr val="accent2">
                  <a:lumMod val="5000"/>
                  <a:lumOff val="95000"/>
                </a:schemeClr>
              </a:gs>
              <a:gs pos="47000">
                <a:schemeClr val="accent2">
                  <a:lumMod val="75000"/>
                </a:schemeClr>
              </a:gs>
              <a:gs pos="83000">
                <a:schemeClr val="accent2">
                  <a:lumMod val="45000"/>
                  <a:lumOff val="55000"/>
                </a:schemeClr>
              </a:gs>
              <a:gs pos="100000">
                <a:schemeClr val="accent2">
                  <a:lumMod val="30000"/>
                  <a:lumOff val="70000"/>
                </a:schemeClr>
              </a:gs>
            </a:gsLst>
            <a:lin ang="5400000" scaled="1"/>
            <a:tileRect/>
          </a:gra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Dashboard.xlsx]Pivot_Table_KPI!Revenue_Lead_Source</c:name>
    <c:fmtId val="13"/>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8611111111111117"/>
              <c:y val="-9.72222222222222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444444444444443"/>
              <c:y val="8.796296296296279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Pivot_Table_KPI!$B$11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D9A-48D6-9AF0-FD4D48101842}"/>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4D9A-48D6-9AF0-FD4D48101842}"/>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4D9A-48D6-9AF0-FD4D48101842}"/>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4D9A-48D6-9AF0-FD4D48101842}"/>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4D9A-48D6-9AF0-FD4D48101842}"/>
              </c:ext>
            </c:extLst>
          </c:dPt>
          <c:dLbls>
            <c:dLbl>
              <c:idx val="0"/>
              <c:layout>
                <c:manualLayout>
                  <c:x val="0.1"/>
                  <c:y val="-0.1111111111111111"/>
                </c:manualLayout>
              </c:layout>
              <c:showLegendKey val="1"/>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D9A-48D6-9AF0-FD4D48101842}"/>
                </c:ext>
              </c:extLst>
            </c:dLbl>
            <c:dLbl>
              <c:idx val="1"/>
              <c:layout>
                <c:manualLayout>
                  <c:x val="0.1"/>
                  <c:y val="-0.1111111111111111"/>
                </c:manualLayout>
              </c:layout>
              <c:showLegendKey val="1"/>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D9A-48D6-9AF0-FD4D48101842}"/>
                </c:ext>
              </c:extLst>
            </c:dLbl>
            <c:dLbl>
              <c:idx val="2"/>
              <c:layout>
                <c:manualLayout>
                  <c:x val="0.14444444444444443"/>
                  <c:y val="8.7962962962962798E-2"/>
                </c:manualLayout>
              </c:layout>
              <c:showLegendKey val="1"/>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D9A-48D6-9AF0-FD4D48101842}"/>
                </c:ext>
              </c:extLst>
            </c:dLbl>
            <c:dLbl>
              <c:idx val="3"/>
              <c:layout>
                <c:manualLayout>
                  <c:x val="0.1"/>
                  <c:y val="-0.1111111111111111"/>
                </c:manualLayout>
              </c:layout>
              <c:showLegendKey val="1"/>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D9A-48D6-9AF0-FD4D48101842}"/>
                </c:ext>
              </c:extLst>
            </c:dLbl>
            <c:dLbl>
              <c:idx val="4"/>
              <c:layout>
                <c:manualLayout>
                  <c:x val="-0.18611111111111117"/>
                  <c:y val="-9.7222222222222265E-2"/>
                </c:manualLayout>
              </c:layout>
              <c:showLegendKey val="1"/>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D9A-48D6-9AF0-FD4D4810184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Pivot_Table_KPI!$A$12:$A$17</c:f>
              <c:strCache>
                <c:ptCount val="5"/>
                <c:pt idx="0">
                  <c:v>Email Campaign</c:v>
                </c:pt>
                <c:pt idx="1">
                  <c:v>Referral</c:v>
                </c:pt>
                <c:pt idx="2">
                  <c:v>Social Media</c:v>
                </c:pt>
                <c:pt idx="3">
                  <c:v>Walk-in</c:v>
                </c:pt>
                <c:pt idx="4">
                  <c:v>Website</c:v>
                </c:pt>
              </c:strCache>
            </c:strRef>
          </c:cat>
          <c:val>
            <c:numRef>
              <c:f>Pivot_Table_KPI!$B$12:$B$17</c:f>
              <c:numCache>
                <c:formatCode>General</c:formatCode>
                <c:ptCount val="5"/>
                <c:pt idx="0">
                  <c:v>4630334.160000002</c:v>
                </c:pt>
                <c:pt idx="1">
                  <c:v>5140533.5699999956</c:v>
                </c:pt>
                <c:pt idx="2">
                  <c:v>4981901.8999999985</c:v>
                </c:pt>
                <c:pt idx="3">
                  <c:v>5317383.589999998</c:v>
                </c:pt>
                <c:pt idx="4">
                  <c:v>4498026.6399999997</c:v>
                </c:pt>
              </c:numCache>
            </c:numRef>
          </c:val>
          <c:extLst>
            <c:ext xmlns:c16="http://schemas.microsoft.com/office/drawing/2014/chart" uri="{C3380CC4-5D6E-409C-BE32-E72D297353CC}">
              <c16:uniqueId val="{00000000-4D9A-48D6-9AF0-FD4D48101842}"/>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Dashboard.xlsx]Pivot_Table_KPI!Total Processing Fee</c:name>
    <c:fmtId val="0"/>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1">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2.748610969083418E-2"/>
              <c:y val="-5.2173650707454673E-2"/>
            </c:manualLayout>
          </c:layout>
          <c:spPr>
            <a:noFill/>
            <a:ln w="9525" cap="flat" cmpd="sng" algn="ctr">
              <a:solidFill>
                <a:sysClr val="windowText" lastClr="000000"/>
              </a:solidFill>
              <a:prstDash val="solid"/>
              <a:round/>
              <a:headEnd type="none" w="med" len="med"/>
              <a:tailEnd type="none" w="med" len="med"/>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1">
                  <a:avLst/>
                </a:prstGeom>
                <a:noFill/>
                <a:ln>
                  <a:noFill/>
                </a:ln>
              </c15:spPr>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0.1077100589699015"/>
              <c:y val="9.9567834193139623E-3"/>
            </c:manualLayout>
          </c:layout>
          <c:spPr>
            <a:xfrm>
              <a:off x="154970" y="500487"/>
              <a:ext cx="475513" cy="371016"/>
            </a:xfrm>
            <a:noFill/>
            <a:ln w="9525" cap="flat" cmpd="sng" algn="ctr">
              <a:solidFill>
                <a:sysClr val="windowText" lastClr="000000"/>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1">
                  <a:avLst>
                    <a:gd name="adj1" fmla="val 47504"/>
                    <a:gd name="adj2" fmla="val 107046"/>
                    <a:gd name="adj3" fmla="val 72198"/>
                    <a:gd name="adj4" fmla="val 171597"/>
                  </a:avLst>
                </a:prstGeom>
                <a:noFill/>
                <a:ln>
                  <a:noFill/>
                </a:ln>
              </c15:spPr>
              <c15:layout>
                <c:manualLayout>
                  <c:w val="0.16208644373998704"/>
                  <c:h val="0.13991311430898723"/>
                </c:manualLayout>
              </c15:layout>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4.9804983590555511E-2"/>
              <c:y val="0.15137368695463077"/>
            </c:manualLayout>
          </c:layout>
          <c:spPr>
            <a:xfrm>
              <a:off x="412244" y="1593112"/>
              <a:ext cx="487949" cy="453630"/>
            </a:xfrm>
            <a:noFill/>
            <a:ln w="9525" cap="flat" cmpd="sng" algn="ctr">
              <a:solidFill>
                <a:sysClr val="windowText" lastClr="000000"/>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1">
                  <a:avLst>
                    <a:gd name="adj1" fmla="val -14846"/>
                    <a:gd name="adj2" fmla="val 33831"/>
                    <a:gd name="adj3" fmla="val -90687"/>
                    <a:gd name="adj4" fmla="val 75067"/>
                  </a:avLst>
                </a:prstGeom>
                <a:noFill/>
                <a:ln>
                  <a:noFill/>
                </a:ln>
              </c15:spPr>
              <c15:layout>
                <c:manualLayout>
                  <c:w val="0.1663254593175853"/>
                  <c:h val="0.17106751742239118"/>
                </c:manualLayout>
              </c15:layout>
            </c:ext>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4.8186417050565776E-2"/>
              <c:y val="2.3872495517268263E-2"/>
            </c:manualLayout>
          </c:layout>
          <c:spPr>
            <a:noFill/>
            <a:ln w="9525" cap="flat" cmpd="sng" algn="ctr">
              <a:solidFill>
                <a:sysClr val="windowText" lastClr="000000"/>
              </a:solidFill>
              <a:prstDash val="solid"/>
              <a:round/>
              <a:headEnd type="none" w="med" len="med"/>
              <a:tailEnd type="none" w="med" len="med"/>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1">
                  <a:avLst/>
                </a:prstGeom>
                <a:noFill/>
                <a:ln>
                  <a:noFill/>
                </a:ln>
              </c15:spPr>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dLblPos val="bestFit"/>
          <c:showLegendKey val="0"/>
          <c:showVal val="0"/>
          <c:showCatName val="1"/>
          <c:showSerName val="0"/>
          <c:showPercent val="1"/>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dLblPos val="bestFit"/>
          <c:showLegendKey val="0"/>
          <c:showVal val="0"/>
          <c:showCatName val="1"/>
          <c:showSerName val="0"/>
          <c:showPercent val="1"/>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dLblPos val="bestFit"/>
          <c:showLegendKey val="0"/>
          <c:showVal val="0"/>
          <c:showCatName val="1"/>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1834407062753519"/>
          <c:y val="0.20878020635351616"/>
          <c:w val="0.49837679380986466"/>
          <c:h val="0.44249479590913204"/>
        </c:manualLayout>
      </c:layout>
      <c:pie3DChart>
        <c:varyColors val="1"/>
        <c:ser>
          <c:idx val="0"/>
          <c:order val="0"/>
          <c:tx>
            <c:strRef>
              <c:f>Pivot_Table_KPI!$S$11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2-EB87-445E-AD72-39A71D21CF0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EB87-445E-AD72-39A71D21CF0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4-EB87-445E-AD72-39A71D21CF01}"/>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EB87-445E-AD72-39A71D21CF01}"/>
              </c:ext>
            </c:extLst>
          </c:dPt>
          <c:dLbls>
            <c:dLbl>
              <c:idx val="0"/>
              <c:layout>
                <c:manualLayout>
                  <c:x val="2.748610969083418E-2"/>
                  <c:y val="-5.2173650707454673E-2"/>
                </c:manualLayout>
              </c:layout>
              <c:spPr>
                <a:noFill/>
                <a:ln w="9525" cap="flat" cmpd="sng" algn="ctr">
                  <a:solidFill>
                    <a:sysClr val="windowText" lastClr="000000"/>
                  </a:solidFill>
                  <a:prstDash val="solid"/>
                  <a:round/>
                  <a:headEnd type="none" w="med" len="med"/>
                  <a:tailEnd type="none" w="med" len="med"/>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1">
                      <a:avLst/>
                    </a:prstGeom>
                    <a:noFill/>
                    <a:ln>
                      <a:noFill/>
                    </a:ln>
                  </c15:spPr>
                </c:ext>
                <c:ext xmlns:c16="http://schemas.microsoft.com/office/drawing/2014/chart" uri="{C3380CC4-5D6E-409C-BE32-E72D297353CC}">
                  <c16:uniqueId val="{00000002-EB87-445E-AD72-39A71D21CF01}"/>
                </c:ext>
              </c:extLst>
            </c:dLbl>
            <c:dLbl>
              <c:idx val="1"/>
              <c:layout>
                <c:manualLayout>
                  <c:x val="4.8186417050565776E-2"/>
                  <c:y val="2.3872495517268263E-2"/>
                </c:manualLayout>
              </c:layout>
              <c:spPr>
                <a:noFill/>
                <a:ln w="9525" cap="flat" cmpd="sng" algn="ctr">
                  <a:solidFill>
                    <a:sysClr val="windowText" lastClr="000000"/>
                  </a:solidFill>
                  <a:prstDash val="solid"/>
                  <a:round/>
                  <a:headEnd type="none" w="med" len="med"/>
                  <a:tailEnd type="none" w="med" len="med"/>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1">
                      <a:avLst/>
                    </a:prstGeom>
                    <a:noFill/>
                    <a:ln>
                      <a:noFill/>
                    </a:ln>
                  </c15:spPr>
                </c:ext>
                <c:ext xmlns:c16="http://schemas.microsoft.com/office/drawing/2014/chart" uri="{C3380CC4-5D6E-409C-BE32-E72D297353CC}">
                  <c16:uniqueId val="{00000005-EB87-445E-AD72-39A71D21CF01}"/>
                </c:ext>
              </c:extLst>
            </c:dLbl>
            <c:dLbl>
              <c:idx val="2"/>
              <c:layout>
                <c:manualLayout>
                  <c:x val="4.9804983590555511E-2"/>
                  <c:y val="0.15137368695463077"/>
                </c:manualLayout>
              </c:layout>
              <c:spPr>
                <a:xfrm>
                  <a:off x="412244" y="1593112"/>
                  <a:ext cx="487949" cy="453630"/>
                </a:xfrm>
                <a:noFill/>
                <a:ln w="9525" cap="flat" cmpd="sng" algn="ctr">
                  <a:solidFill>
                    <a:sysClr val="windowText" lastClr="000000"/>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1">
                      <a:avLst>
                        <a:gd name="adj1" fmla="val -14846"/>
                        <a:gd name="adj2" fmla="val 33831"/>
                        <a:gd name="adj3" fmla="val -90687"/>
                        <a:gd name="adj4" fmla="val 75067"/>
                      </a:avLst>
                    </a:prstGeom>
                    <a:noFill/>
                    <a:ln>
                      <a:noFill/>
                    </a:ln>
                  </c15:spPr>
                  <c15:layout>
                    <c:manualLayout>
                      <c:w val="0.1663254593175853"/>
                      <c:h val="0.17106751742239118"/>
                    </c:manualLayout>
                  </c15:layout>
                </c:ext>
                <c:ext xmlns:c16="http://schemas.microsoft.com/office/drawing/2014/chart" uri="{C3380CC4-5D6E-409C-BE32-E72D297353CC}">
                  <c16:uniqueId val="{00000004-EB87-445E-AD72-39A71D21CF01}"/>
                </c:ext>
              </c:extLst>
            </c:dLbl>
            <c:dLbl>
              <c:idx val="3"/>
              <c:layout>
                <c:manualLayout>
                  <c:x val="-0.1077100589699015"/>
                  <c:y val="9.9567834193139623E-3"/>
                </c:manualLayout>
              </c:layout>
              <c:spPr>
                <a:xfrm>
                  <a:off x="154970" y="500487"/>
                  <a:ext cx="475513" cy="371016"/>
                </a:xfrm>
                <a:noFill/>
                <a:ln w="9525" cap="flat" cmpd="sng" algn="ctr">
                  <a:solidFill>
                    <a:sysClr val="windowText" lastClr="000000"/>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1">
                      <a:avLst>
                        <a:gd name="adj1" fmla="val 47504"/>
                        <a:gd name="adj2" fmla="val 107046"/>
                        <a:gd name="adj3" fmla="val 72198"/>
                        <a:gd name="adj4" fmla="val 171597"/>
                      </a:avLst>
                    </a:prstGeom>
                    <a:noFill/>
                    <a:ln>
                      <a:noFill/>
                    </a:ln>
                  </c15:spPr>
                  <c15:layout>
                    <c:manualLayout>
                      <c:w val="0.16208644373998704"/>
                      <c:h val="0.13991311430898723"/>
                    </c:manualLayout>
                  </c15:layout>
                </c:ext>
                <c:ext xmlns:c16="http://schemas.microsoft.com/office/drawing/2014/chart" uri="{C3380CC4-5D6E-409C-BE32-E72D297353CC}">
                  <c16:uniqueId val="{00000003-EB87-445E-AD72-39A71D21CF01}"/>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ext>
            </c:extLst>
          </c:dLbls>
          <c:cat>
            <c:strRef>
              <c:f>Pivot_Table_KPI!$R$12:$R$16</c:f>
              <c:strCache>
                <c:ptCount val="4"/>
                <c:pt idx="0">
                  <c:v>Corporate</c:v>
                </c:pt>
                <c:pt idx="1">
                  <c:v>High Net Worth</c:v>
                </c:pt>
                <c:pt idx="2">
                  <c:v>Retail</c:v>
                </c:pt>
                <c:pt idx="3">
                  <c:v>SME</c:v>
                </c:pt>
              </c:strCache>
            </c:strRef>
          </c:cat>
          <c:val>
            <c:numRef>
              <c:f>Pivot_Table_KPI!$S$12:$S$16</c:f>
              <c:numCache>
                <c:formatCode>General</c:formatCode>
                <c:ptCount val="4"/>
                <c:pt idx="0">
                  <c:v>70759.509999999995</c:v>
                </c:pt>
                <c:pt idx="1">
                  <c:v>75775.339999999982</c:v>
                </c:pt>
                <c:pt idx="2">
                  <c:v>66249.900000000023</c:v>
                </c:pt>
                <c:pt idx="3">
                  <c:v>62520.15</c:v>
                </c:pt>
              </c:numCache>
            </c:numRef>
          </c:val>
          <c:extLst>
            <c:ext xmlns:c16="http://schemas.microsoft.com/office/drawing/2014/chart" uri="{C3380CC4-5D6E-409C-BE32-E72D297353CC}">
              <c16:uniqueId val="{00000000-EB87-445E-AD72-39A71D21CF01}"/>
            </c:ext>
          </c:extLst>
        </c:ser>
        <c:dLbls>
          <c:dLblPos val="bestFit"/>
          <c:showLegendKey val="0"/>
          <c:showVal val="0"/>
          <c:showCatName val="0"/>
          <c:showSerName val="0"/>
          <c:showPercent val="0"/>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Dashboard.xlsx]Pivot_Table_KPI!Total Revenue By Product</c:name>
    <c:fmtId val="15"/>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Pivot_Table_KPI!$F$11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Pivot_Table_KPI!$E$12:$E$17</c:f>
              <c:strCache>
                <c:ptCount val="5"/>
                <c:pt idx="0">
                  <c:v>Auto Loan</c:v>
                </c:pt>
                <c:pt idx="1">
                  <c:v>Credit Card</c:v>
                </c:pt>
                <c:pt idx="2">
                  <c:v>Mortgage</c:v>
                </c:pt>
                <c:pt idx="3">
                  <c:v>Personal Loan</c:v>
                </c:pt>
                <c:pt idx="4">
                  <c:v>Wealth Management</c:v>
                </c:pt>
              </c:strCache>
            </c:strRef>
          </c:cat>
          <c:val>
            <c:numRef>
              <c:f>Pivot_Table_KPI!$F$12:$F$17</c:f>
              <c:numCache>
                <c:formatCode>General</c:formatCode>
                <c:ptCount val="5"/>
                <c:pt idx="0">
                  <c:v>5264454.0899999989</c:v>
                </c:pt>
                <c:pt idx="1">
                  <c:v>5179352.5200000033</c:v>
                </c:pt>
                <c:pt idx="2">
                  <c:v>4803673.9200000009</c:v>
                </c:pt>
                <c:pt idx="3">
                  <c:v>4321270.3499999978</c:v>
                </c:pt>
                <c:pt idx="4">
                  <c:v>4999428.9800000004</c:v>
                </c:pt>
              </c:numCache>
            </c:numRef>
          </c:val>
          <c:extLst>
            <c:ext xmlns:c16="http://schemas.microsoft.com/office/drawing/2014/chart" uri="{C3380CC4-5D6E-409C-BE32-E72D297353CC}">
              <c16:uniqueId val="{00000000-AF05-4C52-B319-003A5DADAEE6}"/>
            </c:ext>
          </c:extLst>
        </c:ser>
        <c:dLbls>
          <c:showLegendKey val="0"/>
          <c:showVal val="0"/>
          <c:showCatName val="0"/>
          <c:showSerName val="0"/>
          <c:showPercent val="0"/>
          <c:showBubbleSize val="0"/>
        </c:dLbls>
        <c:gapWidth val="100"/>
        <c:overlap val="-24"/>
        <c:axId val="164884960"/>
        <c:axId val="88998992"/>
      </c:barChart>
      <c:catAx>
        <c:axId val="16488496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8998992"/>
        <c:crosses val="autoZero"/>
        <c:auto val="1"/>
        <c:lblAlgn val="ctr"/>
        <c:lblOffset val="100"/>
        <c:noMultiLvlLbl val="0"/>
      </c:catAx>
      <c:valAx>
        <c:axId val="8899899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4884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Dashboard.xlsx]Pivot_Table_KPI!Total Revenue By Product</c:name>
    <c:fmtId val="22"/>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innerShdw blurRad="63500" dist="50800" dir="13500000">
              <a:prstClr val="black">
                <a:alpha val="50000"/>
              </a:prst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Pivot_Table_KPI!$F$11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innerShdw blurRad="63500" dist="50800" dir="13500000">
                <a:prstClr val="black">
                  <a:alpha val="50000"/>
                </a:prstClr>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Pivot_Table_KPI!$E$12:$E$17</c:f>
              <c:strCache>
                <c:ptCount val="5"/>
                <c:pt idx="0">
                  <c:v>Auto Loan</c:v>
                </c:pt>
                <c:pt idx="1">
                  <c:v>Credit Card</c:v>
                </c:pt>
                <c:pt idx="2">
                  <c:v>Mortgage</c:v>
                </c:pt>
                <c:pt idx="3">
                  <c:v>Personal Loan</c:v>
                </c:pt>
                <c:pt idx="4">
                  <c:v>Wealth Management</c:v>
                </c:pt>
              </c:strCache>
            </c:strRef>
          </c:cat>
          <c:val>
            <c:numRef>
              <c:f>Pivot_Table_KPI!$F$12:$F$17</c:f>
              <c:numCache>
                <c:formatCode>General</c:formatCode>
                <c:ptCount val="5"/>
                <c:pt idx="0">
                  <c:v>5264454.0899999989</c:v>
                </c:pt>
                <c:pt idx="1">
                  <c:v>5179352.5200000033</c:v>
                </c:pt>
                <c:pt idx="2">
                  <c:v>4803673.9200000009</c:v>
                </c:pt>
                <c:pt idx="3">
                  <c:v>4321270.3499999978</c:v>
                </c:pt>
                <c:pt idx="4">
                  <c:v>4999428.9800000004</c:v>
                </c:pt>
              </c:numCache>
            </c:numRef>
          </c:val>
          <c:extLst>
            <c:ext xmlns:c16="http://schemas.microsoft.com/office/drawing/2014/chart" uri="{C3380CC4-5D6E-409C-BE32-E72D297353CC}">
              <c16:uniqueId val="{00000000-9390-4FB3-B0A9-F0DAE7F2150A}"/>
            </c:ext>
          </c:extLst>
        </c:ser>
        <c:dLbls>
          <c:dLblPos val="outEnd"/>
          <c:showLegendKey val="0"/>
          <c:showVal val="1"/>
          <c:showCatName val="0"/>
          <c:showSerName val="0"/>
          <c:showPercent val="0"/>
          <c:showBubbleSize val="0"/>
        </c:dLbls>
        <c:gapWidth val="100"/>
        <c:overlap val="-24"/>
        <c:axId val="164884960"/>
        <c:axId val="88998992"/>
      </c:barChart>
      <c:catAx>
        <c:axId val="164884960"/>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8998992"/>
        <c:crosses val="autoZero"/>
        <c:auto val="1"/>
        <c:lblAlgn val="ctr"/>
        <c:lblOffset val="100"/>
        <c:noMultiLvlLbl val="0"/>
      </c:catAx>
      <c:valAx>
        <c:axId val="88998992"/>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64884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tileRect/>
    </a:gradFill>
    <a:ln w="6350" cap="flat" cmpd="sng" algn="ctr">
      <a:solidFill>
        <a:schemeClr val="accent2"/>
      </a:solidFill>
      <a:prstDash val="solid"/>
      <a:miter lim="800000"/>
    </a:ln>
    <a:effectLst>
      <a:innerShdw blurRad="63500" dist="50800" dir="13500000">
        <a:prstClr val="black">
          <a:alpha val="50000"/>
        </a:prstClr>
      </a:inn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Dashboard.xlsx]Pivot_Table_KPI!Revenue_Trend</c:name>
    <c:fmtId val="28"/>
  </c:pivotSource>
  <c:chart>
    <c:autoTitleDeleted val="1"/>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anchor="ctr" anchorCtr="1"/>
            <a:lstStyle/>
            <a:p>
              <a:pPr>
                <a:defRPr lang="en-US" sz="900" b="0" i="0" u="none" strike="noStrike" kern="1200" baseline="0">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gradFill flip="none" rotWithShape="1">
                    <a:gsLst>
                      <a:gs pos="0">
                        <a:schemeClr val="accent2">
                          <a:lumMod val="5000"/>
                          <a:lumOff val="95000"/>
                        </a:schemeClr>
                      </a:gs>
                      <a:gs pos="47000">
                        <a:schemeClr val="accent2">
                          <a:lumMod val="75000"/>
                        </a:schemeClr>
                      </a:gs>
                      <a:gs pos="83000">
                        <a:schemeClr val="accent2">
                          <a:lumMod val="45000"/>
                          <a:lumOff val="55000"/>
                        </a:schemeClr>
                      </a:gs>
                      <a:gs pos="100000">
                        <a:schemeClr val="accent2">
                          <a:lumMod val="30000"/>
                          <a:lumOff val="70000"/>
                        </a:schemeClr>
                      </a:gs>
                    </a:gsLst>
                    <a:lin ang="5400000" scaled="1"/>
                    <a:tileRect/>
                  </a:gra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anchor="ctr" anchorCtr="1"/>
            <a:lstStyle/>
            <a:p>
              <a:pPr>
                <a:defRPr lang="en-US" sz="900" b="0" i="0" u="none" strike="noStrike" kern="1200" baseline="0">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gradFill flip="none" rotWithShape="1">
                    <a:gsLst>
                      <a:gs pos="0">
                        <a:schemeClr val="accent2">
                          <a:lumMod val="5000"/>
                          <a:lumOff val="95000"/>
                        </a:schemeClr>
                      </a:gs>
                      <a:gs pos="47000">
                        <a:schemeClr val="accent2">
                          <a:lumMod val="75000"/>
                        </a:schemeClr>
                      </a:gs>
                      <a:gs pos="83000">
                        <a:schemeClr val="accent2">
                          <a:lumMod val="45000"/>
                          <a:lumOff val="55000"/>
                        </a:schemeClr>
                      </a:gs>
                      <a:gs pos="100000">
                        <a:schemeClr val="accent2">
                          <a:lumMod val="30000"/>
                          <a:lumOff val="70000"/>
                        </a:schemeClr>
                      </a:gs>
                    </a:gsLst>
                    <a:lin ang="5400000" scaled="1"/>
                    <a:tileRect/>
                  </a:gra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gradFill flip="none" rotWithShape="1">
                    <a:gsLst>
                      <a:gs pos="0">
                        <a:schemeClr val="accent2">
                          <a:lumMod val="5000"/>
                          <a:lumOff val="95000"/>
                        </a:schemeClr>
                      </a:gs>
                      <a:gs pos="47000">
                        <a:schemeClr val="accent2">
                          <a:lumMod val="75000"/>
                        </a:schemeClr>
                      </a:gs>
                      <a:gs pos="83000">
                        <a:schemeClr val="accent2">
                          <a:lumMod val="45000"/>
                          <a:lumOff val="55000"/>
                        </a:schemeClr>
                      </a:gs>
                      <a:gs pos="100000">
                        <a:schemeClr val="accent2">
                          <a:lumMod val="30000"/>
                          <a:lumOff val="70000"/>
                        </a:schemeClr>
                      </a:gs>
                    </a:gsLst>
                    <a:lin ang="5400000" scaled="1"/>
                    <a:tileRect/>
                  </a:gra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gradFill flip="none" rotWithShape="1">
                    <a:gsLst>
                      <a:gs pos="0">
                        <a:schemeClr val="accent2">
                          <a:lumMod val="5000"/>
                          <a:lumOff val="95000"/>
                        </a:schemeClr>
                      </a:gs>
                      <a:gs pos="47000">
                        <a:schemeClr val="accent2">
                          <a:lumMod val="75000"/>
                        </a:schemeClr>
                      </a:gs>
                      <a:gs pos="83000">
                        <a:schemeClr val="accent2">
                          <a:lumMod val="45000"/>
                          <a:lumOff val="55000"/>
                        </a:schemeClr>
                      </a:gs>
                      <a:gs pos="100000">
                        <a:schemeClr val="accent2">
                          <a:lumMod val="30000"/>
                          <a:lumOff val="70000"/>
                        </a:schemeClr>
                      </a:gs>
                    </a:gsLst>
                    <a:lin ang="5400000" scaled="1"/>
                    <a:tileRect/>
                  </a:gra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gradFill flip="none" rotWithShape="1">
                    <a:gsLst>
                      <a:gs pos="0">
                        <a:schemeClr val="accent2">
                          <a:lumMod val="5000"/>
                          <a:lumOff val="95000"/>
                        </a:schemeClr>
                      </a:gs>
                      <a:gs pos="47000">
                        <a:schemeClr val="accent2">
                          <a:lumMod val="75000"/>
                        </a:schemeClr>
                      </a:gs>
                      <a:gs pos="83000">
                        <a:schemeClr val="accent2">
                          <a:lumMod val="45000"/>
                          <a:lumOff val="55000"/>
                        </a:schemeClr>
                      </a:gs>
                      <a:gs pos="100000">
                        <a:schemeClr val="accent2">
                          <a:lumMod val="30000"/>
                          <a:lumOff val="70000"/>
                        </a:schemeClr>
                      </a:gs>
                    </a:gsLst>
                    <a:lin ang="5400000" scaled="1"/>
                    <a:tileRect/>
                  </a:gra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Pivot_Table_KPI!$L$10</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Pivot_Table_KPI!$K$11:$K$26</c:f>
              <c:multiLvlStrCache>
                <c:ptCount val="13"/>
                <c:lvl>
                  <c:pt idx="0">
                    <c:v>Aug</c:v>
                  </c:pt>
                  <c:pt idx="1">
                    <c:v>Sep</c:v>
                  </c:pt>
                  <c:pt idx="2">
                    <c:v>Oct</c:v>
                  </c:pt>
                  <c:pt idx="3">
                    <c:v>Nov</c:v>
                  </c:pt>
                  <c:pt idx="4">
                    <c:v>Dec</c:v>
                  </c:pt>
                  <c:pt idx="5">
                    <c:v>Jan</c:v>
                  </c:pt>
                  <c:pt idx="6">
                    <c:v>Feb</c:v>
                  </c:pt>
                  <c:pt idx="7">
                    <c:v>Mar</c:v>
                  </c:pt>
                  <c:pt idx="8">
                    <c:v>Apr</c:v>
                  </c:pt>
                  <c:pt idx="9">
                    <c:v>May</c:v>
                  </c:pt>
                  <c:pt idx="10">
                    <c:v>Jun</c:v>
                  </c:pt>
                  <c:pt idx="11">
                    <c:v>Jul</c:v>
                  </c:pt>
                  <c:pt idx="12">
                    <c:v>Aug</c:v>
                  </c:pt>
                </c:lvl>
                <c:lvl>
                  <c:pt idx="0">
                    <c:v>2025</c:v>
                  </c:pt>
                  <c:pt idx="5">
                    <c:v>2026</c:v>
                  </c:pt>
                </c:lvl>
              </c:multiLvlStrCache>
            </c:multiLvlStrRef>
          </c:cat>
          <c:val>
            <c:numRef>
              <c:f>Pivot_Table_KPI!$L$11:$L$26</c:f>
              <c:numCache>
                <c:formatCode>General</c:formatCode>
                <c:ptCount val="13"/>
                <c:pt idx="0">
                  <c:v>3.1917808219178081</c:v>
                </c:pt>
                <c:pt idx="1">
                  <c:v>3.1414141414141414</c:v>
                </c:pt>
                <c:pt idx="2">
                  <c:v>3.074074074074074</c:v>
                </c:pt>
                <c:pt idx="3">
                  <c:v>2.8767123287671232</c:v>
                </c:pt>
                <c:pt idx="4">
                  <c:v>3.1176470588235294</c:v>
                </c:pt>
                <c:pt idx="5">
                  <c:v>3.0985915492957745</c:v>
                </c:pt>
                <c:pt idx="6">
                  <c:v>3.3783783783783785</c:v>
                </c:pt>
                <c:pt idx="7">
                  <c:v>2.9550561797752808</c:v>
                </c:pt>
                <c:pt idx="8">
                  <c:v>3.0736842105263156</c:v>
                </c:pt>
                <c:pt idx="9">
                  <c:v>2.7124999999999999</c:v>
                </c:pt>
                <c:pt idx="10">
                  <c:v>2.8624999999999998</c:v>
                </c:pt>
                <c:pt idx="11">
                  <c:v>3.09375</c:v>
                </c:pt>
                <c:pt idx="12">
                  <c:v>3.25</c:v>
                </c:pt>
              </c:numCache>
            </c:numRef>
          </c:val>
          <c:smooth val="0"/>
          <c:extLst>
            <c:ext xmlns:c16="http://schemas.microsoft.com/office/drawing/2014/chart" uri="{C3380CC4-5D6E-409C-BE32-E72D297353CC}">
              <c16:uniqueId val="{00000000-DB1F-4D23-9F27-F21387EE6AD5}"/>
            </c:ext>
          </c:extLst>
        </c:ser>
        <c:dLbls>
          <c:showLegendKey val="0"/>
          <c:showVal val="0"/>
          <c:showCatName val="0"/>
          <c:showSerName val="0"/>
          <c:showPercent val="0"/>
          <c:showBubbleSize val="0"/>
        </c:dLbls>
        <c:marker val="1"/>
        <c:smooth val="0"/>
        <c:axId val="1395992463"/>
        <c:axId val="957653807"/>
      </c:lineChart>
      <c:catAx>
        <c:axId val="139599246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lang="en-US" sz="1000" b="1" i="0" u="none" strike="noStrike" kern="1200" baseline="0">
                    <a:solidFill>
                      <a:schemeClr val="dk1"/>
                    </a:solidFill>
                    <a:latin typeface="+mn-lt"/>
                    <a:ea typeface="+mn-ea"/>
                    <a:cs typeface="+mn-cs"/>
                  </a:defRPr>
                </a:pPr>
                <a:r>
                  <a:rPr lang="en-US" b="1"/>
                  <a:t>Period</a:t>
                </a:r>
              </a:p>
            </c:rich>
          </c:tx>
          <c:overlay val="0"/>
          <c:spPr>
            <a:noFill/>
            <a:ln>
              <a:noFill/>
            </a:ln>
            <a:effectLst/>
          </c:spPr>
          <c:txPr>
            <a:bodyPr rot="0" spcFirstLastPara="1" vertOverflow="ellipsis" vert="horz" wrap="square" anchor="ctr" anchorCtr="1"/>
            <a:lstStyle/>
            <a:p>
              <a:pPr>
                <a:defRPr lang="en-US" sz="1000" b="1" i="0" u="none" strike="noStrike" kern="1200" baseline="0">
                  <a:solidFill>
                    <a:schemeClr val="dk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dk1"/>
                </a:solidFill>
                <a:latin typeface="+mn-lt"/>
                <a:ea typeface="+mn-ea"/>
                <a:cs typeface="+mn-cs"/>
              </a:defRPr>
            </a:pPr>
            <a:endParaRPr lang="en-US"/>
          </a:p>
        </c:txPr>
        <c:crossAx val="957653807"/>
        <c:crosses val="autoZero"/>
        <c:auto val="1"/>
        <c:lblAlgn val="ctr"/>
        <c:lblOffset val="100"/>
        <c:noMultiLvlLbl val="0"/>
      </c:catAx>
      <c:valAx>
        <c:axId val="957653807"/>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5400000" spcFirstLastPara="1" vertOverflow="ellipsis" vert="horz" wrap="square" anchor="ctr" anchorCtr="1"/>
              <a:lstStyle/>
              <a:p>
                <a:pPr>
                  <a:defRPr lang="en-US" sz="1000" b="1" i="0" u="none" strike="noStrike" kern="1200" baseline="0">
                    <a:solidFill>
                      <a:schemeClr val="dk1"/>
                    </a:solidFill>
                    <a:latin typeface="+mn-lt"/>
                    <a:ea typeface="+mn-ea"/>
                    <a:cs typeface="+mn-cs"/>
                  </a:defRPr>
                </a:pPr>
                <a:r>
                  <a:rPr lang="en-US" b="1"/>
                  <a:t>Avg Score</a:t>
                </a:r>
              </a:p>
            </c:rich>
          </c:tx>
          <c:overlay val="0"/>
          <c:spPr>
            <a:noFill/>
            <a:ln>
              <a:noFill/>
            </a:ln>
            <a:effectLst/>
          </c:spPr>
          <c:txPr>
            <a:bodyPr rot="-5400000" spcFirstLastPara="1" vertOverflow="ellipsis" vert="horz" wrap="square" anchor="ctr" anchorCtr="1"/>
            <a:lstStyle/>
            <a:p>
              <a:pPr>
                <a:defRPr lang="en-US" sz="1000" b="1" i="0" u="none" strike="noStrike" kern="1200" baseline="0">
                  <a:solidFill>
                    <a:schemeClr val="dk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dk1"/>
                </a:solidFill>
                <a:latin typeface="+mn-lt"/>
                <a:ea typeface="+mn-ea"/>
                <a:cs typeface="+mn-cs"/>
              </a:defRPr>
            </a:pPr>
            <a:endParaRPr lang="en-US"/>
          </a:p>
        </c:txPr>
        <c:crossAx val="1395992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6350" cap="flat" cmpd="sng" algn="ctr">
      <a:solidFill>
        <a:schemeClr val="accent2"/>
      </a:solidFill>
      <a:prstDash val="solid"/>
      <a:miter lim="800000"/>
    </a:ln>
    <a:effectLst>
      <a:innerShdw blurRad="63500" dist="50800" dir="13500000">
        <a:prstClr val="black">
          <a:alpha val="50000"/>
        </a:prstClr>
      </a:innerShdw>
    </a:effectLst>
  </c:spPr>
  <c:txPr>
    <a:bodyPr/>
    <a:lstStyle/>
    <a:p>
      <a:pPr>
        <a:defRPr lang="en-US" sz="1000" b="0" i="0" u="none" strike="noStrike" kern="1200" baseline="0">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Dashboard.xlsx]Pivot_Table_KPI!Total Processing Fee</c:name>
    <c:fmtId val="19"/>
  </c:pivotSource>
  <c:chart>
    <c:autoTitleDeleted val="1"/>
    <c:pivotFmts>
      <c:pivotFmt>
        <c:idx val="0"/>
        <c:dLbl>
          <c:idx val="0"/>
          <c:dLblPos val="bestFit"/>
          <c:showLegendKey val="0"/>
          <c:showVal val="0"/>
          <c:showCatName val="1"/>
          <c:showSerName val="0"/>
          <c:showPercent val="1"/>
          <c:showBubbleSize val="0"/>
          <c:extLst>
            <c:ext xmlns:c15="http://schemas.microsoft.com/office/drawing/2012/chart" uri="{CE6537A1-D6FC-4f65-9D91-7224C49458BB}"/>
          </c:extLst>
        </c:dLbl>
      </c:pivotFmt>
      <c:pivotFmt>
        <c:idx val="1"/>
        <c:dLbl>
          <c:idx val="0"/>
          <c:layout>
            <c:manualLayout>
              <c:x val="2.748610969083418E-2"/>
              <c:y val="-5.2173650707454673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2"/>
        <c:dLbl>
          <c:idx val="0"/>
          <c:layout>
            <c:manualLayout>
              <c:x val="-0.1077100589699015"/>
              <c:y val="9.9567834193139623E-3"/>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6208644373998704"/>
                  <c:h val="0.13991311430898723"/>
                </c:manualLayout>
              </c15:layout>
            </c:ext>
          </c:extLst>
        </c:dLbl>
      </c:pivotFmt>
      <c:pivotFmt>
        <c:idx val="3"/>
        <c:dLbl>
          <c:idx val="0"/>
          <c:layout>
            <c:manualLayout>
              <c:x val="4.9804983590555511E-2"/>
              <c:y val="0.15137368695463077"/>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663254593175853"/>
                  <c:h val="0.17106751742239118"/>
                </c:manualLayout>
              </c15:layout>
            </c:ext>
          </c:extLst>
        </c:dLbl>
      </c:pivotFmt>
      <c:pivotFmt>
        <c:idx val="4"/>
        <c:dLbl>
          <c:idx val="0"/>
          <c:layout>
            <c:manualLayout>
              <c:x val="4.8186417050565776E-2"/>
              <c:y val="2.3872495517268263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5"/>
        <c:dLbl>
          <c:idx val="0"/>
          <c:dLblPos val="bestFit"/>
          <c:showLegendKey val="0"/>
          <c:showVal val="0"/>
          <c:showCatName val="1"/>
          <c:showSerName val="0"/>
          <c:showPercent val="1"/>
          <c:showBubbleSize val="0"/>
          <c:extLst>
            <c:ext xmlns:c15="http://schemas.microsoft.com/office/drawing/2012/chart" uri="{CE6537A1-D6FC-4f65-9D91-7224C49458BB}"/>
          </c:extLst>
        </c:dLbl>
      </c:pivotFmt>
      <c:pivotFmt>
        <c:idx val="6"/>
        <c:dLbl>
          <c:idx val="0"/>
          <c:dLblPos val="bestFit"/>
          <c:showLegendKey val="0"/>
          <c:showVal val="0"/>
          <c:showCatName val="1"/>
          <c:showSerName val="0"/>
          <c:showPercent val="1"/>
          <c:showBubbleSize val="0"/>
          <c:extLst>
            <c:ext xmlns:c15="http://schemas.microsoft.com/office/drawing/2012/chart" uri="{CE6537A1-D6FC-4f65-9D91-7224C49458BB}"/>
          </c:extLst>
        </c:dLbl>
      </c:pivotFmt>
      <c:pivotFmt>
        <c:idx val="7"/>
        <c:dLbl>
          <c:idx val="0"/>
          <c:dLblPos val="bestFit"/>
          <c:showLegendKey val="0"/>
          <c:showVal val="0"/>
          <c:showCatName val="1"/>
          <c:showSerName val="0"/>
          <c:showPercent val="1"/>
          <c:showBubbleSize val="0"/>
          <c:extLst>
            <c:ext xmlns:c15="http://schemas.microsoft.com/office/drawing/2012/chart" uri="{CE6537A1-D6FC-4f65-9D91-7224C49458BB}"/>
          </c:extLst>
        </c:dLbl>
      </c:pivotFmt>
      <c:pivotFmt>
        <c:idx val="8"/>
        <c:dLbl>
          <c:idx val="0"/>
          <c:dLblPos val="bestFit"/>
          <c:showLegendKey val="0"/>
          <c:showVal val="0"/>
          <c:showCatName val="1"/>
          <c:showSerName val="0"/>
          <c:showPercent val="1"/>
          <c:showBubbleSize val="0"/>
          <c:extLst>
            <c:ext xmlns:c15="http://schemas.microsoft.com/office/drawing/2012/chart" uri="{CE6537A1-D6FC-4f65-9D91-7224C49458BB}"/>
          </c:extLst>
        </c:dLbl>
      </c:pivotFmt>
      <c:pivotFmt>
        <c:idx val="9"/>
        <c:dLbl>
          <c:idx val="0"/>
          <c:layout>
            <c:manualLayout>
              <c:x val="2.748610969083418E-2"/>
              <c:y val="-5.2173650707454673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0"/>
        <c:dLbl>
          <c:idx val="0"/>
          <c:layout>
            <c:manualLayout>
              <c:x val="4.8186417050565776E-2"/>
              <c:y val="2.3872495517268263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1"/>
        <c:dLbl>
          <c:idx val="0"/>
          <c:layout>
            <c:manualLayout>
              <c:x val="4.9804983590555511E-2"/>
              <c:y val="0.15137368695463077"/>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663254593175853"/>
                  <c:h val="0.17106751742239118"/>
                </c:manualLayout>
              </c15:layout>
            </c:ext>
          </c:extLst>
        </c:dLbl>
      </c:pivotFmt>
      <c:pivotFmt>
        <c:idx val="12"/>
        <c:dLbl>
          <c:idx val="0"/>
          <c:layout>
            <c:manualLayout>
              <c:x val="-0.1077100589699015"/>
              <c:y val="9.9567834193139623E-3"/>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6208644373998704"/>
                  <c:h val="0.13991311430898723"/>
                </c:manualLayout>
              </c15:layout>
            </c:ext>
          </c:extLst>
        </c:dLbl>
      </c:pivotFmt>
      <c:pivotFmt>
        <c:idx val="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solidFill>
                <a:schemeClr val="bg1"/>
              </a:solidFill>
            </a:ln>
            <a:effectLst/>
          </c:spPr>
          <c:txPr>
            <a:bodyPr rot="0" spcFirstLastPara="1" vertOverflow="clip" horzOverflow="clip" vert="horz" wrap="square" lIns="36576" tIns="18288" rIns="36576" bIns="18288" anchor="ctr" anchorCtr="1">
              <a:spAutoFit/>
            </a:bodyPr>
            <a:lstStyle/>
            <a:p>
              <a:pPr>
                <a:defRPr lang="en-US" sz="1000" b="0" i="0" u="none" strike="noStrike" kern="1200" baseline="0">
                  <a:solidFill>
                    <a:schemeClr val="accent1">
                      <a:lumMod val="7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prstGeom>
                <a:noFill/>
                <a:ln>
                  <a:noFill/>
                </a:ln>
              </c15:spPr>
            </c:ext>
          </c:extLst>
        </c:dLbl>
      </c:pivotFmt>
      <c:pivotFmt>
        <c:idx val="1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0.17824910483763043"/>
              <c:y val="-7.2480806854059035E-3"/>
            </c:manualLayout>
          </c:layout>
          <c:spPr>
            <a:noFill/>
            <a:ln>
              <a:solidFill>
                <a:sysClr val="window" lastClr="FFFFFF"/>
              </a:solidFill>
            </a:ln>
            <a:effectLst/>
          </c:spPr>
          <c:txPr>
            <a:bodyPr rot="0" spcFirstLastPara="1" vertOverflow="clip" horzOverflow="clip" vert="horz" wrap="square" lIns="36576" tIns="18288" rIns="36576" bIns="18288" anchor="ctr" anchorCtr="1">
              <a:spAutoFit/>
            </a:bodyPr>
            <a:lstStyle/>
            <a:p>
              <a:pPr>
                <a:defRPr lang="en-US" sz="1000" b="0" i="0" u="none" strike="noStrike" kern="1200" baseline="0">
                  <a:solidFill>
                    <a:schemeClr val="accent1">
                      <a:lumMod val="7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prstGeom>
                <a:noFill/>
                <a:ln>
                  <a:noFill/>
                </a:ln>
              </c15:spPr>
            </c:ext>
          </c:extLst>
        </c:dLbl>
      </c:pivotFmt>
      <c:pivotFmt>
        <c:idx val="1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2.4871968116878741E-2"/>
              <c:y val="0.21744242056217711"/>
            </c:manualLayout>
          </c:layout>
          <c:spPr>
            <a:noFill/>
            <a:ln>
              <a:solidFill>
                <a:sysClr val="window" lastClr="FFFFFF"/>
              </a:solidFill>
            </a:ln>
            <a:effectLst/>
          </c:spPr>
          <c:txPr>
            <a:bodyPr rot="0" spcFirstLastPara="1" vertOverflow="clip" horzOverflow="clip" vert="horz" wrap="square" lIns="36576" tIns="18288" rIns="36576" bIns="18288" anchor="ctr" anchorCtr="1">
              <a:spAutoFit/>
            </a:bodyPr>
            <a:lstStyle/>
            <a:p>
              <a:pPr>
                <a:defRPr lang="en-US" sz="1000" b="0" i="0" u="none" strike="noStrike" kern="1200" baseline="0">
                  <a:solidFill>
                    <a:schemeClr val="accent2">
                      <a:lumMod val="7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prstGeom>
                <a:noFill/>
                <a:ln>
                  <a:noFill/>
                </a:ln>
              </c15:spPr>
            </c:ext>
          </c:extLst>
        </c:dLbl>
      </c:pivotFmt>
      <c:pivotFmt>
        <c:idx val="1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1.8999200608895614E-17"/>
              <c:y val="0.22469050124758302"/>
            </c:manualLayout>
          </c:layout>
          <c:spPr>
            <a:noFill/>
            <a:ln>
              <a:solidFill>
                <a:sysClr val="window" lastClr="FFFFFF"/>
              </a:solidFill>
            </a:ln>
            <a:effectLst/>
          </c:spPr>
          <c:txPr>
            <a:bodyPr rot="0" spcFirstLastPara="1" vertOverflow="clip" horzOverflow="clip" vert="horz" wrap="square" lIns="36576" tIns="18288" rIns="36576" bIns="18288" anchor="ctr" anchorCtr="1">
              <a:spAutoFit/>
            </a:bodyPr>
            <a:lstStyle/>
            <a:p>
              <a:pPr>
                <a:defRPr lang="en-US" sz="1000" b="0" i="0" u="none" strike="noStrike" kern="1200" baseline="0">
                  <a:solidFill>
                    <a:schemeClr val="bg1">
                      <a:lumMod val="6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prstGeom>
                <a:noFill/>
                <a:ln>
                  <a:noFill/>
                </a:ln>
              </c15:spPr>
            </c:ext>
          </c:extLst>
        </c:dLbl>
      </c:pivotFmt>
      <c:pivotFmt>
        <c:idx val="1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0.19068508889606978"/>
              <c:y val="0.10872121028108855"/>
            </c:manualLayout>
          </c:layout>
          <c:spPr>
            <a:noFill/>
            <a:ln w="9525" cap="flat" cmpd="sng" algn="ctr">
              <a:solidFill>
                <a:sysClr val="window" lastClr="FFFFFF"/>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6576" tIns="18288" rIns="36576" bIns="18288" anchor="ctr" anchorCtr="1">
              <a:spAutoFit/>
            </a:bodyPr>
            <a:lstStyle/>
            <a:p>
              <a:pPr>
                <a:defRPr lang="en-US" sz="1000" b="0" i="0" u="none" strike="noStrike" kern="1200" baseline="0">
                  <a:solidFill>
                    <a:schemeClr val="accent4">
                      <a:lumMod val="60000"/>
                      <a:lumOff val="4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gd name="adj1" fmla="val 33925"/>
                    <a:gd name="adj2" fmla="val 113704"/>
                    <a:gd name="adj3" fmla="val 29589"/>
                    <a:gd name="adj4" fmla="val 107810"/>
                    <a:gd name="adj5" fmla="val 24222"/>
                    <a:gd name="adj6" fmla="val 293563"/>
                  </a:avLst>
                </a:prstGeom>
                <a:noFill/>
                <a:ln>
                  <a:noFill/>
                </a:ln>
              </c15:spPr>
            </c:ext>
          </c:extLst>
        </c:dLbl>
      </c:pivotFmt>
      <c:pivotFmt>
        <c:idx val="1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solidFill>
                <a:schemeClr val="bg1"/>
              </a:solidFill>
            </a:ln>
            <a:effectLst/>
          </c:spPr>
          <c:txPr>
            <a:bodyPr rot="0" spcFirstLastPara="1" vertOverflow="clip" horzOverflow="clip" vert="horz" wrap="square" lIns="36576" tIns="18288" rIns="36576" bIns="18288" anchor="ctr" anchorCtr="1">
              <a:spAutoFit/>
            </a:bodyPr>
            <a:lstStyle/>
            <a:p>
              <a:pPr>
                <a:defRPr lang="en-US" sz="1000" b="0" i="0" u="none" strike="noStrike" kern="1200" baseline="0">
                  <a:solidFill>
                    <a:schemeClr val="accent1">
                      <a:lumMod val="7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prstGeom>
                <a:noFill/>
                <a:ln>
                  <a:noFill/>
                </a:ln>
              </c15:spPr>
            </c:ext>
          </c:extLst>
        </c:dLbl>
      </c:pivotFmt>
      <c:pivotFmt>
        <c:idx val="1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0.17824910483763043"/>
              <c:y val="-7.2480806854059035E-3"/>
            </c:manualLayout>
          </c:layout>
          <c:spPr>
            <a:noFill/>
            <a:ln>
              <a:solidFill>
                <a:sysClr val="window" lastClr="FFFFFF"/>
              </a:solidFill>
            </a:ln>
            <a:effectLst/>
          </c:spPr>
          <c:txPr>
            <a:bodyPr rot="0" spcFirstLastPara="1" vertOverflow="clip" horzOverflow="clip" vert="horz" wrap="square" lIns="36576" tIns="18288" rIns="36576" bIns="18288" anchor="ctr" anchorCtr="1">
              <a:spAutoFit/>
            </a:bodyPr>
            <a:lstStyle/>
            <a:p>
              <a:pPr>
                <a:defRPr lang="en-US" sz="1000" b="0" i="0" u="none" strike="noStrike" kern="1200" baseline="0">
                  <a:solidFill>
                    <a:schemeClr val="accent1">
                      <a:lumMod val="7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prstGeom>
                <a:noFill/>
                <a:ln>
                  <a:noFill/>
                </a:ln>
              </c15:spPr>
            </c:ext>
          </c:extLst>
        </c:dLbl>
      </c:pivotFmt>
      <c:pivotFmt>
        <c:idx val="2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2.4871968116878741E-2"/>
              <c:y val="0.21744242056217711"/>
            </c:manualLayout>
          </c:layout>
          <c:spPr>
            <a:noFill/>
            <a:ln>
              <a:solidFill>
                <a:sysClr val="window" lastClr="FFFFFF"/>
              </a:solidFill>
            </a:ln>
            <a:effectLst/>
          </c:spPr>
          <c:txPr>
            <a:bodyPr rot="0" spcFirstLastPara="1" vertOverflow="clip" horzOverflow="clip" vert="horz" wrap="square" lIns="36576" tIns="18288" rIns="36576" bIns="18288" anchor="ctr" anchorCtr="1">
              <a:spAutoFit/>
            </a:bodyPr>
            <a:lstStyle/>
            <a:p>
              <a:pPr>
                <a:defRPr lang="en-US" sz="1000" b="0" i="0" u="none" strike="noStrike" kern="1200" baseline="0">
                  <a:solidFill>
                    <a:schemeClr val="accent2">
                      <a:lumMod val="7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prstGeom>
                <a:noFill/>
                <a:ln>
                  <a:noFill/>
                </a:ln>
              </c15:spPr>
            </c:ext>
          </c:extLst>
        </c:dLbl>
      </c:pivotFmt>
      <c:pivotFmt>
        <c:idx val="2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1.8999200608895614E-17"/>
              <c:y val="0.22469050124758302"/>
            </c:manualLayout>
          </c:layout>
          <c:spPr>
            <a:noFill/>
            <a:ln>
              <a:solidFill>
                <a:sysClr val="window" lastClr="FFFFFF"/>
              </a:solidFill>
            </a:ln>
            <a:effectLst/>
          </c:spPr>
          <c:txPr>
            <a:bodyPr rot="0" spcFirstLastPara="1" vertOverflow="clip" horzOverflow="clip" vert="horz" wrap="square" lIns="36576" tIns="18288" rIns="36576" bIns="18288" anchor="ctr" anchorCtr="1">
              <a:spAutoFit/>
            </a:bodyPr>
            <a:lstStyle/>
            <a:p>
              <a:pPr>
                <a:defRPr lang="en-US" sz="1000" b="0" i="0" u="none" strike="noStrike" kern="1200" baseline="0">
                  <a:solidFill>
                    <a:schemeClr val="bg1">
                      <a:lumMod val="6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prstGeom>
                <a:noFill/>
                <a:ln>
                  <a:noFill/>
                </a:ln>
              </c15:spPr>
            </c:ext>
          </c:extLst>
        </c:dLbl>
      </c:pivotFmt>
      <c:pivotFmt>
        <c:idx val="2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0.19068508889606978"/>
              <c:y val="0.10872121028108855"/>
            </c:manualLayout>
          </c:layout>
          <c:spPr>
            <a:noFill/>
            <a:ln w="9525" cap="flat" cmpd="sng" algn="ctr">
              <a:solidFill>
                <a:sysClr val="window" lastClr="FFFFFF"/>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6576" tIns="18288" rIns="36576" bIns="18288" anchor="ctr" anchorCtr="1">
              <a:spAutoFit/>
            </a:bodyPr>
            <a:lstStyle/>
            <a:p>
              <a:pPr>
                <a:defRPr lang="en-US" sz="1000" b="0" i="0" u="none" strike="noStrike" kern="1200" baseline="0">
                  <a:solidFill>
                    <a:schemeClr val="accent4">
                      <a:lumMod val="60000"/>
                      <a:lumOff val="4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gd name="adj1" fmla="val 33925"/>
                    <a:gd name="adj2" fmla="val 113704"/>
                    <a:gd name="adj3" fmla="val 29589"/>
                    <a:gd name="adj4" fmla="val 107810"/>
                    <a:gd name="adj5" fmla="val 24222"/>
                    <a:gd name="adj6" fmla="val 293563"/>
                  </a:avLst>
                </a:prstGeom>
                <a:noFill/>
                <a:ln>
                  <a:noFill/>
                </a:ln>
              </c15:spPr>
            </c:ext>
          </c:extLst>
        </c:dLbl>
      </c:pivotFmt>
      <c:pivotFmt>
        <c:idx val="2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rgbClr val="002060"/>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prstGeom>
                <a:noFill/>
                <a:ln>
                  <a:noFill/>
                </a:ln>
              </c15:spPr>
            </c:ext>
          </c:extLst>
        </c:dLbl>
      </c:pivotFmt>
      <c:pivotFmt>
        <c:idx val="2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0.10250955407792947"/>
              <c:y val="0"/>
            </c:manualLayout>
          </c:layout>
          <c:spPr>
            <a:no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rgbClr val="00206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prstGeom>
                <a:noFill/>
                <a:ln>
                  <a:noFill/>
                </a:ln>
              </c15:spPr>
              <c15:layout>
                <c:manualLayout>
                  <c:w val="0.23527828017529701"/>
                  <c:h val="0.35455077471463592"/>
                </c:manualLayout>
              </c15:layout>
            </c:ext>
          </c:extLst>
        </c:dLbl>
      </c:pivotFmt>
      <c:pivotFmt>
        <c:idx val="2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9.7779051352270704E-2"/>
              <c:y val="0.21744242056217711"/>
            </c:manualLayout>
          </c:layout>
          <c:spPr>
            <a:xfrm>
              <a:off x="1910970" y="922040"/>
              <a:ext cx="956391" cy="506485"/>
            </a:xfrm>
            <a:no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gd name="adj1" fmla="val 18750"/>
                    <a:gd name="adj2" fmla="val -8333"/>
                    <a:gd name="adj3" fmla="val -60899"/>
                    <a:gd name="adj4" fmla="val -23228"/>
                    <a:gd name="adj5" fmla="val -42192"/>
                    <a:gd name="adj6" fmla="val -22511"/>
                  </a:avLst>
                </a:prstGeom>
                <a:noFill/>
                <a:ln>
                  <a:noFill/>
                </a:ln>
              </c15:spPr>
              <c15:layout>
                <c:manualLayout>
                  <c:w val="0.33354386366283711"/>
                  <c:h val="0.35455077471463592"/>
                </c:manualLayout>
              </c15:layout>
            </c:ext>
          </c:extLst>
        </c:dLbl>
      </c:pivotFmt>
      <c:pivotFmt>
        <c:idx val="2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8720740527355789E-2"/>
              <c:y val="0.22469050124758302"/>
            </c:manualLayout>
          </c:layout>
          <c:spPr>
            <a:no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tx1">
                      <a:lumMod val="85000"/>
                      <a:lumOff val="1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prstGeom>
                <a:noFill/>
                <a:ln>
                  <a:noFill/>
                </a:ln>
              </c15:spPr>
              <c15:layout>
                <c:manualLayout>
                  <c:w val="0.23042887504263501"/>
                  <c:h val="0.24498539053541904"/>
                </c:manualLayout>
              </c15:layout>
            </c:ext>
          </c:extLst>
        </c:dLbl>
      </c:pivotFmt>
      <c:pivotFmt>
        <c:idx val="2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0.16853923571561596"/>
              <c:y val="0.10872115733280319"/>
            </c:manualLayout>
          </c:layout>
          <c:spPr>
            <a:xfrm>
              <a:off x="90710" y="230589"/>
              <a:ext cx="486923" cy="349968"/>
            </a:xfrm>
            <a:no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gd name="adj1" fmla="val 41610"/>
                    <a:gd name="adj2" fmla="val 167096"/>
                    <a:gd name="adj3" fmla="val 50081"/>
                    <a:gd name="adj4" fmla="val 190660"/>
                    <a:gd name="adj5" fmla="val 24222"/>
                    <a:gd name="adj6" fmla="val 293563"/>
                  </a:avLst>
                </a:prstGeom>
                <a:noFill/>
                <a:ln>
                  <a:noFill/>
                </a:ln>
              </c15:spPr>
              <c15:layout>
                <c:manualLayout>
                  <c:w val="0.16981567029206637"/>
                  <c:h val="0.24498539053541904"/>
                </c:manualLayout>
              </c15:layout>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1834407062753519"/>
          <c:y val="0.20878020635351616"/>
          <c:w val="0.49837679380986466"/>
          <c:h val="0.44249479590913204"/>
        </c:manualLayout>
      </c:layout>
      <c:pie3DChart>
        <c:varyColors val="1"/>
        <c:ser>
          <c:idx val="0"/>
          <c:order val="0"/>
          <c:tx>
            <c:strRef>
              <c:f>Pivot_Table_KPI!$S$11</c:f>
              <c:strCache>
                <c:ptCount val="1"/>
                <c:pt idx="0">
                  <c:v>Total</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8F7B-4CCF-94A8-5ACC5FC52780}"/>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8F7B-4CCF-94A8-5ACC5FC52780}"/>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8F7B-4CCF-94A8-5ACC5FC52780}"/>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8F7B-4CCF-94A8-5ACC5FC52780}"/>
              </c:ext>
            </c:extLst>
          </c:dPt>
          <c:dLbls>
            <c:dLbl>
              <c:idx val="0"/>
              <c:layout>
                <c:manualLayout>
                  <c:x val="0.10250955407792947"/>
                  <c:y val="0"/>
                </c:manualLayout>
              </c:layout>
              <c:spPr>
                <a:no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rgbClr val="00206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prstGeom>
                    <a:noFill/>
                    <a:ln>
                      <a:noFill/>
                    </a:ln>
                  </c15:spPr>
                  <c15:layout>
                    <c:manualLayout>
                      <c:w val="0.23527828017529701"/>
                      <c:h val="0.35455077471463592"/>
                    </c:manualLayout>
                  </c15:layout>
                </c:ext>
                <c:ext xmlns:c16="http://schemas.microsoft.com/office/drawing/2014/chart" uri="{C3380CC4-5D6E-409C-BE32-E72D297353CC}">
                  <c16:uniqueId val="{00000001-8F7B-4CCF-94A8-5ACC5FC52780}"/>
                </c:ext>
              </c:extLst>
            </c:dLbl>
            <c:dLbl>
              <c:idx val="1"/>
              <c:layout>
                <c:manualLayout>
                  <c:x val="9.7779051352270704E-2"/>
                  <c:y val="0.21744242056217711"/>
                </c:manualLayout>
              </c:layout>
              <c:spPr>
                <a:xfrm>
                  <a:off x="1910970" y="922040"/>
                  <a:ext cx="956391" cy="506485"/>
                </a:xfrm>
                <a:no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gd name="adj1" fmla="val 18750"/>
                        <a:gd name="adj2" fmla="val -8333"/>
                        <a:gd name="adj3" fmla="val -60899"/>
                        <a:gd name="adj4" fmla="val -23228"/>
                        <a:gd name="adj5" fmla="val -42192"/>
                        <a:gd name="adj6" fmla="val -22511"/>
                      </a:avLst>
                    </a:prstGeom>
                    <a:noFill/>
                    <a:ln>
                      <a:noFill/>
                    </a:ln>
                  </c15:spPr>
                  <c15:layout>
                    <c:manualLayout>
                      <c:w val="0.33354386366283711"/>
                      <c:h val="0.35455077471463592"/>
                    </c:manualLayout>
                  </c15:layout>
                </c:ext>
                <c:ext xmlns:c16="http://schemas.microsoft.com/office/drawing/2014/chart" uri="{C3380CC4-5D6E-409C-BE32-E72D297353CC}">
                  <c16:uniqueId val="{00000003-8F7B-4CCF-94A8-5ACC5FC52780}"/>
                </c:ext>
              </c:extLst>
            </c:dLbl>
            <c:dLbl>
              <c:idx val="2"/>
              <c:layout>
                <c:manualLayout>
                  <c:x val="4.8720740527355789E-2"/>
                  <c:y val="0.22469050124758302"/>
                </c:manualLayout>
              </c:layout>
              <c:spPr>
                <a:no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tx1">
                          <a:lumMod val="85000"/>
                          <a:lumOff val="1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prstGeom>
                    <a:noFill/>
                    <a:ln>
                      <a:noFill/>
                    </a:ln>
                  </c15:spPr>
                  <c15:layout>
                    <c:manualLayout>
                      <c:w val="0.23042887504263501"/>
                      <c:h val="0.24498539053541904"/>
                    </c:manualLayout>
                  </c15:layout>
                </c:ext>
                <c:ext xmlns:c16="http://schemas.microsoft.com/office/drawing/2014/chart" uri="{C3380CC4-5D6E-409C-BE32-E72D297353CC}">
                  <c16:uniqueId val="{00000005-8F7B-4CCF-94A8-5ACC5FC52780}"/>
                </c:ext>
              </c:extLst>
            </c:dLbl>
            <c:dLbl>
              <c:idx val="3"/>
              <c:layout>
                <c:manualLayout>
                  <c:x val="-0.16853923571561596"/>
                  <c:y val="0.10872115733280319"/>
                </c:manualLayout>
              </c:layout>
              <c:spPr>
                <a:xfrm>
                  <a:off x="90710" y="230589"/>
                  <a:ext cx="486923" cy="349968"/>
                </a:xfrm>
                <a:no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borderCallout2">
                      <a:avLst>
                        <a:gd name="adj1" fmla="val 41610"/>
                        <a:gd name="adj2" fmla="val 167096"/>
                        <a:gd name="adj3" fmla="val 50081"/>
                        <a:gd name="adj4" fmla="val 190660"/>
                        <a:gd name="adj5" fmla="val 24222"/>
                        <a:gd name="adj6" fmla="val 293563"/>
                      </a:avLst>
                    </a:prstGeom>
                    <a:noFill/>
                    <a:ln>
                      <a:noFill/>
                    </a:ln>
                  </c15:spPr>
                  <c15:layout>
                    <c:manualLayout>
                      <c:w val="0.16981567029206637"/>
                      <c:h val="0.24498539053541904"/>
                    </c:manualLayout>
                  </c15:layout>
                </c:ext>
                <c:ext xmlns:c16="http://schemas.microsoft.com/office/drawing/2014/chart" uri="{C3380CC4-5D6E-409C-BE32-E72D297353CC}">
                  <c16:uniqueId val="{00000007-8F7B-4CCF-94A8-5ACC5FC52780}"/>
                </c:ext>
              </c:extLst>
            </c:dLbl>
            <c:spPr>
              <a:no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rgbClr val="002060"/>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borderCallout2">
                    <a:avLst/>
                  </a:prstGeom>
                  <a:noFill/>
                  <a:ln>
                    <a:noFill/>
                  </a:ln>
                </c15:spPr>
              </c:ext>
            </c:extLst>
          </c:dLbls>
          <c:cat>
            <c:strRef>
              <c:f>Pivot_Table_KPI!$R$12:$R$16</c:f>
              <c:strCache>
                <c:ptCount val="4"/>
                <c:pt idx="0">
                  <c:v>Corporate</c:v>
                </c:pt>
                <c:pt idx="1">
                  <c:v>High Net Worth</c:v>
                </c:pt>
                <c:pt idx="2">
                  <c:v>Retail</c:v>
                </c:pt>
                <c:pt idx="3">
                  <c:v>SME</c:v>
                </c:pt>
              </c:strCache>
            </c:strRef>
          </c:cat>
          <c:val>
            <c:numRef>
              <c:f>Pivot_Table_KPI!$S$12:$S$16</c:f>
              <c:numCache>
                <c:formatCode>General</c:formatCode>
                <c:ptCount val="4"/>
                <c:pt idx="0">
                  <c:v>70759.509999999995</c:v>
                </c:pt>
                <c:pt idx="1">
                  <c:v>75775.339999999982</c:v>
                </c:pt>
                <c:pt idx="2">
                  <c:v>66249.900000000023</c:v>
                </c:pt>
                <c:pt idx="3">
                  <c:v>62520.15</c:v>
                </c:pt>
              </c:numCache>
            </c:numRef>
          </c:val>
          <c:extLst>
            <c:ext xmlns:c16="http://schemas.microsoft.com/office/drawing/2014/chart" uri="{C3380CC4-5D6E-409C-BE32-E72D297353CC}">
              <c16:uniqueId val="{00000008-8F7B-4CCF-94A8-5ACC5FC52780}"/>
            </c:ext>
          </c:extLst>
        </c:ser>
        <c:dLbls>
          <c:dLblPos val="outEnd"/>
          <c:showLegendKey val="0"/>
          <c:showVal val="0"/>
          <c:showCatName val="1"/>
          <c:showSerName val="0"/>
          <c:showPercent val="0"/>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6350" cap="flat" cmpd="sng" algn="ctr">
      <a:solidFill>
        <a:schemeClr val="accent2"/>
      </a:solidFill>
      <a:prstDash val="solid"/>
      <a:miter lim="800000"/>
    </a:ln>
    <a:effectLst>
      <a:innerShdw blurRad="63500" dist="50800" dir="13500000">
        <a:prstClr val="black">
          <a:alpha val="50000"/>
        </a:prstClr>
      </a:inn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Dashboard.xlsx]Pivot_Table_KPI!Target_Achived_Rate</c:name>
    <c:fmtId val="15"/>
  </c:pivotSource>
  <c:chart>
    <c:autoTitleDeleted val="1"/>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5180722891566265E-2"/>
              <c:y val="-3.7037037037037035E-2"/>
            </c:manualLayout>
          </c:layout>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5.0200803212851412E-2"/>
              <c:y val="7.9839423161992398E-2"/>
            </c:manualLayout>
          </c:layout>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5180722891566265E-2"/>
              <c:y val="-3.7037037037037035E-2"/>
            </c:manualLayout>
          </c:layout>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5.0200803212851412E-2"/>
              <c:y val="7.9839423161992398E-2"/>
            </c:manualLayout>
          </c:layout>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6"/>
        <c:marker>
          <c:symbol val="none"/>
        </c:marker>
        <c:dLbl>
          <c:idx val="0"/>
          <c:spPr>
            <a:noFill/>
            <a:ln>
              <a:noFill/>
            </a:ln>
            <a:effectLst/>
          </c:spPr>
          <c:txPr>
            <a:bodyPr rot="0" vert="horz"/>
            <a:lstStyle/>
            <a:p>
              <a:pPr>
                <a:defRPr/>
              </a:pPr>
              <a:endParaRPr lang="en-US"/>
            </a:p>
          </c:txPr>
          <c:dLblPos val="outEnd"/>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5180722891566265E-2"/>
              <c:y val="-3.7037037037037035E-2"/>
            </c:manualLayout>
          </c:layout>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5.0200803212851412E-2"/>
              <c:y val="7.9839423161992398E-2"/>
            </c:manualLayout>
          </c:layout>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2">
                      <a:lumMod val="7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9"/>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1.7579235462439436E-2"/>
              <c:y val="0.28926681695536893"/>
            </c:manualLayout>
          </c:layout>
          <c:tx>
            <c:rich>
              <a:bodyPr rot="0" vert="horz"/>
              <a:lstStyle/>
              <a:p>
                <a:pPr>
                  <a:defRPr b="1">
                    <a:solidFill>
                      <a:schemeClr val="accent2"/>
                    </a:solidFill>
                  </a:defRPr>
                </a:pPr>
                <a:fld id="{402DA96F-C378-4CA9-9B15-FD735BE99AE6}" type="CATEGORYNAME">
                  <a:rPr lang="en-US" b="1">
                    <a:solidFill>
                      <a:schemeClr val="accent2"/>
                    </a:solidFill>
                  </a:rPr>
                  <a:pPr>
                    <a:defRPr b="1">
                      <a:solidFill>
                        <a:schemeClr val="accent2"/>
                      </a:solidFill>
                    </a:defRPr>
                  </a:pPr>
                  <a:t>[CATEGORY NAME]</a:t>
                </a:fld>
                <a:endParaRPr lang="en-US" b="1">
                  <a:solidFill>
                    <a:schemeClr val="accent2"/>
                  </a:solidFill>
                </a:endParaRPr>
              </a:p>
              <a:p>
                <a:pPr>
                  <a:defRPr b="1">
                    <a:solidFill>
                      <a:schemeClr val="accent2"/>
                    </a:solidFill>
                  </a:defRPr>
                </a:pPr>
                <a:r>
                  <a:rPr lang="en-US" b="1">
                    <a:solidFill>
                      <a:schemeClr val="accent2"/>
                    </a:solidFill>
                  </a:rPr>
                  <a:t> </a:t>
                </a:r>
                <a:fld id="{801D413B-742A-4C6B-A89F-7FDB800045DF}" type="VALUE">
                  <a:rPr lang="en-US" b="1">
                    <a:solidFill>
                      <a:schemeClr val="accent2"/>
                    </a:solidFill>
                  </a:rPr>
                  <a:pPr>
                    <a:defRPr b="1">
                      <a:solidFill>
                        <a:schemeClr val="accent2"/>
                      </a:solidFill>
                    </a:defRPr>
                  </a:pPr>
                  <a:t>[VALUE]</a:t>
                </a:fld>
                <a:endParaRPr lang="en-US" b="1">
                  <a:solidFill>
                    <a:schemeClr val="accent2"/>
                  </a:solidFill>
                </a:endParaRPr>
              </a:p>
            </c:rich>
          </c:tx>
          <c:spPr>
            <a:noFill/>
            <a:ln>
              <a:noFill/>
            </a:ln>
            <a:effectLst/>
          </c:sp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gd name="adj1" fmla="val 83396"/>
                    <a:gd name="adj2" fmla="val -98780"/>
                  </a:avLst>
                </a:prstGeom>
              </c15:spPr>
              <c15:dlblFieldTable/>
              <c15:showDataLabelsRange val="0"/>
            </c:ext>
          </c:extLst>
        </c:dLbl>
      </c:pivotFmt>
      <c:pivotFmt>
        <c:idx val="1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0"/>
              <c:y val="-0.22993003399016504"/>
            </c:manualLayout>
          </c:layout>
          <c:tx>
            <c:rich>
              <a:bodyPr rot="0" vert="horz"/>
              <a:lstStyle/>
              <a:p>
                <a:pPr>
                  <a:defRPr b="1">
                    <a:solidFill>
                      <a:schemeClr val="accent1">
                        <a:lumMod val="75000"/>
                      </a:schemeClr>
                    </a:solidFill>
                  </a:defRPr>
                </a:pPr>
                <a:fld id="{2B788ABC-BBD7-4937-9317-6BBC7051493E}" type="CATEGORYNAME">
                  <a:rPr lang="en-US" b="1">
                    <a:solidFill>
                      <a:schemeClr val="accent1">
                        <a:lumMod val="75000"/>
                      </a:schemeClr>
                    </a:solidFill>
                  </a:rPr>
                  <a:pPr>
                    <a:defRPr b="1">
                      <a:solidFill>
                        <a:schemeClr val="accent1">
                          <a:lumMod val="75000"/>
                        </a:schemeClr>
                      </a:solidFill>
                    </a:defRPr>
                  </a:pPr>
                  <a:t>[CATEGORY NAME]</a:t>
                </a:fld>
                <a:fld id="{4192D50A-B4E3-4AEB-B116-621C00A04CEF}" type="VALUE">
                  <a:rPr lang="en-US" b="1">
                    <a:solidFill>
                      <a:schemeClr val="accent1">
                        <a:lumMod val="75000"/>
                      </a:schemeClr>
                    </a:solidFill>
                  </a:rPr>
                  <a:pPr>
                    <a:defRPr b="1">
                      <a:solidFill>
                        <a:schemeClr val="accent1">
                          <a:lumMod val="75000"/>
                        </a:schemeClr>
                      </a:solidFill>
                    </a:defRPr>
                  </a:pPr>
                  <a:t>[VALUE]</a:t>
                </a:fld>
                <a:endParaRPr lang="en-US"/>
              </a:p>
            </c:rich>
          </c:tx>
          <c:spPr>
            <a:noFill/>
            <a:ln>
              <a:noFill/>
            </a:ln>
            <a:effectLst/>
          </c:sp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15:dlblFieldTable/>
              <c15:showDataLabelsRange val="0"/>
            </c:ext>
          </c:extLst>
        </c:dLbl>
      </c:pivotFmt>
      <c:pivotFmt>
        <c:idx val="11"/>
        <c:marker>
          <c:symbol val="none"/>
        </c:marker>
        <c:dLbl>
          <c:idx val="0"/>
          <c:spPr>
            <a:noFill/>
            <a:ln>
              <a:noFill/>
            </a:ln>
            <a:effectLst/>
          </c:spPr>
          <c:txPr>
            <a:bodyPr rot="0" vert="horz"/>
            <a:lstStyle/>
            <a:p>
              <a:pPr>
                <a:defRPr/>
              </a:pPr>
              <a:endParaRPr lang="en-US"/>
            </a:p>
          </c:txPr>
          <c:dLblPos val="outEnd"/>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0"/>
              <c:y val="-0.22993003399016504"/>
            </c:manualLayout>
          </c:layout>
          <c:tx>
            <c:rich>
              <a:bodyPr rot="0" vert="horz"/>
              <a:lstStyle/>
              <a:p>
                <a:pPr>
                  <a:defRPr b="1">
                    <a:solidFill>
                      <a:schemeClr val="accent1">
                        <a:lumMod val="75000"/>
                      </a:schemeClr>
                    </a:solidFill>
                  </a:defRPr>
                </a:pPr>
                <a:fld id="{2B788ABC-BBD7-4937-9317-6BBC7051493E}" type="CATEGORYNAME">
                  <a:rPr lang="en-US" b="1">
                    <a:solidFill>
                      <a:schemeClr val="accent1">
                        <a:lumMod val="75000"/>
                      </a:schemeClr>
                    </a:solidFill>
                  </a:rPr>
                  <a:pPr>
                    <a:defRPr b="1">
                      <a:solidFill>
                        <a:schemeClr val="accent1">
                          <a:lumMod val="75000"/>
                        </a:schemeClr>
                      </a:solidFill>
                    </a:defRPr>
                  </a:pPr>
                  <a:t>[CATEGORY NAME]</a:t>
                </a:fld>
                <a:fld id="{4192D50A-B4E3-4AEB-B116-621C00A04CEF}" type="VALUE">
                  <a:rPr lang="en-US" b="1">
                    <a:solidFill>
                      <a:schemeClr val="accent1">
                        <a:lumMod val="75000"/>
                      </a:schemeClr>
                    </a:solidFill>
                  </a:rPr>
                  <a:pPr>
                    <a:defRPr b="1">
                      <a:solidFill>
                        <a:schemeClr val="accent1">
                          <a:lumMod val="75000"/>
                        </a:schemeClr>
                      </a:solidFill>
                    </a:defRPr>
                  </a:pPr>
                  <a:t>[VALUE]</a:t>
                </a:fld>
                <a:endParaRPr lang="en-US"/>
              </a:p>
            </c:rich>
          </c:tx>
          <c:spPr>
            <a:noFill/>
            <a:ln>
              <a:noFill/>
            </a:ln>
            <a:effectLst/>
          </c:sp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15:dlblFieldTable/>
              <c15:showDataLabelsRange val="0"/>
            </c:ext>
          </c:extLst>
        </c:dLbl>
      </c:pivotFmt>
      <c:pivotFmt>
        <c:idx val="13"/>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1.7579235462439436E-2"/>
              <c:y val="0.28926681695536893"/>
            </c:manualLayout>
          </c:layout>
          <c:tx>
            <c:rich>
              <a:bodyPr rot="0" vert="horz"/>
              <a:lstStyle/>
              <a:p>
                <a:pPr>
                  <a:defRPr b="1">
                    <a:solidFill>
                      <a:schemeClr val="accent2"/>
                    </a:solidFill>
                  </a:defRPr>
                </a:pPr>
                <a:fld id="{402DA96F-C378-4CA9-9B15-FD735BE99AE6}" type="CATEGORYNAME">
                  <a:rPr lang="en-US" b="1">
                    <a:solidFill>
                      <a:schemeClr val="accent2"/>
                    </a:solidFill>
                  </a:rPr>
                  <a:pPr>
                    <a:defRPr b="1">
                      <a:solidFill>
                        <a:schemeClr val="accent2"/>
                      </a:solidFill>
                    </a:defRPr>
                  </a:pPr>
                  <a:t>[CATEGORY NAME]</a:t>
                </a:fld>
                <a:endParaRPr lang="en-US" b="1">
                  <a:solidFill>
                    <a:schemeClr val="accent2"/>
                  </a:solidFill>
                </a:endParaRPr>
              </a:p>
              <a:p>
                <a:pPr>
                  <a:defRPr b="1">
                    <a:solidFill>
                      <a:schemeClr val="accent2"/>
                    </a:solidFill>
                  </a:defRPr>
                </a:pPr>
                <a:r>
                  <a:rPr lang="en-US" b="1">
                    <a:solidFill>
                      <a:schemeClr val="accent2"/>
                    </a:solidFill>
                  </a:rPr>
                  <a:t> </a:t>
                </a:r>
                <a:fld id="{801D413B-742A-4C6B-A89F-7FDB800045DF}" type="VALUE">
                  <a:rPr lang="en-US" b="1">
                    <a:solidFill>
                      <a:schemeClr val="accent2"/>
                    </a:solidFill>
                  </a:rPr>
                  <a:pPr>
                    <a:defRPr b="1">
                      <a:solidFill>
                        <a:schemeClr val="accent2"/>
                      </a:solidFill>
                    </a:defRPr>
                  </a:pPr>
                  <a:t>[VALUE]</a:t>
                </a:fld>
                <a:endParaRPr lang="en-US" b="1">
                  <a:solidFill>
                    <a:schemeClr val="accent2"/>
                  </a:solidFill>
                </a:endParaRPr>
              </a:p>
            </c:rich>
          </c:tx>
          <c:spPr>
            <a:noFill/>
            <a:ln>
              <a:noFill/>
            </a:ln>
            <a:effectLst/>
          </c:sp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gd name="adj1" fmla="val 83396"/>
                    <a:gd name="adj2" fmla="val -98780"/>
                  </a:avLst>
                </a:prstGeom>
              </c15:spPr>
              <c15:dlblFieldTable/>
              <c15:showDataLabelsRange val="0"/>
            </c:ext>
          </c:extLst>
        </c:dLbl>
      </c:pivotFmt>
      <c:pivotFmt>
        <c:idx val="14"/>
        <c:marker>
          <c:symbol val="none"/>
        </c:marker>
        <c:dLbl>
          <c:idx val="0"/>
          <c:spPr>
            <a:noFill/>
            <a:ln>
              <a:noFill/>
            </a:ln>
            <a:effectLst/>
          </c:spPr>
          <c:txPr>
            <a:bodyPr rot="0" vert="horz"/>
            <a:lstStyle/>
            <a:p>
              <a:pPr>
                <a:defRPr b="1">
                  <a:solidFill>
                    <a:schemeClr val="accent2">
                      <a:lumMod val="75000"/>
                    </a:schemeClr>
                  </a:solidFill>
                </a:defRPr>
              </a:pPr>
              <a:endParaRPr lang="en-US"/>
            </a:p>
          </c:txPr>
          <c:dLblPos val="outEnd"/>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0"/>
              <c:y val="-0.22993003399016504"/>
            </c:manualLayout>
          </c:layout>
          <c:tx>
            <c:rich>
              <a:bodyPr rot="0" vert="horz"/>
              <a:lstStyle/>
              <a:p>
                <a:pPr>
                  <a:defRPr b="1">
                    <a:solidFill>
                      <a:srgbClr val="002060"/>
                    </a:solidFill>
                  </a:defRPr>
                </a:pPr>
                <a:fld id="{2B788ABC-BBD7-4937-9317-6BBC7051493E}" type="CATEGORYNAME">
                  <a:rPr lang="en-US">
                    <a:solidFill>
                      <a:srgbClr val="002060"/>
                    </a:solidFill>
                  </a:rPr>
                  <a:pPr>
                    <a:defRPr b="1">
                      <a:solidFill>
                        <a:srgbClr val="002060"/>
                      </a:solidFill>
                    </a:defRPr>
                  </a:pPr>
                  <a:t>[CATEGORY NAME]</a:t>
                </a:fld>
                <a:fld id="{4192D50A-B4E3-4AEB-B116-621C00A04CEF}" type="VALUE">
                  <a:rPr lang="en-US">
                    <a:solidFill>
                      <a:srgbClr val="002060"/>
                    </a:solidFill>
                  </a:rPr>
                  <a:pPr>
                    <a:defRPr b="1">
                      <a:solidFill>
                        <a:srgbClr val="002060"/>
                      </a:solidFill>
                    </a:defRPr>
                  </a:pPr>
                  <a:t>[VALUE]</a:t>
                </a:fld>
                <a:endParaRPr lang="en-US"/>
              </a:p>
            </c:rich>
          </c:tx>
          <c:spPr>
            <a:noFill/>
            <a:ln>
              <a:noFill/>
            </a:ln>
            <a:effectLst/>
          </c:sp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15:dlblFieldTable/>
              <c15:showDataLabelsRange val="0"/>
            </c:ext>
          </c:extLst>
        </c:dLbl>
      </c:pivotFmt>
      <c:pivotFmt>
        <c:idx val="16"/>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1.7579235462439436E-2"/>
              <c:y val="0.28926681695536893"/>
            </c:manualLayout>
          </c:layout>
          <c:tx>
            <c:rich>
              <a:bodyPr rot="0" vert="horz"/>
              <a:lstStyle/>
              <a:p>
                <a:pPr>
                  <a:defRPr b="1">
                    <a:solidFill>
                      <a:schemeClr val="accent2">
                        <a:lumMod val="75000"/>
                      </a:schemeClr>
                    </a:solidFill>
                  </a:defRPr>
                </a:pPr>
                <a:fld id="{402DA96F-C378-4CA9-9B15-FD735BE99AE6}" type="CATEGORYNAME">
                  <a:rPr lang="en-US" b="1">
                    <a:solidFill>
                      <a:schemeClr val="accent2">
                        <a:lumMod val="75000"/>
                      </a:schemeClr>
                    </a:solidFill>
                  </a:rPr>
                  <a:pPr>
                    <a:defRPr b="1">
                      <a:solidFill>
                        <a:schemeClr val="accent2">
                          <a:lumMod val="75000"/>
                        </a:schemeClr>
                      </a:solidFill>
                    </a:defRPr>
                  </a:pPr>
                  <a:t>[CATEGORY NAME]</a:t>
                </a:fld>
                <a:endParaRPr lang="en-US" b="1">
                  <a:solidFill>
                    <a:schemeClr val="accent2">
                      <a:lumMod val="75000"/>
                    </a:schemeClr>
                  </a:solidFill>
                </a:endParaRPr>
              </a:p>
              <a:p>
                <a:pPr>
                  <a:defRPr b="1">
                    <a:solidFill>
                      <a:schemeClr val="accent2">
                        <a:lumMod val="75000"/>
                      </a:schemeClr>
                    </a:solidFill>
                  </a:defRPr>
                </a:pPr>
                <a:r>
                  <a:rPr lang="en-US" b="1">
                    <a:solidFill>
                      <a:schemeClr val="accent2">
                        <a:lumMod val="75000"/>
                      </a:schemeClr>
                    </a:solidFill>
                  </a:rPr>
                  <a:t> </a:t>
                </a:r>
                <a:fld id="{801D413B-742A-4C6B-A89F-7FDB800045DF}" type="VALUE">
                  <a:rPr lang="en-US" b="1">
                    <a:solidFill>
                      <a:schemeClr val="accent2">
                        <a:lumMod val="75000"/>
                      </a:schemeClr>
                    </a:solidFill>
                  </a:rPr>
                  <a:pPr>
                    <a:defRPr b="1">
                      <a:solidFill>
                        <a:schemeClr val="accent2">
                          <a:lumMod val="75000"/>
                        </a:schemeClr>
                      </a:solidFill>
                    </a:defRPr>
                  </a:pPr>
                  <a:t>[VALUE]</a:t>
                </a:fld>
                <a:endParaRPr lang="en-US" b="1">
                  <a:solidFill>
                    <a:schemeClr val="accent2">
                      <a:lumMod val="75000"/>
                    </a:schemeClr>
                  </a:solidFill>
                </a:endParaRPr>
              </a:p>
            </c:rich>
          </c:tx>
          <c:spPr>
            <a:noFill/>
            <a:ln>
              <a:noFill/>
            </a:ln>
            <a:effectLst/>
          </c:sp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gd name="adj1" fmla="val 83396"/>
                    <a:gd name="adj2" fmla="val -98780"/>
                  </a:avLst>
                </a:prstGeom>
              </c15:spPr>
              <c15:dlblFieldTable/>
              <c15:showDataLabelsRange val="0"/>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731120245991059"/>
          <c:y val="0.28141275931831894"/>
          <c:w val="0.78224266983429069"/>
          <c:h val="0.53812827880523606"/>
        </c:manualLayout>
      </c:layout>
      <c:pie3DChart>
        <c:varyColors val="1"/>
        <c:ser>
          <c:idx val="0"/>
          <c:order val="0"/>
          <c:tx>
            <c:strRef>
              <c:f>Pivot_Table_KPI!$I$10</c:f>
              <c:strCache>
                <c:ptCount val="1"/>
                <c:pt idx="0">
                  <c:v>Total</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64B7-442B-B0AB-1B3B1BC344A5}"/>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64B7-442B-B0AB-1B3B1BC344A5}"/>
              </c:ext>
            </c:extLst>
          </c:dPt>
          <c:dLbls>
            <c:dLbl>
              <c:idx val="0"/>
              <c:layout>
                <c:manualLayout>
                  <c:x val="0"/>
                  <c:y val="-0.22993003399016504"/>
                </c:manualLayout>
              </c:layout>
              <c:tx>
                <c:rich>
                  <a:bodyPr rot="0" vert="horz"/>
                  <a:lstStyle/>
                  <a:p>
                    <a:pPr>
                      <a:defRPr b="1">
                        <a:solidFill>
                          <a:srgbClr val="002060"/>
                        </a:solidFill>
                      </a:defRPr>
                    </a:pPr>
                    <a:fld id="{2B788ABC-BBD7-4937-9317-6BBC7051493E}" type="CATEGORYNAME">
                      <a:rPr lang="en-US">
                        <a:solidFill>
                          <a:srgbClr val="002060"/>
                        </a:solidFill>
                      </a:rPr>
                      <a:pPr>
                        <a:defRPr b="1">
                          <a:solidFill>
                            <a:srgbClr val="002060"/>
                          </a:solidFill>
                        </a:defRPr>
                      </a:pPr>
                      <a:t>[CATEGORY NAME]</a:t>
                    </a:fld>
                    <a:fld id="{4192D50A-B4E3-4AEB-B116-621C00A04CEF}" type="VALUE">
                      <a:rPr lang="en-US">
                        <a:solidFill>
                          <a:srgbClr val="002060"/>
                        </a:solidFill>
                      </a:rPr>
                      <a:pPr>
                        <a:defRPr b="1">
                          <a:solidFill>
                            <a:srgbClr val="002060"/>
                          </a:solidFill>
                        </a:defRPr>
                      </a:pPr>
                      <a:t>[VALUE]</a:t>
                    </a:fld>
                    <a:endParaRPr lang="en-US"/>
                  </a:p>
                </c:rich>
              </c:tx>
              <c:spPr>
                <a:noFill/>
                <a:ln>
                  <a:noFill/>
                </a:ln>
                <a:effectLst/>
              </c:sp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15:dlblFieldTable/>
                  <c15:showDataLabelsRange val="0"/>
                </c:ext>
                <c:ext xmlns:c16="http://schemas.microsoft.com/office/drawing/2014/chart" uri="{C3380CC4-5D6E-409C-BE32-E72D297353CC}">
                  <c16:uniqueId val="{00000001-64B7-442B-B0AB-1B3B1BC344A5}"/>
                </c:ext>
              </c:extLst>
            </c:dLbl>
            <c:dLbl>
              <c:idx val="1"/>
              <c:layout>
                <c:manualLayout>
                  <c:x val="-1.7579235462439436E-2"/>
                  <c:y val="0.28926681695536893"/>
                </c:manualLayout>
              </c:layout>
              <c:tx>
                <c:rich>
                  <a:bodyPr rot="0" vert="horz"/>
                  <a:lstStyle/>
                  <a:p>
                    <a:pPr>
                      <a:defRPr b="1">
                        <a:solidFill>
                          <a:schemeClr val="accent2">
                            <a:lumMod val="75000"/>
                          </a:schemeClr>
                        </a:solidFill>
                      </a:defRPr>
                    </a:pPr>
                    <a:fld id="{402DA96F-C378-4CA9-9B15-FD735BE99AE6}" type="CATEGORYNAME">
                      <a:rPr lang="en-US" b="1">
                        <a:solidFill>
                          <a:schemeClr val="accent2">
                            <a:lumMod val="75000"/>
                          </a:schemeClr>
                        </a:solidFill>
                      </a:rPr>
                      <a:pPr>
                        <a:defRPr b="1">
                          <a:solidFill>
                            <a:schemeClr val="accent2">
                              <a:lumMod val="75000"/>
                            </a:schemeClr>
                          </a:solidFill>
                        </a:defRPr>
                      </a:pPr>
                      <a:t>[CATEGORY NAME]</a:t>
                    </a:fld>
                    <a:endParaRPr lang="en-US" b="1">
                      <a:solidFill>
                        <a:schemeClr val="accent2">
                          <a:lumMod val="75000"/>
                        </a:schemeClr>
                      </a:solidFill>
                    </a:endParaRPr>
                  </a:p>
                  <a:p>
                    <a:pPr>
                      <a:defRPr b="1">
                        <a:solidFill>
                          <a:schemeClr val="accent2">
                            <a:lumMod val="75000"/>
                          </a:schemeClr>
                        </a:solidFill>
                      </a:defRPr>
                    </a:pPr>
                    <a:r>
                      <a:rPr lang="en-US" b="1">
                        <a:solidFill>
                          <a:schemeClr val="accent2">
                            <a:lumMod val="75000"/>
                          </a:schemeClr>
                        </a:solidFill>
                      </a:rPr>
                      <a:t> </a:t>
                    </a:r>
                    <a:fld id="{801D413B-742A-4C6B-A89F-7FDB800045DF}" type="VALUE">
                      <a:rPr lang="en-US" b="1">
                        <a:solidFill>
                          <a:schemeClr val="accent2">
                            <a:lumMod val="75000"/>
                          </a:schemeClr>
                        </a:solidFill>
                      </a:rPr>
                      <a:pPr>
                        <a:defRPr b="1">
                          <a:solidFill>
                            <a:schemeClr val="accent2">
                              <a:lumMod val="75000"/>
                            </a:schemeClr>
                          </a:solidFill>
                        </a:defRPr>
                      </a:pPr>
                      <a:t>[VALUE]</a:t>
                    </a:fld>
                    <a:endParaRPr lang="en-US" b="1">
                      <a:solidFill>
                        <a:schemeClr val="accent2">
                          <a:lumMod val="75000"/>
                        </a:schemeClr>
                      </a:solidFill>
                    </a:endParaRPr>
                  </a:p>
                </c:rich>
              </c:tx>
              <c:spPr>
                <a:noFill/>
                <a:ln>
                  <a:noFill/>
                </a:ln>
                <a:effectLst/>
              </c:sp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gd name="adj1" fmla="val 83396"/>
                        <a:gd name="adj2" fmla="val -98780"/>
                      </a:avLst>
                    </a:prstGeom>
                  </c15:spPr>
                  <c15:dlblFieldTable/>
                  <c15:showDataLabelsRange val="0"/>
                </c:ext>
                <c:ext xmlns:c16="http://schemas.microsoft.com/office/drawing/2014/chart" uri="{C3380CC4-5D6E-409C-BE32-E72D297353CC}">
                  <c16:uniqueId val="{00000003-64B7-442B-B0AB-1B3B1BC344A5}"/>
                </c:ext>
              </c:extLst>
            </c:dLbl>
            <c:spPr>
              <a:noFill/>
              <a:ln>
                <a:noFill/>
              </a:ln>
              <a:effectLst/>
            </c:spPr>
            <c:txPr>
              <a:bodyPr rot="0" vert="horz"/>
              <a:lstStyle/>
              <a:p>
                <a:pPr>
                  <a:defRPr b="1">
                    <a:solidFill>
                      <a:schemeClr val="accent2">
                        <a:lumMod val="75000"/>
                      </a:schemeClr>
                    </a:solidFill>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c15:spPr>
              </c:ext>
            </c:extLst>
          </c:dLbls>
          <c:cat>
            <c:strRef>
              <c:f>Pivot_Table_KPI!$H$11:$H$13</c:f>
              <c:strCache>
                <c:ptCount val="2"/>
                <c:pt idx="0">
                  <c:v>Not Achieved</c:v>
                </c:pt>
                <c:pt idx="1">
                  <c:v>Achieved</c:v>
                </c:pt>
              </c:strCache>
            </c:strRef>
          </c:cat>
          <c:val>
            <c:numRef>
              <c:f>Pivot_Table_KPI!$I$11:$I$13</c:f>
              <c:numCache>
                <c:formatCode>0.00%</c:formatCode>
                <c:ptCount val="2"/>
                <c:pt idx="0">
                  <c:v>0.48498178488994509</c:v>
                </c:pt>
                <c:pt idx="1">
                  <c:v>0.51501821511005497</c:v>
                </c:pt>
              </c:numCache>
            </c:numRef>
          </c:val>
          <c:extLst>
            <c:ext xmlns:c16="http://schemas.microsoft.com/office/drawing/2014/chart" uri="{C3380CC4-5D6E-409C-BE32-E72D297353CC}">
              <c16:uniqueId val="{00000004-64B7-442B-B0AB-1B3B1BC344A5}"/>
            </c:ext>
          </c:extLst>
        </c:ser>
        <c:dLbls>
          <c:dLblPos val="outEnd"/>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6350" cap="flat" cmpd="sng" algn="ctr">
      <a:solidFill>
        <a:schemeClr val="accent2"/>
      </a:solidFill>
      <a:prstDash val="solid"/>
      <a:miter lim="800000"/>
    </a:ln>
    <a:effectLst>
      <a:innerShdw blurRad="63500" dist="50800" dir="13500000">
        <a:prstClr val="black">
          <a:alpha val="50000"/>
        </a:prstClr>
      </a:inn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00000000-2357-4FB9-933F-5F31A221A075}">
          <cx:tx>
            <cx:txData>
              <cx:f>_xlchart.v2.4</cx:f>
              <cx:v>Transaction ID </cx:v>
            </cx:txData>
          </cx:tx>
          <cx:dataLabels>
            <cx:visibility seriesName="0" categoryName="0" value="1"/>
          </cx:dataLabels>
          <cx:dataId val="0"/>
        </cx:series>
      </cx:plotAreaRegion>
      <cx:axis id="0">
        <cx:catScaling gapWidth="0.0599999987"/>
        <cx:tickLabels/>
        <cx:txPr>
          <a:bodyPr vertOverflow="overflow" horzOverflow="overflow" wrap="square" lIns="0" tIns="0" rIns="0" bIns="0"/>
          <a:lstStyle/>
          <a:p>
            <a:pPr algn="ctr" rtl="0">
              <a:defRPr sz="900" b="0" i="0">
                <a:solidFill>
                  <a:schemeClr val="bg1">
                    <a:lumMod val="95000"/>
                  </a:schemeClr>
                </a:solidFill>
                <a:latin typeface="Calibri" panose="020F0502020204030204" pitchFamily="34" charset="0"/>
                <a:ea typeface="Calibri" panose="020F0502020204030204" pitchFamily="34" charset="0"/>
                <a:cs typeface="Calibri" panose="020F0502020204030204" pitchFamily="34" charset="0"/>
              </a:defRPr>
            </a:pPr>
            <a:endParaRPr lang="en-US">
              <a:solidFill>
                <a:schemeClr val="bg1">
                  <a:lumMod val="95000"/>
                </a:schemeClr>
              </a:solidFill>
            </a:endParaRPr>
          </a:p>
        </cx:txPr>
      </cx:axis>
    </cx:plotArea>
  </cx:chart>
  <cx:spPr>
    <a:solidFill>
      <a:schemeClr val="tx1">
        <a:lumMod val="75000"/>
        <a:lumOff val="25000"/>
      </a:schemeClr>
    </a:soli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txData>
          <cx:v>Avg CSAT Sore According To Branch</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Avg CSAT Sore According To Branch</a:t>
          </a:r>
        </a:p>
      </cx:txPr>
    </cx:title>
    <cx:plotArea>
      <cx:plotAreaRegion>
        <cx:series layoutId="treemap" uniqueId="{00000000-0535-430C-BA3A-B6296B0ABCDB}">
          <cx:tx>
            <cx:txData>
              <cx:f>_xlchart.v1.1</cx:f>
              <cx:v>Avg Of CSAT Score</cx:v>
            </cx:txData>
          </cx:tx>
          <cx:dataLabels>
            <cx:visibility seriesName="0" categoryName="1" value="0"/>
          </cx:dataLabels>
          <cx:dataId val="0"/>
          <cx:layoutPr>
            <cx:parentLabelLayout val="overlapping"/>
          </cx:layoutPr>
        </cx:series>
      </cx:plotAreaRegion>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_xlchart.v2.12</cx:f>
      </cx:strDim>
      <cx:numDim type="val">
        <cx:f>_xlchart.v2.14</cx:f>
      </cx:numDim>
    </cx:data>
  </cx:chartData>
  <cx:chart>
    <cx:title pos="t" align="ctr" overlay="0">
      <cx:tx>
        <cx:txData>
          <cx:v>Lead source Proficiency</cx:v>
        </cx:txData>
      </cx:tx>
      <cx: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6350" cap="flat" cmpd="sng" algn="ctr">
          <a:solidFill>
            <a:schemeClr val="accent2"/>
          </a:solidFill>
          <a:prstDash val="solid"/>
          <a:miter lim="800000"/>
        </a:ln>
        <a:effectLst>
          <a:innerShdw blurRad="63500" dist="50800" dir="13500000">
            <a:prstClr val="black">
              <a:alpha val="50000"/>
            </a:prstClr>
          </a:innerShdw>
        </a:effectLst>
      </cx:spPr>
      <cx:txPr>
        <a:bodyPr spcFirstLastPara="1" vertOverflow="ellipsis" horzOverflow="overflow" wrap="square" lIns="0" tIns="0" rIns="0" bIns="0" anchor="ctr" anchorCtr="1"/>
        <a:lstStyle/>
        <a:p>
          <a:pPr algn="ctr" rtl="0">
            <a:defRPr lang="en-US" sz="1800" b="1" i="0" baseline="0">
              <a:ln>
                <a:noFill/>
              </a:ln>
              <a:solidFill>
                <a:schemeClr val="tx1"/>
              </a:solidFill>
              <a:effectLst/>
            </a:defRPr>
          </a:pPr>
          <a:r>
            <a:rPr>
              <a:ln>
                <a:noFill/>
              </a:ln>
              <a:solidFill>
                <a:schemeClr val="dk1"/>
              </a:solidFill>
              <a:effectLst/>
              <a:latin typeface="+mn-lt"/>
              <a:ea typeface="+mn-ea"/>
              <a:cs typeface="+mn-cs"/>
            </a:rPr>
            <a:t>Lead source Proficiency</a:t>
          </a:r>
        </a:p>
      </cx:txPr>
    </cx:title>
    <cx:plotArea>
      <cx:plotAreaRegion>
        <cx:series layoutId="funnel" uniqueId="{00000000-2357-4FB9-933F-5F31A221A075}">
          <cx:tx>
            <cx:txData>
              <cx:f>_xlchart.v2.13</cx:f>
              <cx:v>Transaction ID </cx:v>
            </cx:txData>
          </cx:tx>
          <cx: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6350" cap="flat" cmpd="sng" algn="ctr">
              <a:solidFill>
                <a:schemeClr val="accent1"/>
              </a:solidFill>
              <a:prstDash val="solid"/>
              <a:miter lim="800000"/>
            </a:ln>
            <a:effectLst>
              <a:innerShdw blurRad="63500" dist="50800" dir="13500000">
                <a:prstClr val="black">
                  <a:alpha val="50000"/>
                </a:prstClr>
              </a:innerShdw>
            </a:effectLst>
          </cx:spPr>
          <cx:dataLabels>
            <cx:visibility seriesName="0" categoryName="0" value="1"/>
          </cx:dataLabels>
          <cx:dataId val="0"/>
        </cx:series>
      </cx:plotAreaRegion>
      <cx:axis id="0">
        <cx:catScaling gapWidth="0.0599999987"/>
        <cx:tickLabels/>
        <cx:txPr>
          <a:bodyPr vertOverflow="overflow" horzOverflow="overflow" wrap="square" lIns="0" tIns="0" rIns="0" bIns="0"/>
          <a:lstStyle/>
          <a:p>
            <a:pPr algn="ctr" rtl="0">
              <a:defRPr sz="900" b="0" i="0">
                <a:solidFill>
                  <a:schemeClr val="bg1">
                    <a:lumMod val="95000"/>
                  </a:schemeClr>
                </a:solidFill>
                <a:latin typeface="Calibri" panose="020F0502020204030204" pitchFamily="34" charset="0"/>
                <a:ea typeface="Calibri" panose="020F0502020204030204" pitchFamily="34" charset="0"/>
                <a:cs typeface="Calibri" panose="020F0502020204030204" pitchFamily="34" charset="0"/>
              </a:defRPr>
            </a:pPr>
            <a:endParaRPr lang="en-US">
              <a:solidFill>
                <a:schemeClr val="bg1">
                  <a:lumMod val="95000"/>
                </a:schemeClr>
              </a:solidFill>
            </a:endParaRPr>
          </a:p>
        </cx:txPr>
      </cx:axis>
    </cx:plotArea>
  </cx:chart>
  <cx: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6350" cap="flat" cmpd="sng" algn="ctr">
      <a:solidFill>
        <a:schemeClr val="accent2"/>
      </a:solidFill>
      <a:prstDash val="solid"/>
      <a:miter lim="800000"/>
    </a:ln>
    <a:effectLst>
      <a:innerShdw blurRad="63500" dist="50800" dir="13500000">
        <a:prstClr val="black">
          <a:alpha val="50000"/>
        </a:prstClr>
      </a:innerShdw>
    </a:effectLst>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_xlchart.v1.9</cx:f>
      </cx:strDim>
      <cx:numDim type="size">
        <cx:f>_xlchart.v1.11</cx:f>
      </cx:numDim>
    </cx:data>
  </cx:chartData>
  <cx:chart>
    <cx:title pos="t" align="ctr" overlay="0">
      <cx:tx>
        <cx:txData>
          <cx:v>Branch CSAT Scores</cx:v>
        </cx:txData>
      </cx:tx>
      <cx: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6350" cap="flat" cmpd="sng" algn="ctr">
          <a:solidFill>
            <a:schemeClr val="accent2"/>
          </a:solidFill>
          <a:prstDash val="solid"/>
          <a:miter lim="800000"/>
        </a:ln>
        <a:effectLst>
          <a:innerShdw blurRad="63500" dist="50800" dir="13500000">
            <a:prstClr val="black">
              <a:alpha val="50000"/>
            </a:prstClr>
          </a:innerShdw>
        </a:effectLst>
      </cx:spPr>
      <cx:txPr>
        <a:bodyPr spcFirstLastPara="1" vertOverflow="ellipsis" horzOverflow="overflow" wrap="square" lIns="0" tIns="0" rIns="0" bIns="0" anchor="ctr" anchorCtr="1"/>
        <a:lstStyle/>
        <a:p>
          <a:pPr rtl="0">
            <a:defRPr lang="en-US" sz="1800" b="1" i="0" u="none" strike="noStrike" baseline="0" dirty="0">
              <a:solidFill>
                <a:schemeClr val="dk1"/>
              </a:solidFill>
              <a:effectLst/>
              <a:latin typeface="+mn-lt"/>
              <a:ea typeface="+mn-ea"/>
              <a:cs typeface="+mn-cs"/>
            </a:defRPr>
          </a:pPr>
          <a:r>
            <a:rPr>
              <a:solidFill>
                <a:schemeClr val="dk1"/>
              </a:solidFill>
              <a:effectLst/>
              <a:latin typeface="+mn-lt"/>
              <a:ea typeface="+mn-ea"/>
              <a:cs typeface="+mn-cs"/>
            </a:rPr>
            <a:t>Branch CSAT Scores</a:t>
          </a:r>
        </a:p>
      </cx:txPr>
    </cx:title>
    <cx:plotArea>
      <cx:plotAreaRegion>
        <cx:series layoutId="treemap" uniqueId="{00000000-0535-430C-BA3A-B6296B0ABCDB}">
          <cx:tx>
            <cx:txData>
              <cx:f>_xlchart.v1.10</cx:f>
              <cx:v>Avg Of CSAT Score</cx:v>
            </cx:txData>
          </cx:tx>
          <cx:dataLabels>
            <cx:visibility seriesName="0" categoryName="1" value="0"/>
          </cx:dataLabels>
          <cx:dataId val="0"/>
          <cx:layoutPr>
            <cx:parentLabelLayout val="overlapping"/>
          </cx:layoutPr>
        </cx:series>
      </cx:plotAreaRegion>
    </cx:plotArea>
  </cx:chart>
  <cx: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6350" cap="flat" cmpd="sng" algn="ctr">
      <a:solidFill>
        <a:schemeClr val="accent2"/>
      </a:solidFill>
      <a:prstDash val="solid"/>
      <a:miter lim="800000"/>
    </a:ln>
    <a:effectLst>
      <a:innerShdw blurRad="63500" dist="50800" dir="13500000">
        <a:prstClr val="black">
          <a:alpha val="50000"/>
        </a:prstClr>
      </a:innerShdw>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415">
  <cs:axisTitle>
    <cs:lnRef idx="0"/>
    <cs:fillRef idx="0"/>
    <cs:effectRef idx="0"/>
    <cs:fontRef idx="minor">
      <a:schemeClr val="lt1">
        <a:lumMod val="95000"/>
      </a:schemeClr>
    </cs:fontRef>
    <cs:spPr>
      <a:solidFill>
        <a:schemeClr val="bg1">
          <a:lumMod val="65000"/>
        </a:schemeClr>
      </a:solidFill>
      <a:ln>
        <a:solidFill>
          <a:schemeClr val="tx1"/>
        </a:solidFill>
      </a:ln>
    </cs:spPr>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415">
  <cs:axisTitle>
    <cs:lnRef idx="0"/>
    <cs:fillRef idx="0"/>
    <cs:effectRef idx="0"/>
    <cs:fontRef idx="minor">
      <a:schemeClr val="lt1">
        <a:lumMod val="95000"/>
      </a:schemeClr>
    </cs:fontRef>
    <cs:spPr>
      <a:solidFill>
        <a:schemeClr val="bg1">
          <a:lumMod val="65000"/>
        </a:schemeClr>
      </a:solidFill>
      <a:ln>
        <a:solidFill>
          <a:schemeClr val="tx1"/>
        </a:solidFill>
      </a:ln>
    </cs:spPr>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microsoft.com/office/2014/relationships/chartEx" Target="../charts/chartEx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microsoft.com/office/2014/relationships/chartEx" Target="../charts/chartEx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microsoft.com/office/2014/relationships/chartEx" Target="../charts/chartEx4.xml"/><Relationship Id="rId5" Type="http://schemas.microsoft.com/office/2014/relationships/chartEx" Target="../charts/chartEx3.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oneCell">
    <xdr:from>
      <xdr:col>3</xdr:col>
      <xdr:colOff>1598856</xdr:colOff>
      <xdr:row>0</xdr:row>
      <xdr:rowOff>8965</xdr:rowOff>
    </xdr:from>
    <xdr:to>
      <xdr:col>6</xdr:col>
      <xdr:colOff>783517</xdr:colOff>
      <xdr:row>6</xdr:row>
      <xdr:rowOff>62304</xdr:rowOff>
    </xdr:to>
    <mc:AlternateContent xmlns:mc="http://schemas.openxmlformats.org/markup-compatibility/2006" xmlns:a14="http://schemas.microsoft.com/office/drawing/2010/main">
      <mc:Choice Requires="a14">
        <xdr:graphicFrame macro="">
          <xdr:nvGraphicFramePr>
            <xdr:cNvPr id="3" name="Lead Source">
              <a:extLst>
                <a:ext uri="{FF2B5EF4-FFF2-40B4-BE49-F238E27FC236}">
                  <a16:creationId xmlns:a16="http://schemas.microsoft.com/office/drawing/2014/main" id="{D8BEDA92-9917-C66C-5548-E09257651424}"/>
                </a:ext>
              </a:extLst>
            </xdr:cNvPr>
            <xdr:cNvGraphicFramePr/>
          </xdr:nvGraphicFramePr>
          <xdr:xfrm>
            <a:off x="0" y="0"/>
            <a:ext cx="0" cy="0"/>
          </xdr:xfrm>
          <a:graphic>
            <a:graphicData uri="http://schemas.microsoft.com/office/drawing/2010/slicer">
              <sle:slicer xmlns:sle="http://schemas.microsoft.com/office/drawing/2010/slicer" name="Lead Source"/>
            </a:graphicData>
          </a:graphic>
        </xdr:graphicFrame>
      </mc:Choice>
      <mc:Fallback xmlns="">
        <xdr:sp macro="" textlink="">
          <xdr:nvSpPr>
            <xdr:cNvPr id="0" name=""/>
            <xdr:cNvSpPr>
              <a:spLocks noTextEdit="1"/>
            </xdr:cNvSpPr>
          </xdr:nvSpPr>
          <xdr:spPr>
            <a:xfrm>
              <a:off x="7309374" y="8965"/>
              <a:ext cx="4088355" cy="11291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38101</xdr:rowOff>
    </xdr:from>
    <xdr:to>
      <xdr:col>1</xdr:col>
      <xdr:colOff>2651760</xdr:colOff>
      <xdr:row>6</xdr:row>
      <xdr:rowOff>99060</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0B7DD033-7E2D-004C-7CC7-E0FCE4E76D5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38101"/>
              <a:ext cx="3611880" cy="11582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929640</xdr:colOff>
      <xdr:row>0</xdr:row>
      <xdr:rowOff>0</xdr:rowOff>
    </xdr:from>
    <xdr:to>
      <xdr:col>8</xdr:col>
      <xdr:colOff>993065</xdr:colOff>
      <xdr:row>6</xdr:row>
      <xdr:rowOff>60960</xdr:rowOff>
    </xdr:to>
    <mc:AlternateContent xmlns:mc="http://schemas.openxmlformats.org/markup-compatibility/2006" xmlns:a14="http://schemas.microsoft.com/office/drawing/2010/main">
      <mc:Choice Requires="a14">
        <xdr:graphicFrame macro="">
          <xdr:nvGraphicFramePr>
            <xdr:cNvPr id="4" name="Product">
              <a:extLst>
                <a:ext uri="{FF2B5EF4-FFF2-40B4-BE49-F238E27FC236}">
                  <a16:creationId xmlns:a16="http://schemas.microsoft.com/office/drawing/2014/main" id="{C656A23D-2219-908A-E7AA-91E327411726}"/>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1543852" y="0"/>
              <a:ext cx="2349425" cy="1136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137160</xdr:colOff>
      <xdr:row>13</xdr:row>
      <xdr:rowOff>167640</xdr:rowOff>
    </xdr:from>
    <xdr:to>
      <xdr:col>8</xdr:col>
      <xdr:colOff>1264920</xdr:colOff>
      <xdr:row>21</xdr:row>
      <xdr:rowOff>60960</xdr:rowOff>
    </xdr:to>
    <xdr:graphicFrame macro="">
      <xdr:nvGraphicFramePr>
        <xdr:cNvPr id="7" name="Chart 6">
          <a:extLst>
            <a:ext uri="{FF2B5EF4-FFF2-40B4-BE49-F238E27FC236}">
              <a16:creationId xmlns:a16="http://schemas.microsoft.com/office/drawing/2014/main" id="{701BF4BF-0047-92FC-746A-A9587C6869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990600</xdr:colOff>
      <xdr:row>33</xdr:row>
      <xdr:rowOff>139400</xdr:rowOff>
    </xdr:from>
    <xdr:to>
      <xdr:col>12</xdr:col>
      <xdr:colOff>99060</xdr:colOff>
      <xdr:row>50</xdr:row>
      <xdr:rowOff>32720</xdr:rowOff>
    </xdr:to>
    <xdr:graphicFrame macro="">
      <xdr:nvGraphicFramePr>
        <xdr:cNvPr id="11" name="Chart 10">
          <a:extLst>
            <a:ext uri="{FF2B5EF4-FFF2-40B4-BE49-F238E27FC236}">
              <a16:creationId xmlns:a16="http://schemas.microsoft.com/office/drawing/2014/main" id="{1FA36C88-BCB4-AADC-1D4C-37BA7A22DF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18</xdr:row>
      <xdr:rowOff>15240</xdr:rowOff>
    </xdr:from>
    <xdr:to>
      <xdr:col>2</xdr:col>
      <xdr:colOff>0</xdr:colOff>
      <xdr:row>30</xdr:row>
      <xdr:rowOff>68580</xdr:rowOff>
    </xdr:to>
    <xdr:graphicFrame macro="">
      <xdr:nvGraphicFramePr>
        <xdr:cNvPr id="12" name="Chart 11">
          <a:extLst>
            <a:ext uri="{FF2B5EF4-FFF2-40B4-BE49-F238E27FC236}">
              <a16:creationId xmlns:a16="http://schemas.microsoft.com/office/drawing/2014/main" id="{59358D6B-6CE7-4D31-0FC9-1BE1033AC3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1577340</xdr:colOff>
      <xdr:row>17</xdr:row>
      <xdr:rowOff>30480</xdr:rowOff>
    </xdr:from>
    <xdr:to>
      <xdr:col>19</xdr:col>
      <xdr:colOff>152400</xdr:colOff>
      <xdr:row>29</xdr:row>
      <xdr:rowOff>114300</xdr:rowOff>
    </xdr:to>
    <xdr:graphicFrame macro="">
      <xdr:nvGraphicFramePr>
        <xdr:cNvPr id="5" name="Chart 4">
          <a:extLst>
            <a:ext uri="{FF2B5EF4-FFF2-40B4-BE49-F238E27FC236}">
              <a16:creationId xmlns:a16="http://schemas.microsoft.com/office/drawing/2014/main" id="{496B2A4A-09C8-FC5A-AD08-1EB9320385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243840</xdr:colOff>
      <xdr:row>0</xdr:row>
      <xdr:rowOff>0</xdr:rowOff>
    </xdr:from>
    <xdr:to>
      <xdr:col>12</xdr:col>
      <xdr:colOff>126403</xdr:colOff>
      <xdr:row>7</xdr:row>
      <xdr:rowOff>121920</xdr:rowOff>
    </xdr:to>
    <mc:AlternateContent xmlns:mc="http://schemas.openxmlformats.org/markup-compatibility/2006" xmlns:tsle="http://schemas.microsoft.com/office/drawing/2012/timeslicer">
      <mc:Choice Requires="tsle">
        <xdr:graphicFrame macro="">
          <xdr:nvGraphicFramePr>
            <xdr:cNvPr id="14" name="Date">
              <a:extLst>
                <a:ext uri="{FF2B5EF4-FFF2-40B4-BE49-F238E27FC236}">
                  <a16:creationId xmlns:a16="http://schemas.microsoft.com/office/drawing/2014/main" id="{BF6001DF-3719-6795-8729-442EB92371E0}"/>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2489180" y="0"/>
              <a:ext cx="21183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19</xdr:col>
      <xdr:colOff>430306</xdr:colOff>
      <xdr:row>18</xdr:row>
      <xdr:rowOff>42584</xdr:rowOff>
    </xdr:from>
    <xdr:to>
      <xdr:col>22</xdr:col>
      <xdr:colOff>98612</xdr:colOff>
      <xdr:row>30</xdr:row>
      <xdr:rowOff>152401</xdr:rowOff>
    </xdr:to>
    <mc:AlternateContent xmlns:mc="http://schemas.openxmlformats.org/markup-compatibility/2006">
      <mc:Choice xmlns:cx2="http://schemas.microsoft.com/office/drawing/2015/10/21/chartex" Requires="cx2">
        <xdr:graphicFrame macro="">
          <xdr:nvGraphicFramePr>
            <xdr:cNvPr id="16" name="Chart 15">
              <a:extLst>
                <a:ext uri="{FF2B5EF4-FFF2-40B4-BE49-F238E27FC236}">
                  <a16:creationId xmlns:a16="http://schemas.microsoft.com/office/drawing/2014/main" id="{59F83C85-74AE-DAE8-D865-6CBD6E67D47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27542266" y="3303944"/>
              <a:ext cx="2975386" cy="23043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0</xdr:colOff>
      <xdr:row>30</xdr:row>
      <xdr:rowOff>91440</xdr:rowOff>
    </xdr:from>
    <xdr:to>
      <xdr:col>1</xdr:col>
      <xdr:colOff>1242060</xdr:colOff>
      <xdr:row>33</xdr:row>
      <xdr:rowOff>7620</xdr:rowOff>
    </xdr:to>
    <xdr:sp macro="" textlink="$B$32">
      <xdr:nvSpPr>
        <xdr:cNvPr id="17" name="Rectangle 16">
          <a:extLst>
            <a:ext uri="{FF2B5EF4-FFF2-40B4-BE49-F238E27FC236}">
              <a16:creationId xmlns:a16="http://schemas.microsoft.com/office/drawing/2014/main" id="{C0E1B9FC-2178-4F67-AB7A-459FDC1816F9}"/>
            </a:ext>
          </a:extLst>
        </xdr:cNvPr>
        <xdr:cNvSpPr/>
      </xdr:nvSpPr>
      <xdr:spPr>
        <a:xfrm>
          <a:off x="0" y="5547360"/>
          <a:ext cx="2202180" cy="4648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0" i="0" u="none" strike="noStrike">
              <a:solidFill>
                <a:srgbClr val="000000"/>
              </a:solidFill>
              <a:latin typeface="Calibri"/>
              <a:ea typeface="Calibri"/>
              <a:cs typeface="Calibri"/>
            </a:rPr>
            <a:t>Total Revenue By Lead Source         </a:t>
          </a:r>
          <a:fld id="{45971A5E-66E7-4E15-8A3D-A7C34794ED4C}" type="TxLink">
            <a:rPr lang="en-US" sz="1100" b="0" i="0" u="none" strike="noStrike">
              <a:solidFill>
                <a:srgbClr val="000000"/>
              </a:solidFill>
              <a:latin typeface="Calibri"/>
              <a:ea typeface="Calibri"/>
              <a:cs typeface="Calibri"/>
            </a:rPr>
            <a:pPr algn="ctr"/>
            <a:t>24568179.86</a:t>
          </a:fld>
          <a:endParaRPr lang="en-US" sz="1100"/>
        </a:p>
      </xdr:txBody>
    </xdr:sp>
    <xdr:clientData/>
  </xdr:twoCellAnchor>
  <xdr:twoCellAnchor>
    <xdr:from>
      <xdr:col>6</xdr:col>
      <xdr:colOff>1066800</xdr:colOff>
      <xdr:row>25</xdr:row>
      <xdr:rowOff>7620</xdr:rowOff>
    </xdr:from>
    <xdr:to>
      <xdr:col>8</xdr:col>
      <xdr:colOff>632460</xdr:colOff>
      <xdr:row>28</xdr:row>
      <xdr:rowOff>99060</xdr:rowOff>
    </xdr:to>
    <xdr:sp macro="" textlink="$I$27">
      <xdr:nvSpPr>
        <xdr:cNvPr id="18" name="Rectangle 17">
          <a:extLst>
            <a:ext uri="{FF2B5EF4-FFF2-40B4-BE49-F238E27FC236}">
              <a16:creationId xmlns:a16="http://schemas.microsoft.com/office/drawing/2014/main" id="{54D25AA4-1747-9B48-8712-83F29547D49C}"/>
            </a:ext>
          </a:extLst>
        </xdr:cNvPr>
        <xdr:cNvSpPr/>
      </xdr:nvSpPr>
      <xdr:spPr>
        <a:xfrm>
          <a:off x="9883140" y="4549140"/>
          <a:ext cx="1927860" cy="6400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0" i="0" u="none" strike="noStrike">
              <a:solidFill>
                <a:srgbClr val="000000"/>
              </a:solidFill>
              <a:latin typeface="Calibri"/>
              <a:ea typeface="Calibri"/>
              <a:cs typeface="Calibri"/>
            </a:rPr>
            <a:t>No Target Achieved              </a:t>
          </a:r>
          <a:fld id="{33A1EF0D-274D-4FAC-9DF5-0D0B4960F126}" type="TxLink">
            <a:rPr lang="en-US" sz="1100" b="0" i="0" u="none" strike="noStrike">
              <a:solidFill>
                <a:srgbClr val="000000"/>
              </a:solidFill>
              <a:latin typeface="Calibri"/>
              <a:ea typeface="Calibri"/>
              <a:cs typeface="Calibri"/>
            </a:rPr>
            <a:pPr algn="ctr"/>
            <a:t>36%</a:t>
          </a:fld>
          <a:endParaRPr lang="en-US" sz="1100"/>
        </a:p>
      </xdr:txBody>
    </xdr:sp>
    <xdr:clientData/>
  </xdr:twoCellAnchor>
  <xdr:twoCellAnchor>
    <xdr:from>
      <xdr:col>17</xdr:col>
      <xdr:colOff>502920</xdr:colOff>
      <xdr:row>30</xdr:row>
      <xdr:rowOff>160020</xdr:rowOff>
    </xdr:from>
    <xdr:to>
      <xdr:col>18</xdr:col>
      <xdr:colOff>449580</xdr:colOff>
      <xdr:row>33</xdr:row>
      <xdr:rowOff>144780</xdr:rowOff>
    </xdr:to>
    <xdr:sp macro="" textlink="$S$32">
      <xdr:nvSpPr>
        <xdr:cNvPr id="20" name="Rectangle 19">
          <a:extLst>
            <a:ext uri="{FF2B5EF4-FFF2-40B4-BE49-F238E27FC236}">
              <a16:creationId xmlns:a16="http://schemas.microsoft.com/office/drawing/2014/main" id="{65AE91EB-457C-28E4-E720-C32A85EEE564}"/>
            </a:ext>
          </a:extLst>
        </xdr:cNvPr>
        <xdr:cNvSpPr/>
      </xdr:nvSpPr>
      <xdr:spPr>
        <a:xfrm>
          <a:off x="24437340" y="5615940"/>
          <a:ext cx="1386840" cy="5334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0" i="0" u="none" strike="noStrike">
              <a:solidFill>
                <a:srgbClr val="000000"/>
              </a:solidFill>
              <a:latin typeface="Calibri"/>
              <a:ea typeface="Calibri"/>
              <a:cs typeface="Calibri"/>
            </a:rPr>
            <a:t>Total Processing Fee </a:t>
          </a:r>
          <a:fld id="{4AE6220B-52C1-4911-9A1A-E4515AC7DEB0}" type="TxLink">
            <a:rPr lang="en-US" sz="1100" b="0" i="0" u="none" strike="noStrike">
              <a:solidFill>
                <a:srgbClr val="000000"/>
              </a:solidFill>
              <a:latin typeface="Calibri"/>
              <a:ea typeface="Calibri"/>
              <a:cs typeface="Calibri"/>
            </a:rPr>
            <a:pPr algn="ctr"/>
            <a:t>275304.9</a:t>
          </a:fld>
          <a:endParaRPr lang="en-US" sz="1100"/>
        </a:p>
      </xdr:txBody>
    </xdr:sp>
    <xdr:clientData/>
  </xdr:twoCellAnchor>
  <xdr:twoCellAnchor>
    <xdr:from>
      <xdr:col>9</xdr:col>
      <xdr:colOff>1577340</xdr:colOff>
      <xdr:row>30</xdr:row>
      <xdr:rowOff>175260</xdr:rowOff>
    </xdr:from>
    <xdr:to>
      <xdr:col>11</xdr:col>
      <xdr:colOff>480060</xdr:colOff>
      <xdr:row>33</xdr:row>
      <xdr:rowOff>114300</xdr:rowOff>
    </xdr:to>
    <xdr:sp macro="" textlink="$L$33">
      <xdr:nvSpPr>
        <xdr:cNvPr id="23" name="Rectangle 22">
          <a:extLst>
            <a:ext uri="{FF2B5EF4-FFF2-40B4-BE49-F238E27FC236}">
              <a16:creationId xmlns:a16="http://schemas.microsoft.com/office/drawing/2014/main" id="{A5AC2968-489B-B858-A2A0-9ADA051AAE88}"/>
            </a:ext>
          </a:extLst>
        </xdr:cNvPr>
        <xdr:cNvSpPr/>
      </xdr:nvSpPr>
      <xdr:spPr>
        <a:xfrm>
          <a:off x="14066520" y="5631180"/>
          <a:ext cx="1318260" cy="4876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0" i="0" u="none" strike="noStrike">
              <a:solidFill>
                <a:srgbClr val="000000"/>
              </a:solidFill>
              <a:latin typeface="Calibri"/>
              <a:ea typeface="Calibri"/>
              <a:cs typeface="Calibri"/>
            </a:rPr>
            <a:t>Avg Of CSAT Score </a:t>
          </a:r>
          <a:fld id="{87209A10-E029-4BDF-8472-A7D5C357741B}" type="TxLink">
            <a:rPr lang="en-US" sz="1100" b="0" i="0" u="none" strike="noStrike">
              <a:solidFill>
                <a:srgbClr val="000000"/>
              </a:solidFill>
              <a:latin typeface="Calibri"/>
              <a:ea typeface="Calibri"/>
              <a:cs typeface="Calibri"/>
            </a:rPr>
            <a:pPr algn="ctr"/>
            <a:t>3.05</a:t>
          </a:fld>
          <a:endParaRPr lang="en-US" sz="1100"/>
        </a:p>
      </xdr:txBody>
    </xdr:sp>
    <xdr:clientData/>
  </xdr:twoCellAnchor>
  <xdr:twoCellAnchor>
    <xdr:from>
      <xdr:col>3</xdr:col>
      <xdr:colOff>1775460</xdr:colOff>
      <xdr:row>17</xdr:row>
      <xdr:rowOff>106680</xdr:rowOff>
    </xdr:from>
    <xdr:to>
      <xdr:col>6</xdr:col>
      <xdr:colOff>30480</xdr:colOff>
      <xdr:row>32</xdr:row>
      <xdr:rowOff>106680</xdr:rowOff>
    </xdr:to>
    <xdr:graphicFrame macro="">
      <xdr:nvGraphicFramePr>
        <xdr:cNvPr id="24" name="Chart 23">
          <a:extLst>
            <a:ext uri="{FF2B5EF4-FFF2-40B4-BE49-F238E27FC236}">
              <a16:creationId xmlns:a16="http://schemas.microsoft.com/office/drawing/2014/main" id="{166F6624-5850-4D54-2D8C-B734650BB5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38100</xdr:colOff>
      <xdr:row>32</xdr:row>
      <xdr:rowOff>99060</xdr:rowOff>
    </xdr:from>
    <xdr:to>
      <xdr:col>5</xdr:col>
      <xdr:colOff>762000</xdr:colOff>
      <xdr:row>35</xdr:row>
      <xdr:rowOff>15240</xdr:rowOff>
    </xdr:to>
    <xdr:sp macro="" textlink="$F$34">
      <xdr:nvSpPr>
        <xdr:cNvPr id="6" name="Rectangle 5">
          <a:extLst>
            <a:ext uri="{FF2B5EF4-FFF2-40B4-BE49-F238E27FC236}">
              <a16:creationId xmlns:a16="http://schemas.microsoft.com/office/drawing/2014/main" id="{1453D96B-A70F-6D1F-997D-C42223D780AE}"/>
            </a:ext>
          </a:extLst>
        </xdr:cNvPr>
        <xdr:cNvSpPr/>
      </xdr:nvSpPr>
      <xdr:spPr>
        <a:xfrm>
          <a:off x="4671060" y="5920740"/>
          <a:ext cx="2164080" cy="4648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0" i="0" u="none" strike="noStrike">
              <a:solidFill>
                <a:srgbClr val="000000"/>
              </a:solidFill>
              <a:latin typeface="Calibri"/>
              <a:ea typeface="Calibri"/>
              <a:cs typeface="Calibri"/>
            </a:rPr>
            <a:t>Total Revenue Source By Product </a:t>
          </a:r>
          <a:fld id="{E5D7F5B5-91DE-4CB6-81CD-E1776545C1F3}" type="TxLink">
            <a:rPr lang="en-US" sz="1100" b="0" i="0" u="none" strike="noStrike">
              <a:solidFill>
                <a:srgbClr val="000000"/>
              </a:solidFill>
              <a:latin typeface="Calibri"/>
              <a:ea typeface="Calibri"/>
              <a:cs typeface="Calibri"/>
            </a:rPr>
            <a:pPr algn="ctr"/>
            <a:t>24568179.86</a:t>
          </a:fld>
          <a:endParaRPr lang="en-US" sz="1100"/>
        </a:p>
      </xdr:txBody>
    </xdr:sp>
    <xdr:clientData/>
  </xdr:twoCellAnchor>
  <xdr:twoCellAnchor>
    <xdr:from>
      <xdr:col>6</xdr:col>
      <xdr:colOff>1036320</xdr:colOff>
      <xdr:row>21</xdr:row>
      <xdr:rowOff>76200</xdr:rowOff>
    </xdr:from>
    <xdr:to>
      <xdr:col>8</xdr:col>
      <xdr:colOff>601980</xdr:colOff>
      <xdr:row>24</xdr:row>
      <xdr:rowOff>167640</xdr:rowOff>
    </xdr:to>
    <xdr:sp macro="" textlink="$I$26">
      <xdr:nvSpPr>
        <xdr:cNvPr id="15" name="Rectangle 14">
          <a:extLst>
            <a:ext uri="{FF2B5EF4-FFF2-40B4-BE49-F238E27FC236}">
              <a16:creationId xmlns:a16="http://schemas.microsoft.com/office/drawing/2014/main" id="{0F339C8A-4FA4-3D62-44BE-60C98AA550B9}"/>
            </a:ext>
          </a:extLst>
        </xdr:cNvPr>
        <xdr:cNvSpPr/>
      </xdr:nvSpPr>
      <xdr:spPr>
        <a:xfrm>
          <a:off x="9852660" y="3886200"/>
          <a:ext cx="1927860" cy="6400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0" i="0" u="none" strike="noStrike">
              <a:solidFill>
                <a:srgbClr val="000000"/>
              </a:solidFill>
              <a:latin typeface="Calibri"/>
              <a:ea typeface="Calibri"/>
              <a:cs typeface="Calibri"/>
            </a:rPr>
            <a:t>Total</a:t>
          </a:r>
          <a:r>
            <a:rPr lang="en-US" sz="1100" b="0" i="0" u="none" strike="noStrike" baseline="0">
              <a:solidFill>
                <a:srgbClr val="000000"/>
              </a:solidFill>
              <a:latin typeface="Calibri"/>
              <a:ea typeface="Calibri"/>
              <a:cs typeface="Calibri"/>
            </a:rPr>
            <a:t> Target Achieved</a:t>
          </a:r>
          <a:r>
            <a:rPr lang="en-US" sz="1100" b="0" i="0" u="none" strike="noStrike">
              <a:solidFill>
                <a:srgbClr val="000000"/>
              </a:solidFill>
              <a:latin typeface="Calibri"/>
              <a:ea typeface="Calibri"/>
              <a:cs typeface="Calibri"/>
            </a:rPr>
            <a:t>  </a:t>
          </a:r>
        </a:p>
        <a:p>
          <a:pPr algn="ctr"/>
          <a:fld id="{90AA6644-5CEC-4BC5-A9B6-1643994D87CA}" type="TxLink">
            <a:rPr lang="en-US" sz="1100" b="0" i="0" u="none" strike="noStrike">
              <a:solidFill>
                <a:srgbClr val="000000"/>
              </a:solidFill>
              <a:latin typeface="Calibri"/>
              <a:ea typeface="Calibri"/>
              <a:cs typeface="Calibri"/>
            </a:rPr>
            <a:pPr algn="ctr"/>
            <a:t>65%</a:t>
          </a:fld>
          <a:endParaRPr lang="en-US" sz="1100"/>
        </a:p>
      </xdr:txBody>
    </xdr:sp>
    <xdr:clientData/>
  </xdr:twoCellAnchor>
  <xdr:twoCellAnchor>
    <xdr:from>
      <xdr:col>23</xdr:col>
      <xdr:colOff>716280</xdr:colOff>
      <xdr:row>28</xdr:row>
      <xdr:rowOff>0</xdr:rowOff>
    </xdr:from>
    <xdr:to>
      <xdr:col>24</xdr:col>
      <xdr:colOff>1257300</xdr:colOff>
      <xdr:row>30</xdr:row>
      <xdr:rowOff>167640</xdr:rowOff>
    </xdr:to>
    <xdr:sp macro="" textlink="$Z$29">
      <xdr:nvSpPr>
        <xdr:cNvPr id="19" name="Rectangle 18">
          <a:extLst>
            <a:ext uri="{FF2B5EF4-FFF2-40B4-BE49-F238E27FC236}">
              <a16:creationId xmlns:a16="http://schemas.microsoft.com/office/drawing/2014/main" id="{3E4DF772-B299-493F-AD6E-3E2EAF03D9D0}"/>
            </a:ext>
          </a:extLst>
        </xdr:cNvPr>
        <xdr:cNvSpPr/>
      </xdr:nvSpPr>
      <xdr:spPr>
        <a:xfrm>
          <a:off x="31051500" y="5090160"/>
          <a:ext cx="1493520" cy="5334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0" i="0" u="none" strike="noStrike">
              <a:solidFill>
                <a:srgbClr val="000000"/>
              </a:solidFill>
              <a:latin typeface="Calibri"/>
              <a:ea typeface="Calibri"/>
              <a:cs typeface="Calibri"/>
            </a:rPr>
            <a:t>Net</a:t>
          </a:r>
          <a:r>
            <a:rPr lang="en-US" sz="1100" b="0" i="0" u="none" strike="noStrike" baseline="0">
              <a:solidFill>
                <a:srgbClr val="000000"/>
              </a:solidFill>
              <a:latin typeface="Calibri"/>
              <a:ea typeface="Calibri"/>
              <a:cs typeface="Calibri"/>
            </a:rPr>
            <a:t> Processing Yield</a:t>
          </a:r>
        </a:p>
        <a:p>
          <a:pPr algn="ctr"/>
          <a:fld id="{FE69FD2B-11C6-4513-82D3-1B820D610F64}" type="TxLink">
            <a:rPr lang="en-US" sz="1100" b="0" i="0" u="none" strike="noStrike">
              <a:solidFill>
                <a:srgbClr val="000000"/>
              </a:solidFill>
              <a:latin typeface="Calibri"/>
              <a:ea typeface="Calibri"/>
              <a:cs typeface="Calibri"/>
            </a:rPr>
            <a:pPr algn="ctr"/>
            <a:t>158454.12</a:t>
          </a:fld>
          <a:endParaRPr lang="en-US" sz="1100"/>
        </a:p>
      </xdr:txBody>
    </xdr:sp>
    <xdr:clientData/>
  </xdr:twoCellAnchor>
  <xdr:twoCellAnchor>
    <xdr:from>
      <xdr:col>21</xdr:col>
      <xdr:colOff>1242060</xdr:colOff>
      <xdr:row>31</xdr:row>
      <xdr:rowOff>26670</xdr:rowOff>
    </xdr:from>
    <xdr:to>
      <xdr:col>26</xdr:col>
      <xdr:colOff>114300</xdr:colOff>
      <xdr:row>46</xdr:row>
      <xdr:rowOff>26670</xdr:rowOff>
    </xdr:to>
    <mc:AlternateContent xmlns:mc="http://schemas.openxmlformats.org/markup-compatibility/2006">
      <mc:Choice xmlns:cx1="http://schemas.microsoft.com/office/drawing/2015/9/8/chartex" Requires="cx1">
        <xdr:graphicFrame macro="">
          <xdr:nvGraphicFramePr>
            <xdr:cNvPr id="25" name="Chart 24">
              <a:extLst>
                <a:ext uri="{FF2B5EF4-FFF2-40B4-BE49-F238E27FC236}">
                  <a16:creationId xmlns:a16="http://schemas.microsoft.com/office/drawing/2014/main" id="{2F3DCC75-CB54-E504-FDC7-2F287A1D998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30419040" y="5665470"/>
              <a:ext cx="505206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xdr:col>
      <xdr:colOff>2675068</xdr:colOff>
      <xdr:row>0</xdr:row>
      <xdr:rowOff>61409</xdr:rowOff>
    </xdr:from>
    <xdr:to>
      <xdr:col>2</xdr:col>
      <xdr:colOff>1545516</xdr:colOff>
      <xdr:row>6</xdr:row>
      <xdr:rowOff>116542</xdr:rowOff>
    </xdr:to>
    <mc:AlternateContent xmlns:mc="http://schemas.openxmlformats.org/markup-compatibility/2006" xmlns:a14="http://schemas.microsoft.com/office/drawing/2010/main">
      <mc:Choice Requires="a14">
        <xdr:graphicFrame macro="">
          <xdr:nvGraphicFramePr>
            <xdr:cNvPr id="28" name="Value Tier">
              <a:extLst>
                <a:ext uri="{FF2B5EF4-FFF2-40B4-BE49-F238E27FC236}">
                  <a16:creationId xmlns:a16="http://schemas.microsoft.com/office/drawing/2014/main" id="{FE1287E8-7096-637B-3808-DC03543BE2AC}"/>
                </a:ext>
              </a:extLst>
            </xdr:cNvPr>
            <xdr:cNvGraphicFramePr/>
          </xdr:nvGraphicFramePr>
          <xdr:xfrm>
            <a:off x="0" y="0"/>
            <a:ext cx="0" cy="0"/>
          </xdr:xfrm>
          <a:graphic>
            <a:graphicData uri="http://schemas.microsoft.com/office/drawing/2010/slicer">
              <sle:slicer xmlns:sle="http://schemas.microsoft.com/office/drawing/2010/slicer" name="Value Tier"/>
            </a:graphicData>
          </a:graphic>
        </xdr:graphicFrame>
      </mc:Choice>
      <mc:Fallback xmlns="">
        <xdr:sp macro="" textlink="">
          <xdr:nvSpPr>
            <xdr:cNvPr id="0" name=""/>
            <xdr:cNvSpPr>
              <a:spLocks noTextEdit="1"/>
            </xdr:cNvSpPr>
          </xdr:nvSpPr>
          <xdr:spPr>
            <a:xfrm>
              <a:off x="3634292" y="61409"/>
              <a:ext cx="1828800" cy="11308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1583167</xdr:colOff>
      <xdr:row>0</xdr:row>
      <xdr:rowOff>61408</xdr:rowOff>
    </xdr:from>
    <xdr:to>
      <xdr:col>3</xdr:col>
      <xdr:colOff>1619025</xdr:colOff>
      <xdr:row>8</xdr:row>
      <xdr:rowOff>53788</xdr:rowOff>
    </xdr:to>
    <mc:AlternateContent xmlns:mc="http://schemas.openxmlformats.org/markup-compatibility/2006" xmlns:a14="http://schemas.microsoft.com/office/drawing/2010/main">
      <mc:Choice Requires="a14">
        <xdr:graphicFrame macro="">
          <xdr:nvGraphicFramePr>
            <xdr:cNvPr id="29" name="Customer Segment">
              <a:extLst>
                <a:ext uri="{FF2B5EF4-FFF2-40B4-BE49-F238E27FC236}">
                  <a16:creationId xmlns:a16="http://schemas.microsoft.com/office/drawing/2014/main" id="{B8B86B50-3EAA-5599-77EA-37EBD6788B53}"/>
                </a:ext>
              </a:extLst>
            </xdr:cNvPr>
            <xdr:cNvGraphicFramePr/>
          </xdr:nvGraphicFramePr>
          <xdr:xfrm>
            <a:off x="0" y="0"/>
            <a:ext cx="0" cy="0"/>
          </xdr:xfrm>
          <a:graphic>
            <a:graphicData uri="http://schemas.microsoft.com/office/drawing/2010/slicer">
              <sle:slicer xmlns:sle="http://schemas.microsoft.com/office/drawing/2010/slicer" name="Customer Segment"/>
            </a:graphicData>
          </a:graphic>
        </xdr:graphicFrame>
      </mc:Choice>
      <mc:Fallback xmlns="">
        <xdr:sp macro="" textlink="">
          <xdr:nvSpPr>
            <xdr:cNvPr id="0" name=""/>
            <xdr:cNvSpPr>
              <a:spLocks noTextEdit="1"/>
            </xdr:cNvSpPr>
          </xdr:nvSpPr>
          <xdr:spPr>
            <a:xfrm>
              <a:off x="5500743" y="61408"/>
              <a:ext cx="1828800" cy="13998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28815</xdr:colOff>
      <xdr:row>0</xdr:row>
      <xdr:rowOff>97971</xdr:rowOff>
    </xdr:from>
    <xdr:to>
      <xdr:col>12</xdr:col>
      <xdr:colOff>500742</xdr:colOff>
      <xdr:row>6</xdr:row>
      <xdr:rowOff>108857</xdr:rowOff>
    </xdr:to>
    <xdr:sp macro="" textlink="">
      <xdr:nvSpPr>
        <xdr:cNvPr id="2" name="Rectangle: Rounded Corners 1">
          <a:extLst>
            <a:ext uri="{FF2B5EF4-FFF2-40B4-BE49-F238E27FC236}">
              <a16:creationId xmlns:a16="http://schemas.microsoft.com/office/drawing/2014/main" id="{2B140166-75C2-AD3F-DAD5-A1E335B50894}"/>
            </a:ext>
          </a:extLst>
        </xdr:cNvPr>
        <xdr:cNvSpPr/>
      </xdr:nvSpPr>
      <xdr:spPr>
        <a:xfrm>
          <a:off x="28815" y="97971"/>
          <a:ext cx="7787127" cy="1121229"/>
        </a:xfrm>
        <a:prstGeom prst="round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1">
          <a:schemeClr val="accent2"/>
        </a:lnRef>
        <a:fillRef idx="3">
          <a:schemeClr val="accent2"/>
        </a:fillRef>
        <a:effectRef idx="2">
          <a:schemeClr val="accent2"/>
        </a:effectRef>
        <a:fontRef idx="minor">
          <a:schemeClr val="lt1"/>
        </a:fontRef>
      </xdr:style>
      <xdr:txBody>
        <a:bodyPr vertOverflow="clip" horzOverflow="clip" rtlCol="0" anchor="ctr"/>
        <a:lstStyle/>
        <a:p>
          <a:pPr algn="ctr"/>
          <a:r>
            <a:rPr lang="en-US" sz="2800" b="1">
              <a:ln>
                <a:solidFill>
                  <a:schemeClr val="tx1"/>
                </a:solidFill>
              </a:ln>
              <a:solidFill>
                <a:schemeClr val="tx1"/>
              </a:solidFill>
            </a:rPr>
            <a:t>BANKING</a:t>
          </a:r>
          <a:r>
            <a:rPr lang="en-US" sz="2800" b="1" baseline="0">
              <a:ln>
                <a:solidFill>
                  <a:schemeClr val="tx1"/>
                </a:solidFill>
              </a:ln>
              <a:solidFill>
                <a:schemeClr val="tx1"/>
              </a:solidFill>
            </a:rPr>
            <a:t> SALES DASHBOARD VISUALIZATIONA</a:t>
          </a:r>
          <a:endParaRPr lang="en-US" sz="2800" b="1">
            <a:ln>
              <a:solidFill>
                <a:schemeClr val="tx1"/>
              </a:solidFill>
            </a:ln>
            <a:solidFill>
              <a:schemeClr val="tx1"/>
            </a:solidFill>
          </a:endParaRPr>
        </a:p>
      </xdr:txBody>
    </xdr:sp>
    <xdr:clientData/>
  </xdr:twoCellAnchor>
  <xdr:twoCellAnchor>
    <xdr:from>
      <xdr:col>0</xdr:col>
      <xdr:colOff>167640</xdr:colOff>
      <xdr:row>7</xdr:row>
      <xdr:rowOff>45720</xdr:rowOff>
    </xdr:from>
    <xdr:to>
      <xdr:col>2</xdr:col>
      <xdr:colOff>579120</xdr:colOff>
      <xdr:row>11</xdr:row>
      <xdr:rowOff>7620</xdr:rowOff>
    </xdr:to>
    <xdr:sp macro="" textlink="">
      <xdr:nvSpPr>
        <xdr:cNvPr id="3" name="Rectangle: Rounded Corners 2">
          <a:extLst>
            <a:ext uri="{FF2B5EF4-FFF2-40B4-BE49-F238E27FC236}">
              <a16:creationId xmlns:a16="http://schemas.microsoft.com/office/drawing/2014/main" id="{E465EE51-521D-BB7E-6B88-0334846747E5}"/>
            </a:ext>
          </a:extLst>
        </xdr:cNvPr>
        <xdr:cNvSpPr/>
      </xdr:nvSpPr>
      <xdr:spPr>
        <a:xfrm>
          <a:off x="167640" y="1143000"/>
          <a:ext cx="1630680" cy="693420"/>
        </a:xfrm>
        <a:prstGeom prst="roundRect">
          <a:avLst/>
        </a:prstGeom>
        <a:effectLst>
          <a:innerShdw blurRad="63500" dist="50800" dir="13500000">
            <a:prstClr val="black">
              <a:alpha val="50000"/>
            </a:prstClr>
          </a:innerShdw>
        </a:effectLst>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ctr"/>
          <a:r>
            <a:rPr lang="en-US" sz="1600" b="1"/>
            <a:t>Total </a:t>
          </a:r>
          <a:r>
            <a:rPr lang="en-US" sz="1400" b="1">
              <a:solidFill>
                <a:schemeClr val="dk1"/>
              </a:solidFill>
              <a:latin typeface="+mn-lt"/>
              <a:ea typeface="+mn-ea"/>
              <a:cs typeface="+mn-cs"/>
            </a:rPr>
            <a:t>Revenue</a:t>
          </a:r>
        </a:p>
      </xdr:txBody>
    </xdr:sp>
    <xdr:clientData/>
  </xdr:twoCellAnchor>
  <xdr:twoCellAnchor>
    <xdr:from>
      <xdr:col>9</xdr:col>
      <xdr:colOff>213360</xdr:colOff>
      <xdr:row>7</xdr:row>
      <xdr:rowOff>68580</xdr:rowOff>
    </xdr:from>
    <xdr:to>
      <xdr:col>12</xdr:col>
      <xdr:colOff>243840</xdr:colOff>
      <xdr:row>11</xdr:row>
      <xdr:rowOff>30480</xdr:rowOff>
    </xdr:to>
    <xdr:sp macro="" textlink="">
      <xdr:nvSpPr>
        <xdr:cNvPr id="4" name="Rectangle: Rounded Corners 3">
          <a:extLst>
            <a:ext uri="{FF2B5EF4-FFF2-40B4-BE49-F238E27FC236}">
              <a16:creationId xmlns:a16="http://schemas.microsoft.com/office/drawing/2014/main" id="{2F51CC8B-FE17-6891-F816-9BD247D61D1C}"/>
            </a:ext>
          </a:extLst>
        </xdr:cNvPr>
        <xdr:cNvSpPr/>
      </xdr:nvSpPr>
      <xdr:spPr>
        <a:xfrm>
          <a:off x="5699760" y="1165860"/>
          <a:ext cx="1859280" cy="693420"/>
        </a:xfrm>
        <a:prstGeom prst="roundRect">
          <a:avLst/>
        </a:prstGeom>
        <a:effectLst>
          <a:innerShdw blurRad="63500" dist="50800" dir="13500000">
            <a:prstClr val="black">
              <a:alpha val="50000"/>
            </a:prstClr>
          </a:innerShdw>
        </a:effectLst>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r>
            <a:rPr lang="en-US" sz="1400" b="1">
              <a:solidFill>
                <a:schemeClr val="dk1"/>
              </a:solidFill>
              <a:latin typeface="+mn-lt"/>
              <a:ea typeface="+mn-ea"/>
              <a:cs typeface="+mn-cs"/>
            </a:rPr>
            <a:t>Target Achieved</a:t>
          </a:r>
          <a:r>
            <a:rPr lang="en-US" sz="1400" b="1" baseline="0">
              <a:solidFill>
                <a:schemeClr val="dk1"/>
              </a:solidFill>
              <a:latin typeface="+mn-lt"/>
              <a:ea typeface="+mn-ea"/>
              <a:cs typeface="+mn-cs"/>
            </a:rPr>
            <a:t> Rate</a:t>
          </a:r>
          <a:endParaRPr lang="en-US" sz="1400" b="1">
            <a:solidFill>
              <a:schemeClr val="dk1"/>
            </a:solidFill>
            <a:latin typeface="+mn-lt"/>
            <a:ea typeface="+mn-ea"/>
            <a:cs typeface="+mn-cs"/>
          </a:endParaRPr>
        </a:p>
      </xdr:txBody>
    </xdr:sp>
    <xdr:clientData/>
  </xdr:twoCellAnchor>
  <xdr:twoCellAnchor>
    <xdr:from>
      <xdr:col>3</xdr:col>
      <xdr:colOff>83820</xdr:colOff>
      <xdr:row>7</xdr:row>
      <xdr:rowOff>60960</xdr:rowOff>
    </xdr:from>
    <xdr:to>
      <xdr:col>5</xdr:col>
      <xdr:colOff>563880</xdr:colOff>
      <xdr:row>11</xdr:row>
      <xdr:rowOff>22860</xdr:rowOff>
    </xdr:to>
    <xdr:sp macro="" textlink="">
      <xdr:nvSpPr>
        <xdr:cNvPr id="5" name="Rectangle: Rounded Corners 4">
          <a:extLst>
            <a:ext uri="{FF2B5EF4-FFF2-40B4-BE49-F238E27FC236}">
              <a16:creationId xmlns:a16="http://schemas.microsoft.com/office/drawing/2014/main" id="{3011B56C-5953-2DC4-1508-1E4C4FF2A1A1}"/>
            </a:ext>
          </a:extLst>
        </xdr:cNvPr>
        <xdr:cNvSpPr/>
      </xdr:nvSpPr>
      <xdr:spPr>
        <a:xfrm>
          <a:off x="1912620" y="1158240"/>
          <a:ext cx="1699260" cy="693420"/>
        </a:xfrm>
        <a:prstGeom prst="roundRect">
          <a:avLst/>
        </a:prstGeom>
        <a:effectLst>
          <a:innerShdw blurRad="63500" dist="50800" dir="13500000">
            <a:prstClr val="black">
              <a:alpha val="50000"/>
            </a:prstClr>
          </a:innerShdw>
        </a:effectLst>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r>
            <a:rPr lang="en-US" sz="1400" b="1">
              <a:solidFill>
                <a:schemeClr val="dk1"/>
              </a:solidFill>
              <a:latin typeface="+mn-lt"/>
              <a:ea typeface="+mn-ea"/>
              <a:cs typeface="+mn-cs"/>
            </a:rPr>
            <a:t>Avg Of CSAT Score</a:t>
          </a:r>
        </a:p>
      </xdr:txBody>
    </xdr:sp>
    <xdr:clientData/>
  </xdr:twoCellAnchor>
  <xdr:twoCellAnchor>
    <xdr:from>
      <xdr:col>6</xdr:col>
      <xdr:colOff>106680</xdr:colOff>
      <xdr:row>7</xdr:row>
      <xdr:rowOff>60960</xdr:rowOff>
    </xdr:from>
    <xdr:to>
      <xdr:col>9</xdr:col>
      <xdr:colOff>76200</xdr:colOff>
      <xdr:row>11</xdr:row>
      <xdr:rowOff>22860</xdr:rowOff>
    </xdr:to>
    <xdr:sp macro="" textlink="">
      <xdr:nvSpPr>
        <xdr:cNvPr id="6" name="Rectangle: Rounded Corners 5">
          <a:extLst>
            <a:ext uri="{FF2B5EF4-FFF2-40B4-BE49-F238E27FC236}">
              <a16:creationId xmlns:a16="http://schemas.microsoft.com/office/drawing/2014/main" id="{977DF0BD-3AE3-19FF-EDE0-71C3A171AFE9}"/>
            </a:ext>
          </a:extLst>
        </xdr:cNvPr>
        <xdr:cNvSpPr/>
      </xdr:nvSpPr>
      <xdr:spPr>
        <a:xfrm>
          <a:off x="3764280" y="1158240"/>
          <a:ext cx="1798320" cy="693420"/>
        </a:xfrm>
        <a:prstGeom prst="roundRect">
          <a:avLst/>
        </a:prstGeom>
        <a:effectLst>
          <a:innerShdw blurRad="63500" dist="50800" dir="13500000">
            <a:prstClr val="black">
              <a:alpha val="50000"/>
            </a:prstClr>
          </a:innerShdw>
        </a:effectLst>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r>
            <a:rPr lang="en-US" sz="1400" b="1">
              <a:solidFill>
                <a:schemeClr val="dk1"/>
              </a:solidFill>
              <a:latin typeface="+mn-lt"/>
              <a:ea typeface="+mn-ea"/>
              <a:cs typeface="+mn-cs"/>
            </a:rPr>
            <a:t>Total Processing Fee</a:t>
          </a:r>
        </a:p>
      </xdr:txBody>
    </xdr:sp>
    <xdr:clientData/>
  </xdr:twoCellAnchor>
  <xdr:twoCellAnchor>
    <xdr:from>
      <xdr:col>12</xdr:col>
      <xdr:colOff>373380</xdr:colOff>
      <xdr:row>7</xdr:row>
      <xdr:rowOff>68580</xdr:rowOff>
    </xdr:from>
    <xdr:to>
      <xdr:col>16</xdr:col>
      <xdr:colOff>167640</xdr:colOff>
      <xdr:row>11</xdr:row>
      <xdr:rowOff>30480</xdr:rowOff>
    </xdr:to>
    <xdr:sp macro="" textlink="">
      <xdr:nvSpPr>
        <xdr:cNvPr id="7" name="Rectangle: Rounded Corners 6">
          <a:extLst>
            <a:ext uri="{FF2B5EF4-FFF2-40B4-BE49-F238E27FC236}">
              <a16:creationId xmlns:a16="http://schemas.microsoft.com/office/drawing/2014/main" id="{BD0F49E6-C345-EE0A-D701-ADD57643F29C}"/>
            </a:ext>
          </a:extLst>
        </xdr:cNvPr>
        <xdr:cNvSpPr/>
      </xdr:nvSpPr>
      <xdr:spPr>
        <a:xfrm>
          <a:off x="7688580" y="1165860"/>
          <a:ext cx="2232660" cy="693420"/>
        </a:xfrm>
        <a:prstGeom prst="roundRect">
          <a:avLst/>
        </a:prstGeom>
        <a:effectLst>
          <a:innerShdw blurRad="63500" dist="50800" dir="13500000">
            <a:prstClr val="black">
              <a:alpha val="50000"/>
            </a:prstClr>
          </a:innerShdw>
        </a:effectLst>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r>
            <a:rPr lang="en-US" sz="1400" b="1">
              <a:solidFill>
                <a:schemeClr val="dk1"/>
              </a:solidFill>
              <a:latin typeface="+mn-lt"/>
              <a:ea typeface="+mn-ea"/>
              <a:cs typeface="+mn-cs"/>
            </a:rPr>
            <a:t>Target Not Achieved Rate</a:t>
          </a:r>
        </a:p>
      </xdr:txBody>
    </xdr:sp>
    <xdr:clientData/>
  </xdr:twoCellAnchor>
  <xdr:twoCellAnchor>
    <xdr:from>
      <xdr:col>16</xdr:col>
      <xdr:colOff>281940</xdr:colOff>
      <xdr:row>7</xdr:row>
      <xdr:rowOff>60960</xdr:rowOff>
    </xdr:from>
    <xdr:to>
      <xdr:col>19</xdr:col>
      <xdr:colOff>243840</xdr:colOff>
      <xdr:row>11</xdr:row>
      <xdr:rowOff>22860</xdr:rowOff>
    </xdr:to>
    <xdr:sp macro="" textlink="">
      <xdr:nvSpPr>
        <xdr:cNvPr id="8" name="Rectangle: Rounded Corners 7">
          <a:extLst>
            <a:ext uri="{FF2B5EF4-FFF2-40B4-BE49-F238E27FC236}">
              <a16:creationId xmlns:a16="http://schemas.microsoft.com/office/drawing/2014/main" id="{BBF722D1-E50B-BED8-E5D7-05DE4D9D66D5}"/>
            </a:ext>
          </a:extLst>
        </xdr:cNvPr>
        <xdr:cNvSpPr/>
      </xdr:nvSpPr>
      <xdr:spPr>
        <a:xfrm>
          <a:off x="10035540" y="1158240"/>
          <a:ext cx="1790700" cy="693420"/>
        </a:xfrm>
        <a:prstGeom prst="roundRect">
          <a:avLst/>
        </a:prstGeom>
        <a:effectLst>
          <a:innerShdw blurRad="63500" dist="50800" dir="13500000">
            <a:prstClr val="black">
              <a:alpha val="50000"/>
            </a:prstClr>
          </a:innerShdw>
        </a:effectLst>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r>
            <a:rPr lang="en-US" sz="1400" b="1">
              <a:solidFill>
                <a:schemeClr val="dk1"/>
              </a:solidFill>
              <a:latin typeface="+mn-lt"/>
              <a:ea typeface="+mn-ea"/>
              <a:cs typeface="+mn-cs"/>
            </a:rPr>
            <a:t>Net Processing Yield</a:t>
          </a:r>
        </a:p>
      </xdr:txBody>
    </xdr:sp>
    <xdr:clientData/>
  </xdr:twoCellAnchor>
  <xdr:twoCellAnchor>
    <xdr:from>
      <xdr:col>0</xdr:col>
      <xdr:colOff>480061</xdr:colOff>
      <xdr:row>9</xdr:row>
      <xdr:rowOff>7620</xdr:rowOff>
    </xdr:from>
    <xdr:to>
      <xdr:col>2</xdr:col>
      <xdr:colOff>228600</xdr:colOff>
      <xdr:row>10</xdr:row>
      <xdr:rowOff>137160</xdr:rowOff>
    </xdr:to>
    <xdr:sp macro="" textlink="Pivot_Table_KPI!$B$32">
      <xdr:nvSpPr>
        <xdr:cNvPr id="9" name="Rectangle 8">
          <a:extLst>
            <a:ext uri="{FF2B5EF4-FFF2-40B4-BE49-F238E27FC236}">
              <a16:creationId xmlns:a16="http://schemas.microsoft.com/office/drawing/2014/main" id="{6CD33D3F-6A5E-4973-89C3-C220B33AB140}"/>
            </a:ext>
          </a:extLst>
        </xdr:cNvPr>
        <xdr:cNvSpPr/>
      </xdr:nvSpPr>
      <xdr:spPr>
        <a:xfrm>
          <a:off x="480061" y="1470660"/>
          <a:ext cx="967739" cy="312420"/>
        </a:xfrm>
        <a:prstGeom prst="rect">
          <a:avLst/>
        </a:prstGeom>
        <a:effectLst>
          <a:innerShdw blurRad="63500" dist="50800" dir="13500000">
            <a:prstClr val="black">
              <a:alpha val="50000"/>
            </a:prstClr>
          </a:innerShdw>
        </a:effectLst>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ctr"/>
          <a:fld id="{E29B5C14-3116-48C6-BE8E-90B17D7BC632}" type="TxLink">
            <a:rPr lang="en-US" sz="1600" b="1">
              <a:solidFill>
                <a:schemeClr val="dk1"/>
              </a:solidFill>
              <a:latin typeface="+mn-lt"/>
              <a:ea typeface="+mn-ea"/>
              <a:cs typeface="+mn-cs"/>
            </a:rPr>
            <a:pPr marL="0" indent="0" algn="ctr"/>
            <a:t>24568179.86</a:t>
          </a:fld>
          <a:endParaRPr lang="en-US" sz="1600" b="1">
            <a:solidFill>
              <a:schemeClr val="dk1"/>
            </a:solidFill>
            <a:latin typeface="+mn-lt"/>
            <a:ea typeface="+mn-ea"/>
            <a:cs typeface="+mn-cs"/>
          </a:endParaRPr>
        </a:p>
      </xdr:txBody>
    </xdr:sp>
    <xdr:clientData/>
  </xdr:twoCellAnchor>
  <xdr:twoCellAnchor>
    <xdr:from>
      <xdr:col>3</xdr:col>
      <xdr:colOff>411480</xdr:colOff>
      <xdr:row>9</xdr:row>
      <xdr:rowOff>22860</xdr:rowOff>
    </xdr:from>
    <xdr:to>
      <xdr:col>5</xdr:col>
      <xdr:colOff>161544</xdr:colOff>
      <xdr:row>10</xdr:row>
      <xdr:rowOff>150876</xdr:rowOff>
    </xdr:to>
    <xdr:sp macro="" textlink="Pivot_Table_KPI!$L$33">
      <xdr:nvSpPr>
        <xdr:cNvPr id="10" name="Rectangle 9">
          <a:extLst>
            <a:ext uri="{FF2B5EF4-FFF2-40B4-BE49-F238E27FC236}">
              <a16:creationId xmlns:a16="http://schemas.microsoft.com/office/drawing/2014/main" id="{B28E5A2D-0B23-4C5E-8F5A-CE206F796904}"/>
            </a:ext>
          </a:extLst>
        </xdr:cNvPr>
        <xdr:cNvSpPr/>
      </xdr:nvSpPr>
      <xdr:spPr>
        <a:xfrm>
          <a:off x="2240280" y="1485900"/>
          <a:ext cx="969264" cy="310896"/>
        </a:xfrm>
        <a:prstGeom prst="rect">
          <a:avLst/>
        </a:prstGeom>
        <a:effectLst>
          <a:innerShdw blurRad="63500" dist="50800" dir="13500000">
            <a:prstClr val="black">
              <a:alpha val="50000"/>
            </a:prstClr>
          </a:innerShdw>
        </a:effectLst>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ctr"/>
          <a:fld id="{9AD5B248-8AE3-4E8E-83A4-4B911D440500}" type="TxLink">
            <a:rPr lang="en-US" sz="1600" b="1" i="0" u="none" strike="noStrike">
              <a:solidFill>
                <a:schemeClr val="dk1"/>
              </a:solidFill>
              <a:latin typeface="+mn-lt"/>
              <a:ea typeface="+mn-ea"/>
              <a:cs typeface="+mn-cs"/>
            </a:rPr>
            <a:pPr marL="0" indent="0" algn="ctr"/>
            <a:t>3.05</a:t>
          </a:fld>
          <a:endParaRPr lang="en-US" sz="1600" b="1">
            <a:solidFill>
              <a:schemeClr val="dk1"/>
            </a:solidFill>
            <a:latin typeface="+mn-lt"/>
            <a:ea typeface="+mn-ea"/>
            <a:cs typeface="+mn-cs"/>
          </a:endParaRPr>
        </a:p>
      </xdr:txBody>
    </xdr:sp>
    <xdr:clientData/>
  </xdr:twoCellAnchor>
  <xdr:twoCellAnchor>
    <xdr:from>
      <xdr:col>6</xdr:col>
      <xdr:colOff>525781</xdr:colOff>
      <xdr:row>9</xdr:row>
      <xdr:rowOff>22861</xdr:rowOff>
    </xdr:from>
    <xdr:to>
      <xdr:col>8</xdr:col>
      <xdr:colOff>275845</xdr:colOff>
      <xdr:row>10</xdr:row>
      <xdr:rowOff>150877</xdr:rowOff>
    </xdr:to>
    <xdr:sp macro="" textlink="Pivot_Table_KPI!S32">
      <xdr:nvSpPr>
        <xdr:cNvPr id="11" name="Rectangle 10">
          <a:extLst>
            <a:ext uri="{FF2B5EF4-FFF2-40B4-BE49-F238E27FC236}">
              <a16:creationId xmlns:a16="http://schemas.microsoft.com/office/drawing/2014/main" id="{7BB4CD36-6B58-43A6-9998-D23E0D53C828}"/>
            </a:ext>
          </a:extLst>
        </xdr:cNvPr>
        <xdr:cNvSpPr/>
      </xdr:nvSpPr>
      <xdr:spPr>
        <a:xfrm>
          <a:off x="4183381" y="1485901"/>
          <a:ext cx="969264" cy="310896"/>
        </a:xfrm>
        <a:prstGeom prst="rect">
          <a:avLst/>
        </a:prstGeom>
        <a:effectLst>
          <a:innerShdw blurRad="63500" dist="50800" dir="13500000">
            <a:prstClr val="black">
              <a:alpha val="50000"/>
            </a:prstClr>
          </a:innerShdw>
        </a:effectLst>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ctr"/>
          <a:fld id="{CF22BF80-F094-4EC0-9D82-E2E13FA50641}" type="TxLink">
            <a:rPr lang="en-US" sz="1600" b="1">
              <a:solidFill>
                <a:schemeClr val="dk1"/>
              </a:solidFill>
              <a:latin typeface="+mn-lt"/>
              <a:ea typeface="+mn-ea"/>
              <a:cs typeface="+mn-cs"/>
            </a:rPr>
            <a:pPr marL="0" indent="0" algn="ctr"/>
            <a:t>275304.9</a:t>
          </a:fld>
          <a:endParaRPr lang="en-US" sz="1600" b="1">
            <a:solidFill>
              <a:schemeClr val="dk1"/>
            </a:solidFill>
            <a:latin typeface="+mn-lt"/>
            <a:ea typeface="+mn-ea"/>
            <a:cs typeface="+mn-cs"/>
          </a:endParaRPr>
        </a:p>
      </xdr:txBody>
    </xdr:sp>
    <xdr:clientData/>
  </xdr:twoCellAnchor>
  <xdr:twoCellAnchor>
    <xdr:from>
      <xdr:col>10</xdr:col>
      <xdr:colOff>53340</xdr:colOff>
      <xdr:row>9</xdr:row>
      <xdr:rowOff>30480</xdr:rowOff>
    </xdr:from>
    <xdr:to>
      <xdr:col>11</xdr:col>
      <xdr:colOff>413004</xdr:colOff>
      <xdr:row>10</xdr:row>
      <xdr:rowOff>158496</xdr:rowOff>
    </xdr:to>
    <xdr:sp macro="" textlink="Pivot_Table_KPI!$I$26">
      <xdr:nvSpPr>
        <xdr:cNvPr id="12" name="Rectangle 11">
          <a:extLst>
            <a:ext uri="{FF2B5EF4-FFF2-40B4-BE49-F238E27FC236}">
              <a16:creationId xmlns:a16="http://schemas.microsoft.com/office/drawing/2014/main" id="{9C14B553-FE9A-4689-A8C1-2E04A7C39718}"/>
            </a:ext>
          </a:extLst>
        </xdr:cNvPr>
        <xdr:cNvSpPr/>
      </xdr:nvSpPr>
      <xdr:spPr>
        <a:xfrm>
          <a:off x="6149340" y="1493520"/>
          <a:ext cx="969264" cy="310896"/>
        </a:xfrm>
        <a:prstGeom prst="rect">
          <a:avLst/>
        </a:prstGeom>
        <a:effectLst>
          <a:innerShdw blurRad="63500" dist="50800" dir="13500000">
            <a:prstClr val="black">
              <a:alpha val="50000"/>
            </a:prstClr>
          </a:innerShdw>
        </a:effectLst>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ctr"/>
          <a:fld id="{2D16BA2B-E646-4A91-AFE1-620FBBC4D21D}" type="TxLink">
            <a:rPr lang="en-US" sz="1600" b="1" i="0" u="none" strike="noStrike">
              <a:solidFill>
                <a:schemeClr val="dk1"/>
              </a:solidFill>
              <a:latin typeface="+mn-lt"/>
              <a:ea typeface="+mn-ea"/>
              <a:cs typeface="+mn-cs"/>
            </a:rPr>
            <a:pPr marL="0" indent="0" algn="ctr"/>
            <a:t>52%</a:t>
          </a:fld>
          <a:endParaRPr lang="en-US" sz="1600" b="1">
            <a:solidFill>
              <a:schemeClr val="dk1"/>
            </a:solidFill>
            <a:latin typeface="+mn-lt"/>
            <a:ea typeface="+mn-ea"/>
            <a:cs typeface="+mn-cs"/>
          </a:endParaRPr>
        </a:p>
      </xdr:txBody>
    </xdr:sp>
    <xdr:clientData/>
  </xdr:twoCellAnchor>
  <xdr:twoCellAnchor>
    <xdr:from>
      <xdr:col>13</xdr:col>
      <xdr:colOff>411480</xdr:colOff>
      <xdr:row>9</xdr:row>
      <xdr:rowOff>38100</xdr:rowOff>
    </xdr:from>
    <xdr:to>
      <xdr:col>15</xdr:col>
      <xdr:colOff>161544</xdr:colOff>
      <xdr:row>10</xdr:row>
      <xdr:rowOff>166116</xdr:rowOff>
    </xdr:to>
    <xdr:sp macro="" textlink="Pivot_Table_KPI!$I$27">
      <xdr:nvSpPr>
        <xdr:cNvPr id="13" name="Rectangle 12">
          <a:extLst>
            <a:ext uri="{FF2B5EF4-FFF2-40B4-BE49-F238E27FC236}">
              <a16:creationId xmlns:a16="http://schemas.microsoft.com/office/drawing/2014/main" id="{3C5C0737-C6B6-4B23-B022-5DDABE931CD5}"/>
            </a:ext>
          </a:extLst>
        </xdr:cNvPr>
        <xdr:cNvSpPr/>
      </xdr:nvSpPr>
      <xdr:spPr>
        <a:xfrm>
          <a:off x="8336280" y="1501140"/>
          <a:ext cx="969264" cy="310896"/>
        </a:xfrm>
        <a:prstGeom prst="rect">
          <a:avLst/>
        </a:prstGeom>
        <a:effectLst>
          <a:innerShdw blurRad="63500" dist="50800" dir="13500000">
            <a:prstClr val="black">
              <a:alpha val="50000"/>
            </a:prstClr>
          </a:innerShdw>
        </a:effectLst>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ctr"/>
          <a:fld id="{F2C2F0EC-1900-4224-AED4-A5F2FD5073BA}" type="TxLink">
            <a:rPr lang="en-US" sz="1600" b="1" i="0" u="none" strike="noStrike">
              <a:solidFill>
                <a:schemeClr val="dk1"/>
              </a:solidFill>
              <a:latin typeface="+mn-lt"/>
              <a:ea typeface="+mn-ea"/>
              <a:cs typeface="+mn-cs"/>
            </a:rPr>
            <a:pPr marL="0" indent="0" algn="ctr"/>
            <a:t>48%</a:t>
          </a:fld>
          <a:endParaRPr lang="en-US" sz="1600" b="1">
            <a:solidFill>
              <a:schemeClr val="dk1"/>
            </a:solidFill>
            <a:latin typeface="+mn-lt"/>
            <a:ea typeface="+mn-ea"/>
            <a:cs typeface="+mn-cs"/>
          </a:endParaRPr>
        </a:p>
      </xdr:txBody>
    </xdr:sp>
    <xdr:clientData/>
  </xdr:twoCellAnchor>
  <xdr:twoCellAnchor>
    <xdr:from>
      <xdr:col>17</xdr:col>
      <xdr:colOff>106680</xdr:colOff>
      <xdr:row>9</xdr:row>
      <xdr:rowOff>30480</xdr:rowOff>
    </xdr:from>
    <xdr:to>
      <xdr:col>18</xdr:col>
      <xdr:colOff>466344</xdr:colOff>
      <xdr:row>10</xdr:row>
      <xdr:rowOff>158496</xdr:rowOff>
    </xdr:to>
    <xdr:sp macro="" textlink="Pivot_Table_KPI!$S$32">
      <xdr:nvSpPr>
        <xdr:cNvPr id="14" name="Rectangle 13">
          <a:extLst>
            <a:ext uri="{FF2B5EF4-FFF2-40B4-BE49-F238E27FC236}">
              <a16:creationId xmlns:a16="http://schemas.microsoft.com/office/drawing/2014/main" id="{74F6A971-7266-4424-B25B-1F18A320BFC9}"/>
            </a:ext>
          </a:extLst>
        </xdr:cNvPr>
        <xdr:cNvSpPr/>
      </xdr:nvSpPr>
      <xdr:spPr>
        <a:xfrm>
          <a:off x="10469880" y="1493520"/>
          <a:ext cx="969264" cy="310896"/>
        </a:xfrm>
        <a:prstGeom prst="rect">
          <a:avLst/>
        </a:prstGeom>
        <a:effectLst>
          <a:innerShdw blurRad="63500" dist="50800" dir="13500000">
            <a:prstClr val="black">
              <a:alpha val="50000"/>
            </a:prstClr>
          </a:innerShdw>
        </a:effectLst>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ctr"/>
          <a:fld id="{F1FF50A2-9704-4E4E-8D67-BEA5474DF158}" type="TxLink">
            <a:rPr lang="en-US" sz="1600" b="1" i="0" u="none" strike="noStrike">
              <a:solidFill>
                <a:schemeClr val="dk1"/>
              </a:solidFill>
              <a:latin typeface="+mn-lt"/>
              <a:ea typeface="+mn-ea"/>
              <a:cs typeface="+mn-cs"/>
            </a:rPr>
            <a:pPr marL="0" indent="0" algn="ctr"/>
            <a:t>275304.9</a:t>
          </a:fld>
          <a:endParaRPr lang="en-US" sz="1600" b="1">
            <a:solidFill>
              <a:schemeClr val="dk1"/>
            </a:solidFill>
            <a:latin typeface="+mn-lt"/>
            <a:ea typeface="+mn-ea"/>
            <a:cs typeface="+mn-cs"/>
          </a:endParaRPr>
        </a:p>
      </xdr:txBody>
    </xdr:sp>
    <xdr:clientData/>
  </xdr:twoCellAnchor>
  <xdr:twoCellAnchor>
    <xdr:from>
      <xdr:col>0</xdr:col>
      <xdr:colOff>60960</xdr:colOff>
      <xdr:row>12</xdr:row>
      <xdr:rowOff>38100</xdr:rowOff>
    </xdr:from>
    <xdr:to>
      <xdr:col>6</xdr:col>
      <xdr:colOff>365760</xdr:colOff>
      <xdr:row>28</xdr:row>
      <xdr:rowOff>62753</xdr:rowOff>
    </xdr:to>
    <xdr:graphicFrame macro="">
      <xdr:nvGraphicFramePr>
        <xdr:cNvPr id="15" name="Chart 14">
          <a:extLst>
            <a:ext uri="{FF2B5EF4-FFF2-40B4-BE49-F238E27FC236}">
              <a16:creationId xmlns:a16="http://schemas.microsoft.com/office/drawing/2014/main" id="{70198BBC-66E3-41E7-8862-E29848BC20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480060</xdr:colOff>
      <xdr:row>12</xdr:row>
      <xdr:rowOff>45720</xdr:rowOff>
    </xdr:from>
    <xdr:to>
      <xdr:col>14</xdr:col>
      <xdr:colOff>518160</xdr:colOff>
      <xdr:row>28</xdr:row>
      <xdr:rowOff>38100</xdr:rowOff>
    </xdr:to>
    <xdr:graphicFrame macro="">
      <xdr:nvGraphicFramePr>
        <xdr:cNvPr id="16" name="Chart 15">
          <a:extLst>
            <a:ext uri="{FF2B5EF4-FFF2-40B4-BE49-F238E27FC236}">
              <a16:creationId xmlns:a16="http://schemas.microsoft.com/office/drawing/2014/main" id="{1CB125BB-EB58-4E54-A166-CCAA777800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1344</xdr:colOff>
      <xdr:row>20</xdr:row>
      <xdr:rowOff>68579</xdr:rowOff>
    </xdr:from>
    <xdr:to>
      <xdr:col>19</xdr:col>
      <xdr:colOff>430306</xdr:colOff>
      <xdr:row>28</xdr:row>
      <xdr:rowOff>62752</xdr:rowOff>
    </xdr:to>
    <xdr:graphicFrame macro="">
      <xdr:nvGraphicFramePr>
        <xdr:cNvPr id="17" name="Chart 16">
          <a:extLst>
            <a:ext uri="{FF2B5EF4-FFF2-40B4-BE49-F238E27FC236}">
              <a16:creationId xmlns:a16="http://schemas.microsoft.com/office/drawing/2014/main" id="{839A90F6-DDBD-4914-8592-98EEF5A1E9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0</xdr:colOff>
      <xdr:row>12</xdr:row>
      <xdr:rowOff>53789</xdr:rowOff>
    </xdr:from>
    <xdr:to>
      <xdr:col>19</xdr:col>
      <xdr:colOff>421341</xdr:colOff>
      <xdr:row>20</xdr:row>
      <xdr:rowOff>0</xdr:rowOff>
    </xdr:to>
    <xdr:graphicFrame macro="">
      <xdr:nvGraphicFramePr>
        <xdr:cNvPr id="18" name="Chart 17">
          <a:extLst>
            <a:ext uri="{FF2B5EF4-FFF2-40B4-BE49-F238E27FC236}">
              <a16:creationId xmlns:a16="http://schemas.microsoft.com/office/drawing/2014/main" id="{7E8D37D0-F304-4CD7-9CFB-8C68F2CEEE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80685</xdr:colOff>
      <xdr:row>29</xdr:row>
      <xdr:rowOff>0</xdr:rowOff>
    </xdr:from>
    <xdr:to>
      <xdr:col>6</xdr:col>
      <xdr:colOff>394447</xdr:colOff>
      <xdr:row>46</xdr:row>
      <xdr:rowOff>23523</xdr:rowOff>
    </xdr:to>
    <mc:AlternateContent xmlns:mc="http://schemas.openxmlformats.org/markup-compatibility/2006">
      <mc:Choice xmlns:cx2="http://schemas.microsoft.com/office/drawing/2015/10/21/chartex" Requires="cx2">
        <xdr:graphicFrame macro="">
          <xdr:nvGraphicFramePr>
            <xdr:cNvPr id="19" name="Chart 18">
              <a:extLst>
                <a:ext uri="{FF2B5EF4-FFF2-40B4-BE49-F238E27FC236}">
                  <a16:creationId xmlns:a16="http://schemas.microsoft.com/office/drawing/2014/main" id="{81A6634C-F763-4D6A-8F37-FC77559C0AD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80685" y="5020235"/>
              <a:ext cx="3971362" cy="307152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519953</xdr:colOff>
      <xdr:row>29</xdr:row>
      <xdr:rowOff>8964</xdr:rowOff>
    </xdr:from>
    <xdr:to>
      <xdr:col>19</xdr:col>
      <xdr:colOff>421340</xdr:colOff>
      <xdr:row>46</xdr:row>
      <xdr:rowOff>17929</xdr:rowOff>
    </xdr:to>
    <mc:AlternateContent xmlns:mc="http://schemas.openxmlformats.org/markup-compatibility/2006">
      <mc:Choice xmlns:cx1="http://schemas.microsoft.com/office/drawing/2015/9/8/chartex" Requires="cx1">
        <xdr:graphicFrame macro="">
          <xdr:nvGraphicFramePr>
            <xdr:cNvPr id="20" name="Chart 19">
              <a:extLst>
                <a:ext uri="{FF2B5EF4-FFF2-40B4-BE49-F238E27FC236}">
                  <a16:creationId xmlns:a16="http://schemas.microsoft.com/office/drawing/2014/main" id="{4F656859-ADD0-4DF9-B14E-F95A7262E59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4177553" y="5029199"/>
              <a:ext cx="7826187" cy="305696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19</xdr:col>
      <xdr:colOff>564776</xdr:colOff>
      <xdr:row>0</xdr:row>
      <xdr:rowOff>130622</xdr:rowOff>
    </xdr:from>
    <xdr:to>
      <xdr:col>22</xdr:col>
      <xdr:colOff>564776</xdr:colOff>
      <xdr:row>10</xdr:row>
      <xdr:rowOff>76835</xdr:rowOff>
    </xdr:to>
    <mc:AlternateContent xmlns:mc="http://schemas.openxmlformats.org/markup-compatibility/2006">
      <mc:Choice xmlns:a14="http://schemas.microsoft.com/office/drawing/2010/main" Requires="a14">
        <xdr:graphicFrame macro="">
          <xdr:nvGraphicFramePr>
            <xdr:cNvPr id="22" name="Product 2">
              <a:extLst>
                <a:ext uri="{FF2B5EF4-FFF2-40B4-BE49-F238E27FC236}">
                  <a16:creationId xmlns:a16="http://schemas.microsoft.com/office/drawing/2014/main" id="{6B8E9B25-9F09-451F-A2B8-79D322BD35F6}"/>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12093554" y="130622"/>
              <a:ext cx="1820333" cy="17806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555812</xdr:colOff>
      <xdr:row>11</xdr:row>
      <xdr:rowOff>23688</xdr:rowOff>
    </xdr:from>
    <xdr:to>
      <xdr:col>22</xdr:col>
      <xdr:colOff>555812</xdr:colOff>
      <xdr:row>20</xdr:row>
      <xdr:rowOff>121177</xdr:rowOff>
    </xdr:to>
    <mc:AlternateContent xmlns:mc="http://schemas.openxmlformats.org/markup-compatibility/2006">
      <mc:Choice xmlns:a14="http://schemas.microsoft.com/office/drawing/2010/main" Requires="a14">
        <xdr:graphicFrame macro="">
          <xdr:nvGraphicFramePr>
            <xdr:cNvPr id="23" name="Region 2">
              <a:extLst>
                <a:ext uri="{FF2B5EF4-FFF2-40B4-BE49-F238E27FC236}">
                  <a16:creationId xmlns:a16="http://schemas.microsoft.com/office/drawing/2014/main" id="{E4D17E0B-6D13-4417-A501-89B3704E9ABC}"/>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dr:sp macro="" textlink="">
          <xdr:nvSpPr>
            <xdr:cNvPr id="0" name=""/>
            <xdr:cNvSpPr>
              <a:spLocks noTextEdit="1"/>
            </xdr:cNvSpPr>
          </xdr:nvSpPr>
          <xdr:spPr>
            <a:xfrm>
              <a:off x="12084590" y="2041577"/>
              <a:ext cx="1820333" cy="17484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555812</xdr:colOff>
      <xdr:row>21</xdr:row>
      <xdr:rowOff>22412</xdr:rowOff>
    </xdr:from>
    <xdr:to>
      <xdr:col>22</xdr:col>
      <xdr:colOff>555812</xdr:colOff>
      <xdr:row>30</xdr:row>
      <xdr:rowOff>110523</xdr:rowOff>
    </xdr:to>
    <mc:AlternateContent xmlns:mc="http://schemas.openxmlformats.org/markup-compatibility/2006">
      <mc:Choice xmlns:a14="http://schemas.microsoft.com/office/drawing/2010/main" Requires="a14">
        <xdr:graphicFrame macro="">
          <xdr:nvGraphicFramePr>
            <xdr:cNvPr id="24" name="Lead Source 2">
              <a:extLst>
                <a:ext uri="{FF2B5EF4-FFF2-40B4-BE49-F238E27FC236}">
                  <a16:creationId xmlns:a16="http://schemas.microsoft.com/office/drawing/2014/main" id="{83EB00B3-D812-4951-A07D-6B79B5AFB100}"/>
                </a:ext>
              </a:extLst>
            </xdr:cNvPr>
            <xdr:cNvGraphicFramePr/>
          </xdr:nvGraphicFramePr>
          <xdr:xfrm>
            <a:off x="0" y="0"/>
            <a:ext cx="0" cy="0"/>
          </xdr:xfrm>
          <a:graphic>
            <a:graphicData uri="http://schemas.microsoft.com/office/drawing/2010/slicer">
              <sle:slicer xmlns:sle="http://schemas.microsoft.com/office/drawing/2010/slicer" name="Lead Source 2"/>
            </a:graphicData>
          </a:graphic>
        </xdr:graphicFrame>
      </mc:Choice>
      <mc:Fallback>
        <xdr:sp macro="" textlink="">
          <xdr:nvSpPr>
            <xdr:cNvPr id="0" name=""/>
            <xdr:cNvSpPr>
              <a:spLocks noTextEdit="1"/>
            </xdr:cNvSpPr>
          </xdr:nvSpPr>
          <xdr:spPr>
            <a:xfrm>
              <a:off x="12084590" y="3874745"/>
              <a:ext cx="1820333" cy="17391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564776</xdr:colOff>
      <xdr:row>31</xdr:row>
      <xdr:rowOff>10239</xdr:rowOff>
    </xdr:from>
    <xdr:to>
      <xdr:col>22</xdr:col>
      <xdr:colOff>564776</xdr:colOff>
      <xdr:row>37</xdr:row>
      <xdr:rowOff>78435</xdr:rowOff>
    </xdr:to>
    <mc:AlternateContent xmlns:mc="http://schemas.openxmlformats.org/markup-compatibility/2006">
      <mc:Choice xmlns:a14="http://schemas.microsoft.com/office/drawing/2010/main" Requires="a14">
        <xdr:graphicFrame macro="">
          <xdr:nvGraphicFramePr>
            <xdr:cNvPr id="25" name="Value Tier 2">
              <a:extLst>
                <a:ext uri="{FF2B5EF4-FFF2-40B4-BE49-F238E27FC236}">
                  <a16:creationId xmlns:a16="http://schemas.microsoft.com/office/drawing/2014/main" id="{4B221852-93FD-455B-8870-820F44FB2348}"/>
                </a:ext>
              </a:extLst>
            </xdr:cNvPr>
            <xdr:cNvGraphicFramePr/>
          </xdr:nvGraphicFramePr>
          <xdr:xfrm>
            <a:off x="0" y="0"/>
            <a:ext cx="0" cy="0"/>
          </xdr:xfrm>
          <a:graphic>
            <a:graphicData uri="http://schemas.microsoft.com/office/drawing/2010/slicer">
              <sle:slicer xmlns:sle="http://schemas.microsoft.com/office/drawing/2010/slicer" name="Value Tier 2"/>
            </a:graphicData>
          </a:graphic>
        </xdr:graphicFrame>
      </mc:Choice>
      <mc:Fallback>
        <xdr:sp macro="" textlink="">
          <xdr:nvSpPr>
            <xdr:cNvPr id="0" name=""/>
            <xdr:cNvSpPr>
              <a:spLocks noTextEdit="1"/>
            </xdr:cNvSpPr>
          </xdr:nvSpPr>
          <xdr:spPr>
            <a:xfrm>
              <a:off x="12093554" y="5697017"/>
              <a:ext cx="1820333" cy="11688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555811</xdr:colOff>
      <xdr:row>37</xdr:row>
      <xdr:rowOff>170324</xdr:rowOff>
    </xdr:from>
    <xdr:to>
      <xdr:col>22</xdr:col>
      <xdr:colOff>555811</xdr:colOff>
      <xdr:row>46</xdr:row>
      <xdr:rowOff>2298</xdr:rowOff>
    </xdr:to>
    <mc:AlternateContent xmlns:mc="http://schemas.openxmlformats.org/markup-compatibility/2006">
      <mc:Choice xmlns:a14="http://schemas.microsoft.com/office/drawing/2010/main" Requires="a14">
        <xdr:graphicFrame macro="">
          <xdr:nvGraphicFramePr>
            <xdr:cNvPr id="26" name="Customer Segment 2">
              <a:extLst>
                <a:ext uri="{FF2B5EF4-FFF2-40B4-BE49-F238E27FC236}">
                  <a16:creationId xmlns:a16="http://schemas.microsoft.com/office/drawing/2014/main" id="{D66EC887-CEDF-472C-89DE-BA741B5060E0}"/>
                </a:ext>
              </a:extLst>
            </xdr:cNvPr>
            <xdr:cNvGraphicFramePr/>
          </xdr:nvGraphicFramePr>
          <xdr:xfrm>
            <a:off x="0" y="0"/>
            <a:ext cx="0" cy="0"/>
          </xdr:xfrm>
          <a:graphic>
            <a:graphicData uri="http://schemas.microsoft.com/office/drawing/2010/slicer">
              <sle:slicer xmlns:sle="http://schemas.microsoft.com/office/drawing/2010/slicer" name="Customer Segment 2"/>
            </a:graphicData>
          </a:graphic>
        </xdr:graphicFrame>
      </mc:Choice>
      <mc:Fallback>
        <xdr:sp macro="" textlink="">
          <xdr:nvSpPr>
            <xdr:cNvPr id="0" name=""/>
            <xdr:cNvSpPr>
              <a:spLocks noTextEdit="1"/>
            </xdr:cNvSpPr>
          </xdr:nvSpPr>
          <xdr:spPr>
            <a:xfrm>
              <a:off x="12084589" y="6957768"/>
              <a:ext cx="1820333" cy="14829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12</xdr:col>
      <xdr:colOff>555171</xdr:colOff>
      <xdr:row>0</xdr:row>
      <xdr:rowOff>76200</xdr:rowOff>
    </xdr:from>
    <xdr:to>
      <xdr:col>19</xdr:col>
      <xdr:colOff>505865</xdr:colOff>
      <xdr:row>6</xdr:row>
      <xdr:rowOff>146957</xdr:rowOff>
    </xdr:to>
    <mc:AlternateContent xmlns:mc="http://schemas.openxmlformats.org/markup-compatibility/2006">
      <mc:Choice xmlns:tsle="http://schemas.microsoft.com/office/drawing/2012/timeslicer" Requires="tsle">
        <xdr:graphicFrame macro="">
          <xdr:nvGraphicFramePr>
            <xdr:cNvPr id="27" name="Date 2">
              <a:extLst>
                <a:ext uri="{FF2B5EF4-FFF2-40B4-BE49-F238E27FC236}">
                  <a16:creationId xmlns:a16="http://schemas.microsoft.com/office/drawing/2014/main" id="{098BB755-A4BC-43C5-96C7-435DF8C19D10}"/>
                </a:ext>
              </a:extLst>
            </xdr:cNvPr>
            <xdr:cNvGraphicFramePr>
              <a:graphicFrameLocks noChangeAspect="1"/>
            </xdr:cNvGraphicFramePr>
          </xdr:nvGraphicFramePr>
          <xdr:xfrm>
            <a:off x="0" y="0"/>
            <a:ext cx="0" cy="0"/>
          </xdr:xfrm>
          <a:graphic>
            <a:graphicData uri="http://schemas.microsoft.com/office/drawing/2012/timeslicer">
              <tsle:timeslicer xmlns:tsle="http://schemas.microsoft.com/office/drawing/2012/timeslicer" name="Date 2"/>
            </a:graphicData>
          </a:graphic>
        </xdr:graphicFrame>
      </mc:Choice>
      <mc:Fallback>
        <xdr:sp macro="" textlink="">
          <xdr:nvSpPr>
            <xdr:cNvPr id="0" name=""/>
            <xdr:cNvSpPr>
              <a:spLocks noTextEdit="1"/>
            </xdr:cNvSpPr>
          </xdr:nvSpPr>
          <xdr:spPr>
            <a:xfrm>
              <a:off x="7836504" y="76200"/>
              <a:ext cx="4198139" cy="1171424"/>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shank shukla" refreshedDate="46242.58855601852" createdVersion="8" refreshedVersion="8" minRefreshableVersion="3" recordCount="1000" xr:uid="{26099B6A-7D7F-44F5-ADCF-0E3B22CA4C6F}">
  <cacheSource type="worksheet">
    <worksheetSource name="Table15"/>
  </cacheSource>
  <cacheFields count="22">
    <cacheField name="Transaction ID" numFmtId="0">
      <sharedItems/>
    </cacheField>
    <cacheField name="Date" numFmtId="14">
      <sharedItems containsSemiMixedTypes="0" containsNonDate="0" containsDate="1" containsString="0" minDate="2025-08-01T00:00:00" maxDate="2026-08-02T00:00:00" count="338">
        <d v="2026-03-07T00:00:00"/>
        <d v="2025-12-16T00:00:00"/>
        <d v="2025-08-17T00:00:00"/>
        <d v="2025-12-24T00:00:00"/>
        <d v="2025-11-19T00:00:00"/>
        <d v="2026-05-28T00:00:00"/>
        <d v="2026-04-20T00:00:00"/>
        <d v="2026-07-23T00:00:00"/>
        <d v="2026-02-13T00:00:00"/>
        <d v="2026-07-27T00:00:00"/>
        <d v="2025-10-15T00:00:00"/>
        <d v="2026-06-30T00:00:00"/>
        <d v="2026-02-23T00:00:00"/>
        <d v="2025-09-27T00:00:00"/>
        <d v="2026-04-25T00:00:00"/>
        <d v="2026-07-05T00:00:00"/>
        <d v="2026-01-07T00:00:00"/>
        <d v="2025-11-27T00:00:00"/>
        <d v="2026-05-24T00:00:00"/>
        <d v="2025-12-21T00:00:00"/>
        <d v="2026-06-01T00:00:00"/>
        <d v="2026-05-30T00:00:00"/>
        <d v="2026-06-02T00:00:00"/>
        <d v="2026-04-12T00:00:00"/>
        <d v="2026-04-21T00:00:00"/>
        <d v="2026-07-06T00:00:00"/>
        <d v="2025-11-11T00:00:00"/>
        <d v="2026-07-01T00:00:00"/>
        <d v="2026-06-05T00:00:00"/>
        <d v="2026-05-10T00:00:00"/>
        <d v="2026-03-24T00:00:00"/>
        <d v="2026-07-16T00:00:00"/>
        <d v="2025-08-21T00:00:00"/>
        <d v="2025-11-13T00:00:00"/>
        <d v="2025-08-30T00:00:00"/>
        <d v="2026-07-18T00:00:00"/>
        <d v="2026-04-22T00:00:00"/>
        <d v="2026-04-14T00:00:00"/>
        <d v="2026-02-01T00:00:00"/>
        <d v="2026-01-03T00:00:00"/>
        <d v="2025-12-20T00:00:00"/>
        <d v="2026-03-20T00:00:00"/>
        <d v="2026-02-28T00:00:00"/>
        <d v="2026-01-02T00:00:00"/>
        <d v="2025-12-09T00:00:00"/>
        <d v="2026-05-13T00:00:00"/>
        <d v="2025-11-29T00:00:00"/>
        <d v="2025-09-14T00:00:00"/>
        <d v="2026-03-05T00:00:00"/>
        <d v="2026-05-07T00:00:00"/>
        <d v="2025-09-04T00:00:00"/>
        <d v="2025-10-12T00:00:00"/>
        <d v="2025-08-13T00:00:00"/>
        <d v="2025-08-02T00:00:00"/>
        <d v="2025-10-11T00:00:00"/>
        <d v="2026-07-11T00:00:00"/>
        <d v="2026-03-03T00:00:00"/>
        <d v="2026-07-22T00:00:00"/>
        <d v="2025-10-17T00:00:00"/>
        <d v="2026-01-20T00:00:00"/>
        <d v="2026-05-18T00:00:00"/>
        <d v="2026-03-15T00:00:00"/>
        <d v="2026-03-26T00:00:00"/>
        <d v="2026-03-08T00:00:00"/>
        <d v="2026-06-12T00:00:00"/>
        <d v="2025-09-22T00:00:00"/>
        <d v="2025-12-23T00:00:00"/>
        <d v="2026-03-09T00:00:00"/>
        <d v="2026-02-26T00:00:00"/>
        <d v="2026-04-30T00:00:00"/>
        <d v="2025-08-10T00:00:00"/>
        <d v="2026-05-05T00:00:00"/>
        <d v="2026-07-13T00:00:00"/>
        <d v="2026-05-11T00:00:00"/>
        <d v="2026-06-06T00:00:00"/>
        <d v="2026-07-21T00:00:00"/>
        <d v="2026-04-19T00:00:00"/>
        <d v="2026-02-19T00:00:00"/>
        <d v="2026-04-08T00:00:00"/>
        <d v="2026-04-15T00:00:00"/>
        <d v="2025-10-23T00:00:00"/>
        <d v="2026-05-12T00:00:00"/>
        <d v="2025-10-28T00:00:00"/>
        <d v="2025-10-26T00:00:00"/>
        <d v="2026-05-06T00:00:00"/>
        <d v="2026-01-09T00:00:00"/>
        <d v="2026-01-10T00:00:00"/>
        <d v="2025-09-19T00:00:00"/>
        <d v="2025-11-10T00:00:00"/>
        <d v="2026-01-16T00:00:00"/>
        <d v="2026-02-03T00:00:00"/>
        <d v="2025-11-23T00:00:00"/>
        <d v="2026-04-24T00:00:00"/>
        <d v="2026-07-25T00:00:00"/>
        <d v="2026-01-08T00:00:00"/>
        <d v="2026-01-27T00:00:00"/>
        <d v="2026-06-18T00:00:00"/>
        <d v="2025-12-14T00:00:00"/>
        <d v="2025-11-18T00:00:00"/>
        <d v="2026-02-14T00:00:00"/>
        <d v="2025-10-18T00:00:00"/>
        <d v="2025-09-10T00:00:00"/>
        <d v="2025-12-04T00:00:00"/>
        <d v="2025-11-05T00:00:00"/>
        <d v="2025-10-20T00:00:00"/>
        <d v="2026-06-19T00:00:00"/>
        <d v="2025-11-09T00:00:00"/>
        <d v="2025-12-03T00:00:00"/>
        <d v="2025-12-11T00:00:00"/>
        <d v="2026-06-21T00:00:00"/>
        <d v="2025-08-25T00:00:00"/>
        <d v="2025-09-11T00:00:00"/>
        <d v="2026-05-22T00:00:00"/>
        <d v="2025-09-15T00:00:00"/>
        <d v="2026-04-11T00:00:00"/>
        <d v="2025-09-17T00:00:00"/>
        <d v="2025-11-04T00:00:00"/>
        <d v="2026-02-11T00:00:00"/>
        <d v="2025-08-19T00:00:00"/>
        <d v="2025-09-03T00:00:00"/>
        <d v="2025-09-30T00:00:00"/>
        <d v="2026-04-05T00:00:00"/>
        <d v="2025-10-14T00:00:00"/>
        <d v="2026-02-02T00:00:00"/>
        <d v="2026-05-19T00:00:00"/>
        <d v="2026-01-18T00:00:00"/>
        <d v="2026-05-23T00:00:00"/>
        <d v="2025-09-29T00:00:00"/>
        <d v="2025-09-20T00:00:00"/>
        <d v="2026-06-17T00:00:00"/>
        <d v="2026-01-21T00:00:00"/>
        <d v="2025-10-27T00:00:00"/>
        <d v="2026-06-13T00:00:00"/>
        <d v="2025-08-18T00:00:00"/>
        <d v="2025-11-17T00:00:00"/>
        <d v="2026-07-28T00:00:00"/>
        <d v="2025-10-29T00:00:00"/>
        <d v="2025-09-18T00:00:00"/>
        <d v="2025-12-01T00:00:00"/>
        <d v="2025-09-02T00:00:00"/>
        <d v="2026-02-12T00:00:00"/>
        <d v="2025-08-22T00:00:00"/>
        <d v="2026-04-16T00:00:00"/>
        <d v="2026-07-31T00:00:00"/>
        <d v="2026-06-24T00:00:00"/>
        <d v="2025-10-24T00:00:00"/>
        <d v="2025-08-07T00:00:00"/>
        <d v="2025-11-14T00:00:00"/>
        <d v="2026-06-26T00:00:00"/>
        <d v="2025-12-18T00:00:00"/>
        <d v="2026-01-30T00:00:00"/>
        <d v="2026-04-10T00:00:00"/>
        <d v="2025-10-31T00:00:00"/>
        <d v="2026-04-17T00:00:00"/>
        <d v="2026-04-23T00:00:00"/>
        <d v="2025-10-03T00:00:00"/>
        <d v="2025-08-26T00:00:00"/>
        <d v="2026-01-24T00:00:00"/>
        <d v="2025-10-16T00:00:00"/>
        <d v="2025-12-07T00:00:00"/>
        <d v="2026-05-14T00:00:00"/>
        <d v="2026-03-10T00:00:00"/>
        <d v="2026-06-09T00:00:00"/>
        <d v="2025-08-12T00:00:00"/>
        <d v="2025-10-25T00:00:00"/>
        <d v="2026-07-04T00:00:00"/>
        <d v="2026-03-28T00:00:00"/>
        <d v="2026-01-19T00:00:00"/>
        <d v="2025-09-13T00:00:00"/>
        <d v="2026-05-26T00:00:00"/>
        <d v="2026-04-13T00:00:00"/>
        <d v="2025-12-30T00:00:00"/>
        <d v="2026-04-04T00:00:00"/>
        <d v="2026-07-08T00:00:00"/>
        <d v="2025-09-25T00:00:00"/>
        <d v="2026-02-10T00:00:00"/>
        <d v="2026-06-15T00:00:00"/>
        <d v="2025-10-06T00:00:00"/>
        <d v="2025-08-29T00:00:00"/>
        <d v="2026-04-06T00:00:00"/>
        <d v="2026-05-25T00:00:00"/>
        <d v="2025-10-01T00:00:00"/>
        <d v="2026-06-27T00:00:00"/>
        <d v="2026-03-31T00:00:00"/>
        <d v="2025-10-07T00:00:00"/>
        <d v="2025-08-27T00:00:00"/>
        <d v="2026-01-04T00:00:00"/>
        <d v="2026-01-06T00:00:00"/>
        <d v="2025-09-08T00:00:00"/>
        <d v="2026-05-08T00:00:00"/>
        <d v="2026-03-27T00:00:00"/>
        <d v="2026-03-30T00:00:00"/>
        <d v="2025-12-28T00:00:00"/>
        <d v="2025-10-08T00:00:00"/>
        <d v="2025-10-19T00:00:00"/>
        <d v="2025-10-02T00:00:00"/>
        <d v="2026-04-03T00:00:00"/>
        <d v="2025-08-31T00:00:00"/>
        <d v="2026-03-16T00:00:00"/>
        <d v="2026-03-17T00:00:00"/>
        <d v="2026-07-24T00:00:00"/>
        <d v="2026-01-26T00:00:00"/>
        <d v="2025-09-01T00:00:00"/>
        <d v="2025-11-02T00:00:00"/>
        <d v="2025-12-10T00:00:00"/>
        <d v="2026-07-12T00:00:00"/>
        <d v="2025-11-22T00:00:00"/>
        <d v="2026-04-18T00:00:00"/>
        <d v="2026-04-07T00:00:00"/>
        <d v="2026-05-09T00:00:00"/>
        <d v="2026-01-23T00:00:00"/>
        <d v="2026-04-28T00:00:00"/>
        <d v="2026-04-29T00:00:00"/>
        <d v="2026-02-08T00:00:00"/>
        <d v="2026-01-28T00:00:00"/>
        <d v="2025-09-05T00:00:00"/>
        <d v="2026-03-25T00:00:00"/>
        <d v="2026-06-04T00:00:00"/>
        <d v="2026-07-09T00:00:00"/>
        <d v="2025-10-05T00:00:00"/>
        <d v="2026-07-03T00:00:00"/>
        <d v="2025-12-08T00:00:00"/>
        <d v="2025-12-19T00:00:00"/>
        <d v="2025-12-05T00:00:00"/>
        <d v="2026-04-27T00:00:00"/>
        <d v="2026-05-02T00:00:00"/>
        <d v="2026-05-31T00:00:00"/>
        <d v="2025-11-20T00:00:00"/>
        <d v="2026-05-03T00:00:00"/>
        <d v="2026-02-15T00:00:00"/>
        <d v="2026-03-02T00:00:00"/>
        <d v="2025-11-21T00:00:00"/>
        <d v="2026-04-09T00:00:00"/>
        <d v="2026-03-29T00:00:00"/>
        <d v="2026-01-12T00:00:00"/>
        <d v="2026-03-01T00:00:00"/>
        <d v="2026-02-24T00:00:00"/>
        <d v="2026-01-01T00:00:00"/>
        <d v="2026-04-26T00:00:00"/>
        <d v="2025-11-28T00:00:00"/>
        <d v="2025-08-01T00:00:00"/>
        <d v="2026-03-11T00:00:00"/>
        <d v="2026-05-21T00:00:00"/>
        <d v="2026-06-23T00:00:00"/>
        <d v="2026-01-25T00:00:00"/>
        <d v="2025-12-22T00:00:00"/>
        <d v="2025-09-07T00:00:00"/>
        <d v="2026-07-15T00:00:00"/>
        <d v="2025-08-15T00:00:00"/>
        <d v="2025-12-17T00:00:00"/>
        <d v="2025-12-25T00:00:00"/>
        <d v="2026-07-29T00:00:00"/>
        <d v="2025-12-12T00:00:00"/>
        <d v="2026-05-27T00:00:00"/>
        <d v="2026-02-27T00:00:00"/>
        <d v="2026-06-07T00:00:00"/>
        <d v="2026-02-04T00:00:00"/>
        <d v="2025-10-13T00:00:00"/>
        <d v="2025-08-06T00:00:00"/>
        <d v="2025-08-20T00:00:00"/>
        <d v="2025-09-23T00:00:00"/>
        <d v="2025-12-02T00:00:00"/>
        <d v="2026-06-10T00:00:00"/>
        <d v="2025-08-03T00:00:00"/>
        <d v="2026-07-02T00:00:00"/>
        <d v="2026-07-07T00:00:00"/>
        <d v="2026-01-17T00:00:00"/>
        <d v="2025-10-21T00:00:00"/>
        <d v="2026-05-20T00:00:00"/>
        <d v="2025-10-30T00:00:00"/>
        <d v="2026-08-01T00:00:00"/>
        <d v="2025-10-09T00:00:00"/>
        <d v="2026-06-11T00:00:00"/>
        <d v="2026-01-31T00:00:00"/>
        <d v="2026-02-09T00:00:00"/>
        <d v="2026-02-25T00:00:00"/>
        <d v="2025-09-12T00:00:00"/>
        <d v="2026-02-16T00:00:00"/>
        <d v="2025-11-12T00:00:00"/>
        <d v="2025-09-21T00:00:00"/>
        <d v="2026-03-14T00:00:00"/>
        <d v="2026-07-30T00:00:00"/>
        <d v="2025-09-26T00:00:00"/>
        <d v="2026-03-13T00:00:00"/>
        <d v="2025-11-25T00:00:00"/>
        <d v="2025-12-31T00:00:00"/>
        <d v="2026-06-22T00:00:00"/>
        <d v="2025-08-05T00:00:00"/>
        <d v="2026-02-05T00:00:00"/>
        <d v="2025-09-24T00:00:00"/>
        <d v="2026-06-14T00:00:00"/>
        <d v="2026-02-07T00:00:00"/>
        <d v="2026-04-01T00:00:00"/>
        <d v="2026-03-18T00:00:00"/>
        <d v="2026-03-22T00:00:00"/>
        <d v="2026-06-20T00:00:00"/>
        <d v="2025-11-15T00:00:00"/>
        <d v="2025-11-03T00:00:00"/>
        <d v="2026-07-17T00:00:00"/>
        <d v="2026-02-22T00:00:00"/>
        <d v="2025-11-01T00:00:00"/>
        <d v="2025-12-29T00:00:00"/>
        <d v="2025-11-24T00:00:00"/>
        <d v="2026-06-03T00:00:00"/>
        <d v="2026-05-15T00:00:00"/>
        <d v="2025-12-13T00:00:00"/>
        <d v="2025-12-26T00:00:00"/>
        <d v="2026-06-25T00:00:00"/>
        <d v="2026-04-02T00:00:00"/>
        <d v="2026-02-20T00:00:00"/>
        <d v="2026-05-04T00:00:00"/>
        <d v="2025-10-04T00:00:00"/>
        <d v="2026-05-29T00:00:00"/>
        <d v="2025-10-22T00:00:00"/>
        <d v="2026-03-04T00:00:00"/>
        <d v="2026-02-06T00:00:00"/>
        <d v="2025-12-27T00:00:00"/>
        <d v="2026-07-14T00:00:00"/>
        <d v="2026-07-26T00:00:00"/>
        <d v="2026-01-13T00:00:00"/>
        <d v="2026-06-08T00:00:00"/>
        <d v="2025-08-23T00:00:00"/>
        <d v="2025-11-08T00:00:00"/>
        <d v="2026-03-21T00:00:00"/>
        <d v="2025-09-28T00:00:00"/>
        <d v="2025-11-16T00:00:00"/>
        <d v="2025-11-07T00:00:00"/>
        <d v="2025-08-14T00:00:00"/>
        <d v="2026-01-11T00:00:00"/>
        <d v="2026-01-15T00:00:00"/>
        <d v="2025-12-15T00:00:00"/>
        <d v="2026-03-19T00:00:00"/>
        <d v="2026-03-06T00:00:00"/>
        <d v="2025-09-09T00:00:00"/>
        <d v="2026-03-12T00:00:00"/>
        <d v="2025-11-30T00:00:00"/>
        <d v="2025-10-10T00:00:00"/>
        <d v="2026-07-20T00:00:00"/>
      </sharedItems>
      <fieldGroup par="21"/>
    </cacheField>
    <cacheField name="Sales Rep" numFmtId="0">
      <sharedItems/>
    </cacheField>
    <cacheField name="Branch Code" numFmtId="0">
      <sharedItems count="15">
        <s v="BR-006"/>
        <s v="BR-015"/>
        <s v="BR-001"/>
        <s v="BR-009"/>
        <s v="BR-005"/>
        <s v="BR-004"/>
        <s v="BR-013"/>
        <s v="BR-012"/>
        <s v="BR-014"/>
        <s v="BR-003"/>
        <s v="BR-002"/>
        <s v="BR-010"/>
        <s v="BR-008"/>
        <s v="BR-011"/>
        <s v="BR-007"/>
      </sharedItems>
    </cacheField>
    <cacheField name="Region" numFmtId="0">
      <sharedItems count="5">
        <s v="East"/>
        <s v="South"/>
        <s v="Central"/>
        <s v="West"/>
        <s v="North"/>
      </sharedItems>
    </cacheField>
    <cacheField name="Product" numFmtId="0">
      <sharedItems count="5">
        <s v="Wealth Management"/>
        <s v="Personal Loan"/>
        <s v="Auto Loan"/>
        <s v="Mortgage"/>
        <s v="Credit Card"/>
      </sharedItems>
    </cacheField>
    <cacheField name="Lead Source" numFmtId="0">
      <sharedItems count="5">
        <s v="Walk-in"/>
        <s v="Website"/>
        <s v="Social Media"/>
        <s v="Email Campaign"/>
        <s v="Referral"/>
      </sharedItems>
    </cacheField>
    <cacheField name="Customer Segment" numFmtId="0">
      <sharedItems count="4">
        <s v="Retail"/>
        <s v="High Net Worth"/>
        <s v="Corporate"/>
        <s v="SME"/>
      </sharedItems>
    </cacheField>
    <cacheField name="Customer Age" numFmtId="0">
      <sharedItems containsSemiMixedTypes="0" containsString="0" containsNumber="1" containsInteger="1" minValue="21" maxValue="74"/>
    </cacheField>
    <cacheField name="Account Tenure Months" numFmtId="0">
      <sharedItems containsSemiMixedTypes="0" containsString="0" containsNumber="1" containsInteger="1" minValue="1" maxValue="119"/>
    </cacheField>
    <cacheField name="Revenue" numFmtId="164">
      <sharedItems containsSemiMixedTypes="0" containsString="0" containsNumber="1" minValue="537.01" maxValue="49952.95"/>
    </cacheField>
    <cacheField name="Processing Fee" numFmtId="164">
      <sharedItems containsSemiMixedTypes="0" containsString="0" containsNumber="1" minValue="50.28" maxValue="499.93"/>
    </cacheField>
    <cacheField name="Discount Applied" numFmtId="0">
      <sharedItems containsSemiMixedTypes="0" containsString="0" containsNumber="1" minValue="0.57999999999999996" maxValue="299.92"/>
    </cacheField>
    <cacheField name="Net Processing Yield" numFmtId="164">
      <sharedItems containsSemiMixedTypes="0" containsString="0" containsNumber="1" minValue="-205.34999999999997" maxValue="481.68"/>
    </cacheField>
    <cacheField name="Target Achieved" numFmtId="0">
      <sharedItems count="4">
        <s v="Not Achieved"/>
        <s v="Achieved"/>
        <s v="No" u="1"/>
        <s v="Yes" u="1"/>
      </sharedItems>
    </cacheField>
    <cacheField name="CSAT Score" numFmtId="0">
      <sharedItems containsSemiMixedTypes="0" containsString="0" containsNumber="1" containsInteger="1" minValue="1" maxValue="5"/>
    </cacheField>
    <cacheField name="Retention Risk" numFmtId="0">
      <sharedItems count="2">
        <s v="Stable"/>
        <s v="High-Risk"/>
      </sharedItems>
    </cacheField>
    <cacheField name="Value Tier" numFmtId="0">
      <sharedItems count="3">
        <s v="Gold"/>
        <s v="Standard"/>
        <s v="Platinum"/>
      </sharedItems>
    </cacheField>
    <cacheField name="Bonus Eligible" numFmtId="0">
      <sharedItems/>
    </cacheField>
    <cacheField name="Months (Date)" numFmtId="0" databaseField="0">
      <fieldGroup base="1">
        <rangePr groupBy="months" startDate="2025-08-01T00:00:00" endDate="2026-08-02T00:00:00"/>
        <groupItems count="14">
          <s v="&lt;01-08-25"/>
          <s v="Jan"/>
          <s v="Feb"/>
          <s v="Mar"/>
          <s v="Apr"/>
          <s v="May"/>
          <s v="Jun"/>
          <s v="Jul"/>
          <s v="Aug"/>
          <s v="Sep"/>
          <s v="Oct"/>
          <s v="Nov"/>
          <s v="Dec"/>
          <s v="&gt;02-08-26"/>
        </groupItems>
      </fieldGroup>
    </cacheField>
    <cacheField name="Quarters (Date)" numFmtId="0" databaseField="0">
      <fieldGroup base="1">
        <rangePr groupBy="quarters" startDate="2025-08-01T00:00:00" endDate="2026-08-02T00:00:00"/>
        <groupItems count="6">
          <s v="&lt;01-08-25"/>
          <s v="Qtr1"/>
          <s v="Qtr2"/>
          <s v="Qtr3"/>
          <s v="Qtr4"/>
          <s v="&gt;02-08-26"/>
        </groupItems>
      </fieldGroup>
    </cacheField>
    <cacheField name="Years (Date)" numFmtId="0" databaseField="0">
      <fieldGroup base="1">
        <rangePr groupBy="years" startDate="2025-08-01T00:00:00" endDate="2026-08-02T00:00:00"/>
        <groupItems count="4">
          <s v="&lt;01-08-25"/>
          <s v="2025"/>
          <s v="2026"/>
          <s v="&gt;02-08-26"/>
        </groupItems>
      </fieldGroup>
    </cacheField>
  </cacheFields>
  <extLst>
    <ext xmlns:x14="http://schemas.microsoft.com/office/spreadsheetml/2009/9/main" uri="{725AE2AE-9491-48be-B2B4-4EB974FC3084}">
      <x14:pivotCacheDefinition pivotCacheId="13537328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TRX-10000"/>
    <x v="0"/>
    <s v="Jamie"/>
    <x v="0"/>
    <x v="0"/>
    <x v="0"/>
    <x v="0"/>
    <x v="0"/>
    <n v="74"/>
    <n v="16"/>
    <n v="25114.07"/>
    <n v="350.3"/>
    <n v="179.26"/>
    <n v="171.04000000000002"/>
    <x v="0"/>
    <n v="4"/>
    <x v="0"/>
    <x v="0"/>
    <s v="Yes"/>
  </r>
  <r>
    <s v="TRX-10001"/>
    <x v="1"/>
    <s v="Morgan"/>
    <x v="1"/>
    <x v="1"/>
    <x v="1"/>
    <x v="1"/>
    <x v="1"/>
    <n v="28"/>
    <n v="28"/>
    <n v="9331.6"/>
    <n v="106.51"/>
    <n v="121.35"/>
    <n v="-14.839999999999989"/>
    <x v="0"/>
    <n v="5"/>
    <x v="0"/>
    <x v="1"/>
    <s v="No"/>
  </r>
  <r>
    <s v="TRX-10002"/>
    <x v="2"/>
    <s v="Casey"/>
    <x v="2"/>
    <x v="0"/>
    <x v="2"/>
    <x v="2"/>
    <x v="1"/>
    <n v="44"/>
    <n v="112"/>
    <n v="5853.67"/>
    <n v="394.49"/>
    <n v="136.69999999999999"/>
    <n v="257.79000000000002"/>
    <x v="0"/>
    <n v="5"/>
    <x v="0"/>
    <x v="1"/>
    <s v="No"/>
  </r>
  <r>
    <s v="TRX-10003"/>
    <x v="3"/>
    <s v="Jamie"/>
    <x v="3"/>
    <x v="2"/>
    <x v="3"/>
    <x v="1"/>
    <x v="0"/>
    <n v="35"/>
    <n v="35"/>
    <n v="42184.29"/>
    <n v="144.59"/>
    <n v="141.15"/>
    <n v="3.4399999999999977"/>
    <x v="1"/>
    <n v="5"/>
    <x v="0"/>
    <x v="2"/>
    <s v="Yes"/>
  </r>
  <r>
    <s v="TRX-10004"/>
    <x v="4"/>
    <s v="Taylor"/>
    <x v="2"/>
    <x v="1"/>
    <x v="2"/>
    <x v="1"/>
    <x v="1"/>
    <n v="63"/>
    <n v="60"/>
    <n v="30899.59"/>
    <n v="195.55"/>
    <n v="246.26"/>
    <n v="-50.70999999999998"/>
    <x v="0"/>
    <n v="1"/>
    <x v="1"/>
    <x v="0"/>
    <s v="No"/>
  </r>
  <r>
    <s v="TRX-10005"/>
    <x v="5"/>
    <s v="Drew"/>
    <x v="4"/>
    <x v="3"/>
    <x v="3"/>
    <x v="0"/>
    <x v="1"/>
    <n v="51"/>
    <n v="45"/>
    <n v="16628.32"/>
    <n v="418.66"/>
    <n v="70.900000000000006"/>
    <n v="347.76"/>
    <x v="0"/>
    <n v="5"/>
    <x v="0"/>
    <x v="0"/>
    <s v="No"/>
  </r>
  <r>
    <s v="TRX-10006"/>
    <x v="6"/>
    <s v="Casey"/>
    <x v="5"/>
    <x v="0"/>
    <x v="3"/>
    <x v="1"/>
    <x v="0"/>
    <n v="29"/>
    <n v="46"/>
    <n v="9990.94"/>
    <n v="291.44"/>
    <n v="132.27000000000001"/>
    <n v="159.16999999999999"/>
    <x v="0"/>
    <n v="4"/>
    <x v="0"/>
    <x v="1"/>
    <s v="No"/>
  </r>
  <r>
    <s v="TRX-10007"/>
    <x v="7"/>
    <s v="Casey"/>
    <x v="6"/>
    <x v="1"/>
    <x v="2"/>
    <x v="0"/>
    <x v="0"/>
    <n v="59"/>
    <n v="72"/>
    <n v="27997.119999999999"/>
    <n v="436.97"/>
    <n v="78.400000000000006"/>
    <n v="358.57000000000005"/>
    <x v="0"/>
    <n v="2"/>
    <x v="1"/>
    <x v="0"/>
    <s v="No"/>
  </r>
  <r>
    <s v="TRX-10008"/>
    <x v="8"/>
    <s v="Jamie"/>
    <x v="7"/>
    <x v="0"/>
    <x v="3"/>
    <x v="2"/>
    <x v="2"/>
    <n v="65"/>
    <n v="108"/>
    <n v="29404"/>
    <n v="145.87"/>
    <n v="73.739999999999995"/>
    <n v="72.13000000000001"/>
    <x v="0"/>
    <n v="5"/>
    <x v="0"/>
    <x v="0"/>
    <s v="No"/>
  </r>
  <r>
    <s v="TRX-10009"/>
    <x v="9"/>
    <s v="Jordan"/>
    <x v="6"/>
    <x v="1"/>
    <x v="3"/>
    <x v="3"/>
    <x v="3"/>
    <n v="22"/>
    <n v="55"/>
    <n v="10746.18"/>
    <n v="323.5"/>
    <n v="138.01"/>
    <n v="185.49"/>
    <x v="0"/>
    <n v="2"/>
    <x v="0"/>
    <x v="1"/>
    <s v="No"/>
  </r>
  <r>
    <s v="TRX-10010"/>
    <x v="10"/>
    <s v="Taylor"/>
    <x v="6"/>
    <x v="4"/>
    <x v="1"/>
    <x v="0"/>
    <x v="3"/>
    <n v="28"/>
    <n v="119"/>
    <n v="42644.58"/>
    <n v="87.71"/>
    <n v="77.44"/>
    <n v="10.269999999999996"/>
    <x v="1"/>
    <n v="4"/>
    <x v="0"/>
    <x v="2"/>
    <s v="Yes"/>
  </r>
  <r>
    <s v="TRX-10011"/>
    <x v="11"/>
    <s v="Jamie"/>
    <x v="8"/>
    <x v="0"/>
    <x v="0"/>
    <x v="2"/>
    <x v="0"/>
    <n v="27"/>
    <n v="86"/>
    <n v="4671.09"/>
    <n v="339.38"/>
    <n v="69.22"/>
    <n v="270.15999999999997"/>
    <x v="0"/>
    <n v="5"/>
    <x v="0"/>
    <x v="1"/>
    <s v="Yes"/>
  </r>
  <r>
    <s v="TRX-10012"/>
    <x v="12"/>
    <s v="Taylor"/>
    <x v="9"/>
    <x v="3"/>
    <x v="0"/>
    <x v="3"/>
    <x v="0"/>
    <n v="64"/>
    <n v="85"/>
    <n v="18126.61"/>
    <n v="393.14"/>
    <n v="167.18"/>
    <n v="225.95999999999998"/>
    <x v="0"/>
    <n v="1"/>
    <x v="0"/>
    <x v="0"/>
    <s v="Yes"/>
  </r>
  <r>
    <s v="TRX-10013"/>
    <x v="13"/>
    <s v="Taylor"/>
    <x v="6"/>
    <x v="3"/>
    <x v="1"/>
    <x v="4"/>
    <x v="1"/>
    <n v="71"/>
    <n v="26"/>
    <n v="34179.03"/>
    <n v="313.22000000000003"/>
    <n v="30.39"/>
    <n v="282.83000000000004"/>
    <x v="0"/>
    <n v="1"/>
    <x v="1"/>
    <x v="0"/>
    <s v="No"/>
  </r>
  <r>
    <s v="TRX-10014"/>
    <x v="14"/>
    <s v="Drew"/>
    <x v="0"/>
    <x v="2"/>
    <x v="2"/>
    <x v="0"/>
    <x v="2"/>
    <n v="59"/>
    <n v="104"/>
    <n v="14068.96"/>
    <n v="169.8"/>
    <n v="135.18"/>
    <n v="34.620000000000005"/>
    <x v="0"/>
    <n v="2"/>
    <x v="0"/>
    <x v="1"/>
    <s v="No"/>
  </r>
  <r>
    <s v="TRX-10015"/>
    <x v="15"/>
    <s v="Casey"/>
    <x v="10"/>
    <x v="1"/>
    <x v="4"/>
    <x v="0"/>
    <x v="2"/>
    <n v="62"/>
    <n v="85"/>
    <n v="41469.919999999998"/>
    <n v="64.099999999999994"/>
    <n v="49.75"/>
    <n v="14.349999999999994"/>
    <x v="1"/>
    <n v="1"/>
    <x v="1"/>
    <x v="2"/>
    <s v="Yes"/>
  </r>
  <r>
    <s v="TRX-10016"/>
    <x v="16"/>
    <s v="Morgan"/>
    <x v="9"/>
    <x v="0"/>
    <x v="4"/>
    <x v="4"/>
    <x v="0"/>
    <n v="36"/>
    <n v="25"/>
    <n v="37123.46"/>
    <n v="103.75"/>
    <n v="3.1"/>
    <n v="100.65"/>
    <x v="1"/>
    <n v="1"/>
    <x v="1"/>
    <x v="2"/>
    <s v="No"/>
  </r>
  <r>
    <s v="TRX-10017"/>
    <x v="17"/>
    <s v="Drew"/>
    <x v="4"/>
    <x v="2"/>
    <x v="4"/>
    <x v="4"/>
    <x v="1"/>
    <n v="55"/>
    <n v="105"/>
    <n v="39556.629999999997"/>
    <n v="330.04"/>
    <n v="50.03"/>
    <n v="280.01"/>
    <x v="1"/>
    <n v="1"/>
    <x v="1"/>
    <x v="2"/>
    <s v="No"/>
  </r>
  <r>
    <s v="TRX-10018"/>
    <x v="18"/>
    <s v="Drew"/>
    <x v="1"/>
    <x v="0"/>
    <x v="1"/>
    <x v="0"/>
    <x v="1"/>
    <n v="50"/>
    <n v="65"/>
    <n v="6395.77"/>
    <n v="470.49"/>
    <n v="182"/>
    <n v="288.49"/>
    <x v="0"/>
    <n v="4"/>
    <x v="0"/>
    <x v="1"/>
    <s v="No"/>
  </r>
  <r>
    <s v="TRX-10019"/>
    <x v="19"/>
    <s v="Taylor"/>
    <x v="3"/>
    <x v="1"/>
    <x v="1"/>
    <x v="4"/>
    <x v="3"/>
    <n v="30"/>
    <n v="6"/>
    <n v="7457.08"/>
    <n v="142.94"/>
    <n v="141.83000000000001"/>
    <n v="1.1099999999999852"/>
    <x v="0"/>
    <n v="1"/>
    <x v="0"/>
    <x v="1"/>
    <s v="No"/>
  </r>
  <r>
    <s v="TRX-10020"/>
    <x v="20"/>
    <s v="Sam"/>
    <x v="10"/>
    <x v="3"/>
    <x v="3"/>
    <x v="1"/>
    <x v="3"/>
    <n v="58"/>
    <n v="23"/>
    <n v="14680.45"/>
    <n v="380.76"/>
    <n v="4.21"/>
    <n v="376.55"/>
    <x v="0"/>
    <n v="3"/>
    <x v="0"/>
    <x v="1"/>
    <s v="No"/>
  </r>
  <r>
    <s v="TRX-10021"/>
    <x v="21"/>
    <s v="Casey"/>
    <x v="11"/>
    <x v="4"/>
    <x v="4"/>
    <x v="3"/>
    <x v="1"/>
    <n v="38"/>
    <n v="115"/>
    <n v="26144.82"/>
    <n v="439.9"/>
    <n v="10.94"/>
    <n v="428.96"/>
    <x v="0"/>
    <n v="5"/>
    <x v="0"/>
    <x v="0"/>
    <s v="No"/>
  </r>
  <r>
    <s v="TRX-10022"/>
    <x v="22"/>
    <s v="Jordan"/>
    <x v="12"/>
    <x v="3"/>
    <x v="2"/>
    <x v="3"/>
    <x v="3"/>
    <n v="70"/>
    <n v="64"/>
    <n v="37526.800000000003"/>
    <n v="284.39999999999998"/>
    <n v="180.51"/>
    <n v="103.88999999999999"/>
    <x v="1"/>
    <n v="1"/>
    <x v="1"/>
    <x v="2"/>
    <s v="No"/>
  </r>
  <r>
    <s v="TRX-10023"/>
    <x v="3"/>
    <s v="Drew"/>
    <x v="8"/>
    <x v="2"/>
    <x v="2"/>
    <x v="3"/>
    <x v="0"/>
    <n v="25"/>
    <n v="87"/>
    <n v="41908.28"/>
    <n v="351.17"/>
    <n v="14.66"/>
    <n v="336.51"/>
    <x v="1"/>
    <n v="1"/>
    <x v="1"/>
    <x v="2"/>
    <s v="Yes"/>
  </r>
  <r>
    <s v="TRX-10024"/>
    <x v="23"/>
    <s v="Morgan"/>
    <x v="10"/>
    <x v="4"/>
    <x v="4"/>
    <x v="1"/>
    <x v="1"/>
    <n v="73"/>
    <n v="43"/>
    <n v="35364.6"/>
    <n v="416.76"/>
    <n v="268.26"/>
    <n v="148.5"/>
    <x v="1"/>
    <n v="1"/>
    <x v="1"/>
    <x v="2"/>
    <s v="No"/>
  </r>
  <r>
    <s v="TRX-10025"/>
    <x v="24"/>
    <s v="Sam"/>
    <x v="13"/>
    <x v="2"/>
    <x v="4"/>
    <x v="4"/>
    <x v="3"/>
    <n v="49"/>
    <n v="107"/>
    <n v="46465.55"/>
    <n v="167.3"/>
    <n v="45.63"/>
    <n v="121.67000000000002"/>
    <x v="1"/>
    <n v="3"/>
    <x v="1"/>
    <x v="2"/>
    <s v="Yes"/>
  </r>
  <r>
    <s v="TRX-10026"/>
    <x v="25"/>
    <s v="Sam"/>
    <x v="6"/>
    <x v="1"/>
    <x v="4"/>
    <x v="2"/>
    <x v="2"/>
    <n v="59"/>
    <n v="23"/>
    <n v="37067.800000000003"/>
    <n v="183.6"/>
    <n v="148"/>
    <n v="35.599999999999994"/>
    <x v="1"/>
    <n v="1"/>
    <x v="1"/>
    <x v="2"/>
    <s v="No"/>
  </r>
  <r>
    <s v="TRX-10027"/>
    <x v="26"/>
    <s v="Jordan"/>
    <x v="4"/>
    <x v="4"/>
    <x v="1"/>
    <x v="4"/>
    <x v="1"/>
    <n v="54"/>
    <n v="96"/>
    <n v="15660.26"/>
    <n v="50.28"/>
    <n v="92.93"/>
    <n v="-42.650000000000006"/>
    <x v="0"/>
    <n v="1"/>
    <x v="0"/>
    <x v="0"/>
    <s v="No"/>
  </r>
  <r>
    <s v="TRX-10028"/>
    <x v="27"/>
    <s v="Drew"/>
    <x v="14"/>
    <x v="2"/>
    <x v="1"/>
    <x v="0"/>
    <x v="1"/>
    <n v="63"/>
    <n v="30"/>
    <n v="13621.52"/>
    <n v="483.39"/>
    <n v="257.62"/>
    <n v="225.76999999999998"/>
    <x v="0"/>
    <n v="5"/>
    <x v="0"/>
    <x v="1"/>
    <s v="No"/>
  </r>
  <r>
    <s v="TRX-10029"/>
    <x v="28"/>
    <s v="Morgan"/>
    <x v="12"/>
    <x v="1"/>
    <x v="1"/>
    <x v="3"/>
    <x v="2"/>
    <n v="65"/>
    <n v="77"/>
    <n v="34961.53"/>
    <n v="462.9"/>
    <n v="140.09"/>
    <n v="322.80999999999995"/>
    <x v="0"/>
    <n v="3"/>
    <x v="1"/>
    <x v="0"/>
    <s v="No"/>
  </r>
  <r>
    <s v="TRX-10030"/>
    <x v="19"/>
    <s v="Casey"/>
    <x v="2"/>
    <x v="3"/>
    <x v="0"/>
    <x v="4"/>
    <x v="0"/>
    <n v="43"/>
    <n v="107"/>
    <n v="10047.09"/>
    <n v="394.06"/>
    <n v="80.36"/>
    <n v="313.7"/>
    <x v="0"/>
    <n v="3"/>
    <x v="0"/>
    <x v="1"/>
    <s v="Yes"/>
  </r>
  <r>
    <s v="TRX-10031"/>
    <x v="29"/>
    <s v="Alex"/>
    <x v="0"/>
    <x v="1"/>
    <x v="2"/>
    <x v="2"/>
    <x v="2"/>
    <n v="25"/>
    <n v="18"/>
    <n v="5089.38"/>
    <n v="85.58"/>
    <n v="15.26"/>
    <n v="70.319999999999993"/>
    <x v="0"/>
    <n v="1"/>
    <x v="0"/>
    <x v="1"/>
    <s v="No"/>
  </r>
  <r>
    <s v="TRX-10032"/>
    <x v="30"/>
    <s v="Morgan"/>
    <x v="2"/>
    <x v="0"/>
    <x v="2"/>
    <x v="0"/>
    <x v="1"/>
    <n v="50"/>
    <n v="87"/>
    <n v="26845.03"/>
    <n v="251.38"/>
    <n v="219.81"/>
    <n v="31.569999999999993"/>
    <x v="0"/>
    <n v="3"/>
    <x v="1"/>
    <x v="0"/>
    <s v="No"/>
  </r>
  <r>
    <s v="TRX-10033"/>
    <x v="31"/>
    <s v="Jordan"/>
    <x v="10"/>
    <x v="1"/>
    <x v="3"/>
    <x v="1"/>
    <x v="0"/>
    <n v="26"/>
    <n v="79"/>
    <n v="41171.26"/>
    <n v="95.85"/>
    <n v="123.38"/>
    <n v="-27.53"/>
    <x v="1"/>
    <n v="2"/>
    <x v="1"/>
    <x v="2"/>
    <s v="Yes"/>
  </r>
  <r>
    <s v="TRX-10034"/>
    <x v="32"/>
    <s v="Sam"/>
    <x v="1"/>
    <x v="1"/>
    <x v="1"/>
    <x v="1"/>
    <x v="3"/>
    <n v="66"/>
    <n v="97"/>
    <n v="5518.3"/>
    <n v="57.16"/>
    <n v="0.57999999999999996"/>
    <n v="56.58"/>
    <x v="0"/>
    <n v="3"/>
    <x v="0"/>
    <x v="1"/>
    <s v="No"/>
  </r>
  <r>
    <s v="TRX-10035"/>
    <x v="33"/>
    <s v="Casey"/>
    <x v="2"/>
    <x v="0"/>
    <x v="0"/>
    <x v="2"/>
    <x v="3"/>
    <n v="64"/>
    <n v="21"/>
    <n v="39698.620000000003"/>
    <n v="327.27999999999997"/>
    <n v="1.88"/>
    <n v="325.39999999999998"/>
    <x v="1"/>
    <n v="3"/>
    <x v="1"/>
    <x v="2"/>
    <s v="Yes"/>
  </r>
  <r>
    <s v="TRX-10036"/>
    <x v="34"/>
    <s v="Morgan"/>
    <x v="13"/>
    <x v="2"/>
    <x v="0"/>
    <x v="0"/>
    <x v="3"/>
    <n v="24"/>
    <n v="57"/>
    <n v="40672.81"/>
    <n v="482.37"/>
    <n v="161.76"/>
    <n v="320.61"/>
    <x v="1"/>
    <n v="3"/>
    <x v="1"/>
    <x v="2"/>
    <s v="Yes"/>
  </r>
  <r>
    <s v="TRX-10037"/>
    <x v="35"/>
    <s v="Alex"/>
    <x v="4"/>
    <x v="2"/>
    <x v="2"/>
    <x v="3"/>
    <x v="1"/>
    <n v="49"/>
    <n v="103"/>
    <n v="24372.560000000001"/>
    <n v="456.29"/>
    <n v="77.819999999999993"/>
    <n v="378.47"/>
    <x v="0"/>
    <n v="4"/>
    <x v="0"/>
    <x v="0"/>
    <s v="No"/>
  </r>
  <r>
    <s v="TRX-10038"/>
    <x v="32"/>
    <s v="Alex"/>
    <x v="11"/>
    <x v="1"/>
    <x v="1"/>
    <x v="4"/>
    <x v="2"/>
    <n v="43"/>
    <n v="23"/>
    <n v="3336.86"/>
    <n v="363.54"/>
    <n v="127.23"/>
    <n v="236.31"/>
    <x v="0"/>
    <n v="4"/>
    <x v="0"/>
    <x v="1"/>
    <s v="No"/>
  </r>
  <r>
    <s v="TRX-10039"/>
    <x v="36"/>
    <s v="Taylor"/>
    <x v="1"/>
    <x v="0"/>
    <x v="3"/>
    <x v="0"/>
    <x v="0"/>
    <n v="26"/>
    <n v="91"/>
    <n v="9142.2000000000007"/>
    <n v="93.49"/>
    <n v="90.84"/>
    <n v="2.6499999999999915"/>
    <x v="0"/>
    <n v="4"/>
    <x v="0"/>
    <x v="1"/>
    <s v="No"/>
  </r>
  <r>
    <s v="TRX-10040"/>
    <x v="37"/>
    <s v="Taylor"/>
    <x v="3"/>
    <x v="0"/>
    <x v="1"/>
    <x v="1"/>
    <x v="3"/>
    <n v="52"/>
    <n v="45"/>
    <n v="35517.599999999999"/>
    <n v="173.37"/>
    <n v="172.69"/>
    <n v="0.68000000000000682"/>
    <x v="1"/>
    <n v="3"/>
    <x v="1"/>
    <x v="2"/>
    <s v="No"/>
  </r>
  <r>
    <s v="TRX-10041"/>
    <x v="38"/>
    <s v="Jamie"/>
    <x v="0"/>
    <x v="3"/>
    <x v="4"/>
    <x v="2"/>
    <x v="0"/>
    <n v="62"/>
    <n v="44"/>
    <n v="35733.01"/>
    <n v="194.03"/>
    <n v="183.39"/>
    <n v="10.640000000000015"/>
    <x v="1"/>
    <n v="2"/>
    <x v="1"/>
    <x v="2"/>
    <s v="No"/>
  </r>
  <r>
    <s v="TRX-10042"/>
    <x v="39"/>
    <s v="Jordan"/>
    <x v="13"/>
    <x v="2"/>
    <x v="1"/>
    <x v="2"/>
    <x v="1"/>
    <n v="38"/>
    <n v="82"/>
    <n v="44968.59"/>
    <n v="393.42"/>
    <n v="299.04000000000002"/>
    <n v="94.38"/>
    <x v="1"/>
    <n v="3"/>
    <x v="1"/>
    <x v="2"/>
    <s v="Yes"/>
  </r>
  <r>
    <s v="TRX-10043"/>
    <x v="40"/>
    <s v="Drew"/>
    <x v="13"/>
    <x v="4"/>
    <x v="4"/>
    <x v="4"/>
    <x v="3"/>
    <n v="35"/>
    <n v="88"/>
    <n v="29342.959999999999"/>
    <n v="411.01"/>
    <n v="30.74"/>
    <n v="380.27"/>
    <x v="0"/>
    <n v="1"/>
    <x v="1"/>
    <x v="0"/>
    <s v="No"/>
  </r>
  <r>
    <s v="TRX-10044"/>
    <x v="41"/>
    <s v="Morgan"/>
    <x v="2"/>
    <x v="2"/>
    <x v="4"/>
    <x v="2"/>
    <x v="1"/>
    <n v="60"/>
    <n v="115"/>
    <n v="6643.31"/>
    <n v="223.3"/>
    <n v="258.88"/>
    <n v="-35.579999999999984"/>
    <x v="0"/>
    <n v="2"/>
    <x v="0"/>
    <x v="1"/>
    <s v="No"/>
  </r>
  <r>
    <s v="TRX-10045"/>
    <x v="42"/>
    <s v="Morgan"/>
    <x v="6"/>
    <x v="2"/>
    <x v="3"/>
    <x v="2"/>
    <x v="2"/>
    <n v="52"/>
    <n v="47"/>
    <n v="6510.04"/>
    <n v="238.05"/>
    <n v="53.2"/>
    <n v="184.85000000000002"/>
    <x v="0"/>
    <n v="4"/>
    <x v="0"/>
    <x v="1"/>
    <s v="No"/>
  </r>
  <r>
    <s v="TRX-10046"/>
    <x v="38"/>
    <s v="Drew"/>
    <x v="2"/>
    <x v="3"/>
    <x v="2"/>
    <x v="0"/>
    <x v="1"/>
    <n v="29"/>
    <n v="40"/>
    <n v="36196.050000000003"/>
    <n v="70.03"/>
    <n v="177.24"/>
    <n v="-107.21000000000001"/>
    <x v="1"/>
    <n v="5"/>
    <x v="0"/>
    <x v="2"/>
    <s v="No"/>
  </r>
  <r>
    <s v="TRX-10047"/>
    <x v="43"/>
    <s v="Jamie"/>
    <x v="10"/>
    <x v="4"/>
    <x v="1"/>
    <x v="3"/>
    <x v="1"/>
    <n v="57"/>
    <n v="51"/>
    <n v="9597.34"/>
    <n v="180.11"/>
    <n v="151.72999999999999"/>
    <n v="28.380000000000024"/>
    <x v="0"/>
    <n v="2"/>
    <x v="0"/>
    <x v="1"/>
    <s v="No"/>
  </r>
  <r>
    <s v="TRX-10048"/>
    <x v="44"/>
    <s v="Sam"/>
    <x v="3"/>
    <x v="3"/>
    <x v="4"/>
    <x v="4"/>
    <x v="2"/>
    <n v="30"/>
    <n v="42"/>
    <n v="16755.080000000002"/>
    <n v="253.08"/>
    <n v="3.6"/>
    <n v="249.48000000000002"/>
    <x v="0"/>
    <n v="4"/>
    <x v="0"/>
    <x v="0"/>
    <s v="No"/>
  </r>
  <r>
    <s v="TRX-10049"/>
    <x v="45"/>
    <s v="Sam"/>
    <x v="9"/>
    <x v="4"/>
    <x v="1"/>
    <x v="0"/>
    <x v="0"/>
    <n v="40"/>
    <n v="7"/>
    <n v="24616.99"/>
    <n v="102.64"/>
    <n v="186.55"/>
    <n v="-83.910000000000011"/>
    <x v="0"/>
    <n v="2"/>
    <x v="1"/>
    <x v="0"/>
    <s v="No"/>
  </r>
  <r>
    <s v="TRX-10050"/>
    <x v="46"/>
    <s v="Jamie"/>
    <x v="1"/>
    <x v="1"/>
    <x v="2"/>
    <x v="3"/>
    <x v="2"/>
    <n v="26"/>
    <n v="50"/>
    <n v="1725.86"/>
    <n v="253.97"/>
    <n v="15.67"/>
    <n v="238.3"/>
    <x v="0"/>
    <n v="2"/>
    <x v="0"/>
    <x v="1"/>
    <s v="No"/>
  </r>
  <r>
    <s v="TRX-10051"/>
    <x v="47"/>
    <s v="Sam"/>
    <x v="2"/>
    <x v="4"/>
    <x v="2"/>
    <x v="0"/>
    <x v="2"/>
    <n v="68"/>
    <n v="48"/>
    <n v="12816.54"/>
    <n v="433.93"/>
    <n v="137.63999999999999"/>
    <n v="296.29000000000002"/>
    <x v="0"/>
    <n v="3"/>
    <x v="0"/>
    <x v="1"/>
    <s v="No"/>
  </r>
  <r>
    <s v="TRX-10052"/>
    <x v="48"/>
    <s v="Taylor"/>
    <x v="4"/>
    <x v="3"/>
    <x v="0"/>
    <x v="0"/>
    <x v="1"/>
    <n v="23"/>
    <n v="84"/>
    <n v="20690.54"/>
    <n v="311.58999999999997"/>
    <n v="235.5"/>
    <n v="76.089999999999975"/>
    <x v="0"/>
    <n v="1"/>
    <x v="1"/>
    <x v="0"/>
    <s v="Yes"/>
  </r>
  <r>
    <s v="TRX-10053"/>
    <x v="49"/>
    <s v="Morgan"/>
    <x v="14"/>
    <x v="2"/>
    <x v="2"/>
    <x v="2"/>
    <x v="0"/>
    <n v="62"/>
    <n v="91"/>
    <n v="14342"/>
    <n v="85.52"/>
    <n v="159.06"/>
    <n v="-73.540000000000006"/>
    <x v="0"/>
    <n v="5"/>
    <x v="0"/>
    <x v="1"/>
    <s v="No"/>
  </r>
  <r>
    <s v="TRX-10054"/>
    <x v="50"/>
    <s v="Jamie"/>
    <x v="0"/>
    <x v="4"/>
    <x v="3"/>
    <x v="3"/>
    <x v="3"/>
    <n v="31"/>
    <n v="6"/>
    <n v="7250.33"/>
    <n v="136.25"/>
    <n v="27.1"/>
    <n v="109.15"/>
    <x v="0"/>
    <n v="4"/>
    <x v="0"/>
    <x v="1"/>
    <s v="No"/>
  </r>
  <r>
    <s v="TRX-10055"/>
    <x v="51"/>
    <s v="Morgan"/>
    <x v="7"/>
    <x v="4"/>
    <x v="4"/>
    <x v="4"/>
    <x v="2"/>
    <n v="63"/>
    <n v="91"/>
    <n v="36536.61"/>
    <n v="263.54000000000002"/>
    <n v="89.51"/>
    <n v="174.03000000000003"/>
    <x v="1"/>
    <n v="2"/>
    <x v="1"/>
    <x v="2"/>
    <s v="No"/>
  </r>
  <r>
    <s v="TRX-10056"/>
    <x v="52"/>
    <s v="Drew"/>
    <x v="2"/>
    <x v="0"/>
    <x v="0"/>
    <x v="4"/>
    <x v="0"/>
    <n v="37"/>
    <n v="9"/>
    <n v="40750.81"/>
    <n v="212.67"/>
    <n v="165.89"/>
    <n v="46.78"/>
    <x v="1"/>
    <n v="5"/>
    <x v="0"/>
    <x v="2"/>
    <s v="Yes"/>
  </r>
  <r>
    <s v="TRX-10057"/>
    <x v="53"/>
    <s v="Alex"/>
    <x v="4"/>
    <x v="2"/>
    <x v="3"/>
    <x v="3"/>
    <x v="2"/>
    <n v="52"/>
    <n v="117"/>
    <n v="13245.21"/>
    <n v="211.43"/>
    <n v="60.54"/>
    <n v="150.89000000000001"/>
    <x v="0"/>
    <n v="2"/>
    <x v="0"/>
    <x v="1"/>
    <s v="No"/>
  </r>
  <r>
    <s v="TRX-10058"/>
    <x v="35"/>
    <s v="Taylor"/>
    <x v="1"/>
    <x v="1"/>
    <x v="1"/>
    <x v="2"/>
    <x v="2"/>
    <n v="24"/>
    <n v="109"/>
    <n v="38833.760000000002"/>
    <n v="288.17"/>
    <n v="93.55"/>
    <n v="194.62"/>
    <x v="1"/>
    <n v="1"/>
    <x v="1"/>
    <x v="2"/>
    <s v="No"/>
  </r>
  <r>
    <s v="TRX-10059"/>
    <x v="54"/>
    <s v="Casey"/>
    <x v="4"/>
    <x v="3"/>
    <x v="4"/>
    <x v="1"/>
    <x v="2"/>
    <n v="24"/>
    <n v="57"/>
    <n v="19584.900000000001"/>
    <n v="312.98"/>
    <n v="54.56"/>
    <n v="258.42"/>
    <x v="0"/>
    <n v="5"/>
    <x v="0"/>
    <x v="0"/>
    <s v="No"/>
  </r>
  <r>
    <s v="TRX-10060"/>
    <x v="55"/>
    <s v="Taylor"/>
    <x v="0"/>
    <x v="1"/>
    <x v="2"/>
    <x v="0"/>
    <x v="2"/>
    <n v="37"/>
    <n v="31"/>
    <n v="25580.95"/>
    <n v="408.59"/>
    <n v="92.71"/>
    <n v="315.88"/>
    <x v="0"/>
    <n v="4"/>
    <x v="0"/>
    <x v="0"/>
    <s v="No"/>
  </r>
  <r>
    <s v="TRX-10061"/>
    <x v="56"/>
    <s v="Jamie"/>
    <x v="9"/>
    <x v="2"/>
    <x v="4"/>
    <x v="2"/>
    <x v="1"/>
    <n v="61"/>
    <n v="21"/>
    <n v="42872.05"/>
    <n v="203.43"/>
    <n v="266.36"/>
    <n v="-62.930000000000007"/>
    <x v="1"/>
    <n v="2"/>
    <x v="1"/>
    <x v="2"/>
    <s v="Yes"/>
  </r>
  <r>
    <s v="TRX-10062"/>
    <x v="57"/>
    <s v="Casey"/>
    <x v="4"/>
    <x v="4"/>
    <x v="1"/>
    <x v="3"/>
    <x v="0"/>
    <n v="39"/>
    <n v="90"/>
    <n v="37622.71"/>
    <n v="412.46"/>
    <n v="91.02"/>
    <n v="321.44"/>
    <x v="1"/>
    <n v="1"/>
    <x v="1"/>
    <x v="2"/>
    <s v="No"/>
  </r>
  <r>
    <s v="TRX-10063"/>
    <x v="58"/>
    <s v="Alex"/>
    <x v="14"/>
    <x v="4"/>
    <x v="0"/>
    <x v="0"/>
    <x v="0"/>
    <n v="25"/>
    <n v="40"/>
    <n v="40353.279999999999"/>
    <n v="202.38"/>
    <n v="111.18"/>
    <n v="91.199999999999989"/>
    <x v="1"/>
    <n v="5"/>
    <x v="0"/>
    <x v="2"/>
    <s v="Yes"/>
  </r>
  <r>
    <s v="TRX-10064"/>
    <x v="59"/>
    <s v="Jamie"/>
    <x v="4"/>
    <x v="2"/>
    <x v="0"/>
    <x v="4"/>
    <x v="0"/>
    <n v="52"/>
    <n v="112"/>
    <n v="7273.84"/>
    <n v="74.94"/>
    <n v="80.8"/>
    <n v="-5.8599999999999994"/>
    <x v="0"/>
    <n v="2"/>
    <x v="0"/>
    <x v="1"/>
    <s v="Yes"/>
  </r>
  <r>
    <s v="TRX-10065"/>
    <x v="60"/>
    <s v="Jordan"/>
    <x v="4"/>
    <x v="4"/>
    <x v="0"/>
    <x v="1"/>
    <x v="2"/>
    <n v="42"/>
    <n v="45"/>
    <n v="3951.11"/>
    <n v="299.38"/>
    <n v="92.02"/>
    <n v="207.36"/>
    <x v="0"/>
    <n v="2"/>
    <x v="0"/>
    <x v="1"/>
    <s v="Yes"/>
  </r>
  <r>
    <s v="TRX-10066"/>
    <x v="61"/>
    <s v="Morgan"/>
    <x v="4"/>
    <x v="4"/>
    <x v="2"/>
    <x v="4"/>
    <x v="1"/>
    <n v="26"/>
    <n v="77"/>
    <n v="44723.53"/>
    <n v="314.56"/>
    <n v="4.54"/>
    <n v="310.02"/>
    <x v="1"/>
    <n v="4"/>
    <x v="0"/>
    <x v="2"/>
    <s v="Yes"/>
  </r>
  <r>
    <s v="TRX-10067"/>
    <x v="44"/>
    <s v="Alex"/>
    <x v="11"/>
    <x v="4"/>
    <x v="3"/>
    <x v="3"/>
    <x v="2"/>
    <n v="55"/>
    <n v="49"/>
    <n v="19697.8"/>
    <n v="470.54"/>
    <n v="56.75"/>
    <n v="413.79"/>
    <x v="0"/>
    <n v="1"/>
    <x v="0"/>
    <x v="0"/>
    <s v="No"/>
  </r>
  <r>
    <s v="TRX-10068"/>
    <x v="62"/>
    <s v="Morgan"/>
    <x v="11"/>
    <x v="3"/>
    <x v="3"/>
    <x v="0"/>
    <x v="2"/>
    <n v="42"/>
    <n v="87"/>
    <n v="14750.04"/>
    <n v="376.73"/>
    <n v="87.32"/>
    <n v="289.41000000000003"/>
    <x v="0"/>
    <n v="3"/>
    <x v="0"/>
    <x v="1"/>
    <s v="No"/>
  </r>
  <r>
    <s v="TRX-10069"/>
    <x v="63"/>
    <s v="Sam"/>
    <x v="9"/>
    <x v="3"/>
    <x v="4"/>
    <x v="3"/>
    <x v="0"/>
    <n v="21"/>
    <n v="20"/>
    <n v="36372.46"/>
    <n v="463"/>
    <n v="126.76"/>
    <n v="336.24"/>
    <x v="1"/>
    <n v="2"/>
    <x v="1"/>
    <x v="2"/>
    <s v="No"/>
  </r>
  <r>
    <s v="TRX-10070"/>
    <x v="64"/>
    <s v="Jordan"/>
    <x v="2"/>
    <x v="0"/>
    <x v="2"/>
    <x v="0"/>
    <x v="2"/>
    <n v="40"/>
    <n v="101"/>
    <n v="41902.57"/>
    <n v="458.76"/>
    <n v="90.01"/>
    <n v="368.75"/>
    <x v="1"/>
    <n v="5"/>
    <x v="0"/>
    <x v="2"/>
    <s v="Yes"/>
  </r>
  <r>
    <s v="TRX-10071"/>
    <x v="65"/>
    <s v="Jordan"/>
    <x v="4"/>
    <x v="1"/>
    <x v="0"/>
    <x v="2"/>
    <x v="3"/>
    <n v="42"/>
    <n v="118"/>
    <n v="43193.24"/>
    <n v="322.06"/>
    <n v="67.56"/>
    <n v="254.5"/>
    <x v="1"/>
    <n v="4"/>
    <x v="0"/>
    <x v="2"/>
    <s v="Yes"/>
  </r>
  <r>
    <s v="TRX-10072"/>
    <x v="66"/>
    <s v="Alex"/>
    <x v="8"/>
    <x v="2"/>
    <x v="0"/>
    <x v="1"/>
    <x v="2"/>
    <n v="68"/>
    <n v="117"/>
    <n v="16141.86"/>
    <n v="287.49"/>
    <n v="77.62"/>
    <n v="209.87"/>
    <x v="0"/>
    <n v="4"/>
    <x v="0"/>
    <x v="0"/>
    <s v="Yes"/>
  </r>
  <r>
    <s v="TRX-10073"/>
    <x v="67"/>
    <s v="Jordan"/>
    <x v="3"/>
    <x v="2"/>
    <x v="1"/>
    <x v="2"/>
    <x v="3"/>
    <n v="31"/>
    <n v="92"/>
    <n v="42684.51"/>
    <n v="300.85000000000002"/>
    <n v="48.46"/>
    <n v="252.39000000000001"/>
    <x v="1"/>
    <n v="2"/>
    <x v="1"/>
    <x v="2"/>
    <s v="Yes"/>
  </r>
  <r>
    <s v="TRX-10074"/>
    <x v="17"/>
    <s v="Casey"/>
    <x v="8"/>
    <x v="2"/>
    <x v="1"/>
    <x v="2"/>
    <x v="2"/>
    <n v="33"/>
    <n v="17"/>
    <n v="2526.23"/>
    <n v="490.25"/>
    <n v="184.9"/>
    <n v="305.35000000000002"/>
    <x v="0"/>
    <n v="2"/>
    <x v="0"/>
    <x v="1"/>
    <s v="No"/>
  </r>
  <r>
    <s v="TRX-10075"/>
    <x v="68"/>
    <s v="Jordan"/>
    <x v="2"/>
    <x v="0"/>
    <x v="0"/>
    <x v="3"/>
    <x v="1"/>
    <n v="62"/>
    <n v="28"/>
    <n v="2958.24"/>
    <n v="397.93"/>
    <n v="156.52000000000001"/>
    <n v="241.41"/>
    <x v="0"/>
    <n v="2"/>
    <x v="0"/>
    <x v="1"/>
    <s v="Yes"/>
  </r>
  <r>
    <s v="TRX-10076"/>
    <x v="69"/>
    <s v="Morgan"/>
    <x v="9"/>
    <x v="3"/>
    <x v="0"/>
    <x v="1"/>
    <x v="1"/>
    <n v="23"/>
    <n v="41"/>
    <n v="31364.2"/>
    <n v="97.82"/>
    <n v="4.0199999999999996"/>
    <n v="93.8"/>
    <x v="0"/>
    <n v="3"/>
    <x v="1"/>
    <x v="0"/>
    <s v="Yes"/>
  </r>
  <r>
    <s v="TRX-10077"/>
    <x v="70"/>
    <s v="Morgan"/>
    <x v="6"/>
    <x v="0"/>
    <x v="2"/>
    <x v="0"/>
    <x v="0"/>
    <n v="29"/>
    <n v="66"/>
    <n v="3623.77"/>
    <n v="400.29"/>
    <n v="3.89"/>
    <n v="396.40000000000003"/>
    <x v="0"/>
    <n v="2"/>
    <x v="0"/>
    <x v="1"/>
    <s v="No"/>
  </r>
  <r>
    <s v="TRX-10078"/>
    <x v="71"/>
    <s v="Jamie"/>
    <x v="6"/>
    <x v="2"/>
    <x v="3"/>
    <x v="0"/>
    <x v="2"/>
    <n v="32"/>
    <n v="25"/>
    <n v="16568.150000000001"/>
    <n v="126.74"/>
    <n v="194.59"/>
    <n v="-67.850000000000009"/>
    <x v="0"/>
    <n v="1"/>
    <x v="0"/>
    <x v="0"/>
    <s v="No"/>
  </r>
  <r>
    <s v="TRX-10079"/>
    <x v="72"/>
    <s v="Morgan"/>
    <x v="5"/>
    <x v="1"/>
    <x v="1"/>
    <x v="4"/>
    <x v="3"/>
    <n v="43"/>
    <n v="58"/>
    <n v="33801.42"/>
    <n v="251.31"/>
    <n v="44.29"/>
    <n v="207.02"/>
    <x v="0"/>
    <n v="5"/>
    <x v="0"/>
    <x v="0"/>
    <s v="No"/>
  </r>
  <r>
    <s v="TRX-10080"/>
    <x v="73"/>
    <s v="Jamie"/>
    <x v="8"/>
    <x v="4"/>
    <x v="3"/>
    <x v="0"/>
    <x v="3"/>
    <n v="34"/>
    <n v="114"/>
    <n v="17194.71"/>
    <n v="144.71"/>
    <n v="161.12"/>
    <n v="-16.409999999999997"/>
    <x v="0"/>
    <n v="2"/>
    <x v="0"/>
    <x v="0"/>
    <s v="No"/>
  </r>
  <r>
    <s v="TRX-10081"/>
    <x v="74"/>
    <s v="Morgan"/>
    <x v="2"/>
    <x v="3"/>
    <x v="2"/>
    <x v="3"/>
    <x v="2"/>
    <n v="53"/>
    <n v="41"/>
    <n v="9390.19"/>
    <n v="360.31"/>
    <n v="11.66"/>
    <n v="348.65"/>
    <x v="0"/>
    <n v="3"/>
    <x v="0"/>
    <x v="1"/>
    <s v="No"/>
  </r>
  <r>
    <s v="TRX-10082"/>
    <x v="75"/>
    <s v="Casey"/>
    <x v="2"/>
    <x v="3"/>
    <x v="0"/>
    <x v="2"/>
    <x v="3"/>
    <n v="38"/>
    <n v="6"/>
    <n v="14426.86"/>
    <n v="444.79"/>
    <n v="184.23"/>
    <n v="260.56000000000006"/>
    <x v="0"/>
    <n v="5"/>
    <x v="0"/>
    <x v="1"/>
    <s v="Yes"/>
  </r>
  <r>
    <s v="TRX-10083"/>
    <x v="76"/>
    <s v="Drew"/>
    <x v="12"/>
    <x v="0"/>
    <x v="3"/>
    <x v="2"/>
    <x v="1"/>
    <n v="69"/>
    <n v="75"/>
    <n v="23149.98"/>
    <n v="180.66"/>
    <n v="262.32"/>
    <n v="-81.66"/>
    <x v="0"/>
    <n v="4"/>
    <x v="0"/>
    <x v="0"/>
    <s v="No"/>
  </r>
  <r>
    <s v="TRX-10084"/>
    <x v="77"/>
    <s v="Jamie"/>
    <x v="10"/>
    <x v="3"/>
    <x v="0"/>
    <x v="2"/>
    <x v="3"/>
    <n v="61"/>
    <n v="38"/>
    <n v="24031.599999999999"/>
    <n v="86.9"/>
    <n v="114.22"/>
    <n v="-27.319999999999993"/>
    <x v="0"/>
    <n v="2"/>
    <x v="1"/>
    <x v="0"/>
    <s v="Yes"/>
  </r>
  <r>
    <s v="TRX-10085"/>
    <x v="78"/>
    <s v="Taylor"/>
    <x v="7"/>
    <x v="2"/>
    <x v="0"/>
    <x v="1"/>
    <x v="0"/>
    <n v="29"/>
    <n v="6"/>
    <n v="39258.51"/>
    <n v="184.32"/>
    <n v="1.8"/>
    <n v="182.51999999999998"/>
    <x v="1"/>
    <n v="5"/>
    <x v="0"/>
    <x v="2"/>
    <s v="Yes"/>
  </r>
  <r>
    <s v="TRX-10086"/>
    <x v="79"/>
    <s v="Sam"/>
    <x v="1"/>
    <x v="2"/>
    <x v="4"/>
    <x v="0"/>
    <x v="1"/>
    <n v="43"/>
    <n v="45"/>
    <n v="37632.58"/>
    <n v="352.56"/>
    <n v="77.34"/>
    <n v="275.22000000000003"/>
    <x v="1"/>
    <n v="4"/>
    <x v="0"/>
    <x v="2"/>
    <s v="No"/>
  </r>
  <r>
    <s v="TRX-10087"/>
    <x v="80"/>
    <s v="Alex"/>
    <x v="12"/>
    <x v="0"/>
    <x v="3"/>
    <x v="3"/>
    <x v="1"/>
    <n v="30"/>
    <n v="75"/>
    <n v="23112.48"/>
    <n v="197.94"/>
    <n v="122.04"/>
    <n v="75.899999999999991"/>
    <x v="0"/>
    <n v="3"/>
    <x v="1"/>
    <x v="0"/>
    <s v="No"/>
  </r>
  <r>
    <s v="TRX-10088"/>
    <x v="81"/>
    <s v="Morgan"/>
    <x v="14"/>
    <x v="2"/>
    <x v="3"/>
    <x v="1"/>
    <x v="1"/>
    <n v="39"/>
    <n v="14"/>
    <n v="42360.53"/>
    <n v="175.15"/>
    <n v="138.02000000000001"/>
    <n v="37.129999999999995"/>
    <x v="1"/>
    <n v="1"/>
    <x v="1"/>
    <x v="2"/>
    <s v="Yes"/>
  </r>
  <r>
    <s v="TRX-10089"/>
    <x v="82"/>
    <s v="Jordan"/>
    <x v="11"/>
    <x v="1"/>
    <x v="0"/>
    <x v="4"/>
    <x v="2"/>
    <n v="67"/>
    <n v="66"/>
    <n v="6154.74"/>
    <n v="133"/>
    <n v="59.54"/>
    <n v="73.460000000000008"/>
    <x v="0"/>
    <n v="2"/>
    <x v="0"/>
    <x v="1"/>
    <s v="Yes"/>
  </r>
  <r>
    <s v="TRX-10090"/>
    <x v="83"/>
    <s v="Drew"/>
    <x v="11"/>
    <x v="0"/>
    <x v="2"/>
    <x v="3"/>
    <x v="2"/>
    <n v="25"/>
    <n v="40"/>
    <n v="13139.99"/>
    <n v="273.88"/>
    <n v="6.59"/>
    <n v="267.29000000000002"/>
    <x v="0"/>
    <n v="1"/>
    <x v="0"/>
    <x v="1"/>
    <s v="No"/>
  </r>
  <r>
    <s v="TRX-10091"/>
    <x v="84"/>
    <s v="Morgan"/>
    <x v="10"/>
    <x v="1"/>
    <x v="4"/>
    <x v="3"/>
    <x v="1"/>
    <n v="67"/>
    <n v="3"/>
    <n v="41484.83"/>
    <n v="174.18"/>
    <n v="177.04"/>
    <n v="-2.8599999999999852"/>
    <x v="1"/>
    <n v="3"/>
    <x v="1"/>
    <x v="2"/>
    <s v="Yes"/>
  </r>
  <r>
    <s v="TRX-10092"/>
    <x v="85"/>
    <s v="Jordan"/>
    <x v="0"/>
    <x v="4"/>
    <x v="0"/>
    <x v="3"/>
    <x v="2"/>
    <n v="72"/>
    <n v="119"/>
    <n v="19210.7"/>
    <n v="378.95"/>
    <n v="104.83"/>
    <n v="274.12"/>
    <x v="0"/>
    <n v="5"/>
    <x v="0"/>
    <x v="0"/>
    <s v="Yes"/>
  </r>
  <r>
    <s v="TRX-10093"/>
    <x v="86"/>
    <s v="Sam"/>
    <x v="0"/>
    <x v="1"/>
    <x v="1"/>
    <x v="2"/>
    <x v="3"/>
    <n v="43"/>
    <n v="117"/>
    <n v="49068.49"/>
    <n v="84.48"/>
    <n v="56.6"/>
    <n v="27.880000000000003"/>
    <x v="1"/>
    <n v="5"/>
    <x v="0"/>
    <x v="2"/>
    <s v="Yes"/>
  </r>
  <r>
    <s v="TRX-10094"/>
    <x v="87"/>
    <s v="Sam"/>
    <x v="9"/>
    <x v="4"/>
    <x v="1"/>
    <x v="3"/>
    <x v="2"/>
    <n v="50"/>
    <n v="99"/>
    <n v="23579.54"/>
    <n v="348.81"/>
    <n v="7.6"/>
    <n v="341.21"/>
    <x v="0"/>
    <n v="3"/>
    <x v="1"/>
    <x v="0"/>
    <s v="No"/>
  </r>
  <r>
    <s v="TRX-10095"/>
    <x v="85"/>
    <s v="Sam"/>
    <x v="13"/>
    <x v="4"/>
    <x v="4"/>
    <x v="0"/>
    <x v="2"/>
    <n v="45"/>
    <n v="97"/>
    <n v="39700.81"/>
    <n v="156.9"/>
    <n v="198.92"/>
    <n v="-42.019999999999982"/>
    <x v="1"/>
    <n v="3"/>
    <x v="1"/>
    <x v="2"/>
    <s v="No"/>
  </r>
  <r>
    <s v="TRX-10096"/>
    <x v="88"/>
    <s v="Jordan"/>
    <x v="10"/>
    <x v="1"/>
    <x v="2"/>
    <x v="3"/>
    <x v="1"/>
    <n v="48"/>
    <n v="24"/>
    <n v="20414.2"/>
    <n v="270.18"/>
    <n v="144.6"/>
    <n v="125.58000000000001"/>
    <x v="0"/>
    <n v="2"/>
    <x v="1"/>
    <x v="0"/>
    <s v="No"/>
  </r>
  <r>
    <s v="TRX-10097"/>
    <x v="89"/>
    <s v="Morgan"/>
    <x v="7"/>
    <x v="0"/>
    <x v="0"/>
    <x v="2"/>
    <x v="0"/>
    <n v="54"/>
    <n v="19"/>
    <n v="21535.200000000001"/>
    <n v="178.74"/>
    <n v="151.19999999999999"/>
    <n v="27.54000000000002"/>
    <x v="0"/>
    <n v="4"/>
    <x v="0"/>
    <x v="0"/>
    <s v="Yes"/>
  </r>
  <r>
    <s v="TRX-10098"/>
    <x v="90"/>
    <s v="Sam"/>
    <x v="2"/>
    <x v="2"/>
    <x v="3"/>
    <x v="3"/>
    <x v="0"/>
    <n v="65"/>
    <n v="18"/>
    <n v="19452.72"/>
    <n v="375.25"/>
    <n v="90.46"/>
    <n v="284.79000000000002"/>
    <x v="0"/>
    <n v="1"/>
    <x v="0"/>
    <x v="0"/>
    <s v="No"/>
  </r>
  <r>
    <s v="TRX-10099"/>
    <x v="91"/>
    <s v="Casey"/>
    <x v="0"/>
    <x v="2"/>
    <x v="4"/>
    <x v="4"/>
    <x v="0"/>
    <n v="68"/>
    <n v="64"/>
    <n v="36094.239999999998"/>
    <n v="475.39"/>
    <n v="8.6300000000000008"/>
    <n v="466.76"/>
    <x v="1"/>
    <n v="1"/>
    <x v="1"/>
    <x v="2"/>
    <s v="No"/>
  </r>
  <r>
    <s v="TRX-10100"/>
    <x v="92"/>
    <s v="Jamie"/>
    <x v="7"/>
    <x v="4"/>
    <x v="2"/>
    <x v="4"/>
    <x v="3"/>
    <n v="67"/>
    <n v="113"/>
    <n v="27602.14"/>
    <n v="462.68"/>
    <n v="61.92"/>
    <n v="400.76"/>
    <x v="0"/>
    <n v="5"/>
    <x v="0"/>
    <x v="0"/>
    <s v="No"/>
  </r>
  <r>
    <s v="TRX-10101"/>
    <x v="93"/>
    <s v="Jordan"/>
    <x v="4"/>
    <x v="4"/>
    <x v="3"/>
    <x v="2"/>
    <x v="2"/>
    <n v="45"/>
    <n v="116"/>
    <n v="47217.02"/>
    <n v="312.54000000000002"/>
    <n v="64.02"/>
    <n v="248.52000000000004"/>
    <x v="1"/>
    <n v="5"/>
    <x v="0"/>
    <x v="2"/>
    <s v="Yes"/>
  </r>
  <r>
    <s v="TRX-10102"/>
    <x v="94"/>
    <s v="Jordan"/>
    <x v="8"/>
    <x v="0"/>
    <x v="1"/>
    <x v="0"/>
    <x v="0"/>
    <n v="30"/>
    <n v="88"/>
    <n v="12919.07"/>
    <n v="258.17"/>
    <n v="167.67"/>
    <n v="90.500000000000028"/>
    <x v="0"/>
    <n v="2"/>
    <x v="0"/>
    <x v="1"/>
    <s v="No"/>
  </r>
  <r>
    <s v="TRX-10103"/>
    <x v="95"/>
    <s v="Morgan"/>
    <x v="8"/>
    <x v="3"/>
    <x v="1"/>
    <x v="0"/>
    <x v="1"/>
    <n v="34"/>
    <n v="109"/>
    <n v="5477.86"/>
    <n v="418.24"/>
    <n v="196.27"/>
    <n v="221.97"/>
    <x v="0"/>
    <n v="3"/>
    <x v="0"/>
    <x v="1"/>
    <s v="No"/>
  </r>
  <r>
    <s v="TRX-10104"/>
    <x v="96"/>
    <s v="Jordan"/>
    <x v="13"/>
    <x v="1"/>
    <x v="3"/>
    <x v="1"/>
    <x v="0"/>
    <n v="62"/>
    <n v="35"/>
    <n v="19966.439999999999"/>
    <n v="357.5"/>
    <n v="55.09"/>
    <n v="302.40999999999997"/>
    <x v="0"/>
    <n v="1"/>
    <x v="0"/>
    <x v="0"/>
    <s v="No"/>
  </r>
  <r>
    <s v="TRX-10105"/>
    <x v="97"/>
    <s v="Jordan"/>
    <x v="3"/>
    <x v="4"/>
    <x v="4"/>
    <x v="2"/>
    <x v="0"/>
    <n v="66"/>
    <n v="62"/>
    <n v="31027.279999999999"/>
    <n v="132.6"/>
    <n v="193.55"/>
    <n v="-60.950000000000017"/>
    <x v="0"/>
    <n v="2"/>
    <x v="1"/>
    <x v="0"/>
    <s v="No"/>
  </r>
  <r>
    <s v="TRX-10106"/>
    <x v="98"/>
    <s v="Sam"/>
    <x v="2"/>
    <x v="2"/>
    <x v="1"/>
    <x v="3"/>
    <x v="2"/>
    <n v="50"/>
    <n v="1"/>
    <n v="43109.55"/>
    <n v="419.41"/>
    <n v="64.31"/>
    <n v="355.1"/>
    <x v="1"/>
    <n v="5"/>
    <x v="0"/>
    <x v="2"/>
    <s v="Yes"/>
  </r>
  <r>
    <s v="TRX-10107"/>
    <x v="99"/>
    <s v="Morgan"/>
    <x v="1"/>
    <x v="0"/>
    <x v="0"/>
    <x v="2"/>
    <x v="2"/>
    <n v="61"/>
    <n v="100"/>
    <n v="17636.75"/>
    <n v="243"/>
    <n v="199.65"/>
    <n v="43.349999999999994"/>
    <x v="0"/>
    <n v="5"/>
    <x v="0"/>
    <x v="0"/>
    <s v="Yes"/>
  </r>
  <r>
    <s v="TRX-10108"/>
    <x v="100"/>
    <s v="Sam"/>
    <x v="1"/>
    <x v="1"/>
    <x v="3"/>
    <x v="1"/>
    <x v="2"/>
    <n v="45"/>
    <n v="25"/>
    <n v="32862.44"/>
    <n v="135.04"/>
    <n v="199.23"/>
    <n v="-64.19"/>
    <x v="0"/>
    <n v="1"/>
    <x v="1"/>
    <x v="0"/>
    <s v="No"/>
  </r>
  <r>
    <s v="TRX-10109"/>
    <x v="88"/>
    <s v="Jamie"/>
    <x v="14"/>
    <x v="0"/>
    <x v="3"/>
    <x v="2"/>
    <x v="3"/>
    <n v="34"/>
    <n v="45"/>
    <n v="17834.830000000002"/>
    <n v="176.81"/>
    <n v="38.24"/>
    <n v="138.57"/>
    <x v="0"/>
    <n v="5"/>
    <x v="0"/>
    <x v="0"/>
    <s v="No"/>
  </r>
  <r>
    <s v="TRX-10110"/>
    <x v="101"/>
    <s v="Drew"/>
    <x v="1"/>
    <x v="1"/>
    <x v="1"/>
    <x v="2"/>
    <x v="3"/>
    <n v="55"/>
    <n v="49"/>
    <n v="31052.37"/>
    <n v="170.39"/>
    <n v="62.55"/>
    <n v="107.83999999999999"/>
    <x v="0"/>
    <n v="5"/>
    <x v="0"/>
    <x v="0"/>
    <s v="No"/>
  </r>
  <r>
    <s v="TRX-10111"/>
    <x v="24"/>
    <s v="Jamie"/>
    <x v="4"/>
    <x v="1"/>
    <x v="4"/>
    <x v="1"/>
    <x v="0"/>
    <n v="72"/>
    <n v="107"/>
    <n v="44297.99"/>
    <n v="283.64"/>
    <n v="97.21"/>
    <n v="186.43"/>
    <x v="1"/>
    <n v="4"/>
    <x v="0"/>
    <x v="2"/>
    <s v="Yes"/>
  </r>
  <r>
    <s v="TRX-10112"/>
    <x v="102"/>
    <s v="Drew"/>
    <x v="4"/>
    <x v="4"/>
    <x v="0"/>
    <x v="0"/>
    <x v="2"/>
    <n v="68"/>
    <n v="98"/>
    <n v="11952.2"/>
    <n v="155.47"/>
    <n v="132.82"/>
    <n v="22.650000000000006"/>
    <x v="0"/>
    <n v="3"/>
    <x v="0"/>
    <x v="1"/>
    <s v="Yes"/>
  </r>
  <r>
    <s v="TRX-10113"/>
    <x v="103"/>
    <s v="Sam"/>
    <x v="8"/>
    <x v="0"/>
    <x v="4"/>
    <x v="3"/>
    <x v="0"/>
    <n v="54"/>
    <n v="89"/>
    <n v="20509.96"/>
    <n v="105.6"/>
    <n v="105.61"/>
    <n v="-1.0000000000005116E-2"/>
    <x v="0"/>
    <n v="5"/>
    <x v="0"/>
    <x v="0"/>
    <s v="No"/>
  </r>
  <r>
    <s v="TRX-10114"/>
    <x v="104"/>
    <s v="Jamie"/>
    <x v="10"/>
    <x v="0"/>
    <x v="2"/>
    <x v="1"/>
    <x v="1"/>
    <n v="30"/>
    <n v="16"/>
    <n v="49666.63"/>
    <n v="105.66"/>
    <n v="290.83"/>
    <n v="-185.17"/>
    <x v="1"/>
    <n v="4"/>
    <x v="0"/>
    <x v="2"/>
    <s v="Yes"/>
  </r>
  <r>
    <s v="TRX-10115"/>
    <x v="54"/>
    <s v="Morgan"/>
    <x v="13"/>
    <x v="2"/>
    <x v="2"/>
    <x v="4"/>
    <x v="1"/>
    <n v="55"/>
    <n v="98"/>
    <n v="43493.57"/>
    <n v="312.47000000000003"/>
    <n v="217.2"/>
    <n v="95.270000000000039"/>
    <x v="1"/>
    <n v="2"/>
    <x v="1"/>
    <x v="2"/>
    <s v="Yes"/>
  </r>
  <r>
    <s v="TRX-10116"/>
    <x v="105"/>
    <s v="Alex"/>
    <x v="9"/>
    <x v="2"/>
    <x v="1"/>
    <x v="0"/>
    <x v="2"/>
    <n v="31"/>
    <n v="93"/>
    <n v="28449.67"/>
    <n v="380.64"/>
    <n v="42.41"/>
    <n v="338.23"/>
    <x v="0"/>
    <n v="5"/>
    <x v="0"/>
    <x v="0"/>
    <s v="No"/>
  </r>
  <r>
    <s v="TRX-10117"/>
    <x v="106"/>
    <s v="Sam"/>
    <x v="14"/>
    <x v="4"/>
    <x v="1"/>
    <x v="4"/>
    <x v="2"/>
    <n v="31"/>
    <n v="19"/>
    <n v="26073.07"/>
    <n v="194.69"/>
    <n v="21.02"/>
    <n v="173.67"/>
    <x v="0"/>
    <n v="2"/>
    <x v="1"/>
    <x v="0"/>
    <s v="No"/>
  </r>
  <r>
    <s v="TRX-10118"/>
    <x v="107"/>
    <s v="Drew"/>
    <x v="0"/>
    <x v="4"/>
    <x v="1"/>
    <x v="0"/>
    <x v="1"/>
    <n v="41"/>
    <n v="23"/>
    <n v="14587.72"/>
    <n v="65.59"/>
    <n v="206.52"/>
    <n v="-140.93"/>
    <x v="0"/>
    <n v="5"/>
    <x v="0"/>
    <x v="1"/>
    <s v="No"/>
  </r>
  <r>
    <s v="TRX-10119"/>
    <x v="108"/>
    <s v="Casey"/>
    <x v="7"/>
    <x v="3"/>
    <x v="2"/>
    <x v="3"/>
    <x v="2"/>
    <n v="41"/>
    <n v="83"/>
    <n v="26101.87"/>
    <n v="107.25"/>
    <n v="31.69"/>
    <n v="75.56"/>
    <x v="0"/>
    <n v="1"/>
    <x v="1"/>
    <x v="0"/>
    <s v="No"/>
  </r>
  <r>
    <s v="TRX-10120"/>
    <x v="62"/>
    <s v="Drew"/>
    <x v="10"/>
    <x v="2"/>
    <x v="4"/>
    <x v="3"/>
    <x v="3"/>
    <n v="42"/>
    <n v="25"/>
    <n v="42484.98"/>
    <n v="461.61"/>
    <n v="157.54"/>
    <n v="304.07000000000005"/>
    <x v="1"/>
    <n v="4"/>
    <x v="0"/>
    <x v="2"/>
    <s v="Yes"/>
  </r>
  <r>
    <s v="TRX-10121"/>
    <x v="19"/>
    <s v="Casey"/>
    <x v="0"/>
    <x v="1"/>
    <x v="4"/>
    <x v="2"/>
    <x v="3"/>
    <n v="65"/>
    <n v="16"/>
    <n v="34416.14"/>
    <n v="272.08999999999997"/>
    <n v="62.21"/>
    <n v="209.87999999999997"/>
    <x v="0"/>
    <n v="4"/>
    <x v="0"/>
    <x v="0"/>
    <s v="No"/>
  </r>
  <r>
    <s v="TRX-10122"/>
    <x v="109"/>
    <s v="Jordan"/>
    <x v="10"/>
    <x v="0"/>
    <x v="1"/>
    <x v="4"/>
    <x v="2"/>
    <n v="27"/>
    <n v="54"/>
    <n v="14857.18"/>
    <n v="254.11"/>
    <n v="65.38"/>
    <n v="188.73000000000002"/>
    <x v="0"/>
    <n v="1"/>
    <x v="0"/>
    <x v="1"/>
    <s v="No"/>
  </r>
  <r>
    <s v="TRX-10123"/>
    <x v="15"/>
    <s v="Jamie"/>
    <x v="10"/>
    <x v="4"/>
    <x v="0"/>
    <x v="0"/>
    <x v="1"/>
    <n v="37"/>
    <n v="115"/>
    <n v="10472.459999999999"/>
    <n v="67.12"/>
    <n v="3.24"/>
    <n v="63.88"/>
    <x v="0"/>
    <n v="3"/>
    <x v="0"/>
    <x v="1"/>
    <s v="Yes"/>
  </r>
  <r>
    <s v="TRX-10124"/>
    <x v="110"/>
    <s v="Casey"/>
    <x v="10"/>
    <x v="0"/>
    <x v="4"/>
    <x v="3"/>
    <x v="0"/>
    <n v="22"/>
    <n v="73"/>
    <n v="13627.82"/>
    <n v="377.89"/>
    <n v="140.19999999999999"/>
    <n v="237.69"/>
    <x v="0"/>
    <n v="4"/>
    <x v="0"/>
    <x v="1"/>
    <s v="No"/>
  </r>
  <r>
    <s v="TRX-10125"/>
    <x v="111"/>
    <s v="Drew"/>
    <x v="8"/>
    <x v="0"/>
    <x v="2"/>
    <x v="1"/>
    <x v="2"/>
    <n v="32"/>
    <n v="1"/>
    <n v="8903.08"/>
    <n v="287.63"/>
    <n v="22.65"/>
    <n v="264.98"/>
    <x v="0"/>
    <n v="2"/>
    <x v="0"/>
    <x v="1"/>
    <s v="No"/>
  </r>
  <r>
    <s v="TRX-10126"/>
    <x v="112"/>
    <s v="Jordan"/>
    <x v="1"/>
    <x v="3"/>
    <x v="3"/>
    <x v="3"/>
    <x v="2"/>
    <n v="62"/>
    <n v="42"/>
    <n v="5234.21"/>
    <n v="140.94"/>
    <n v="154.58000000000001"/>
    <n v="-13.640000000000015"/>
    <x v="0"/>
    <n v="4"/>
    <x v="0"/>
    <x v="1"/>
    <s v="No"/>
  </r>
  <r>
    <s v="TRX-10127"/>
    <x v="59"/>
    <s v="Alex"/>
    <x v="13"/>
    <x v="2"/>
    <x v="3"/>
    <x v="1"/>
    <x v="0"/>
    <n v="38"/>
    <n v="19"/>
    <n v="21247.24"/>
    <n v="99.53"/>
    <n v="98.37"/>
    <n v="1.1599999999999966"/>
    <x v="0"/>
    <n v="3"/>
    <x v="1"/>
    <x v="0"/>
    <s v="No"/>
  </r>
  <r>
    <s v="TRX-10128"/>
    <x v="49"/>
    <s v="Morgan"/>
    <x v="9"/>
    <x v="4"/>
    <x v="3"/>
    <x v="0"/>
    <x v="2"/>
    <n v="74"/>
    <n v="97"/>
    <n v="6108.33"/>
    <n v="222.52"/>
    <n v="156.86000000000001"/>
    <n v="65.66"/>
    <x v="0"/>
    <n v="2"/>
    <x v="0"/>
    <x v="1"/>
    <s v="No"/>
  </r>
  <r>
    <s v="TRX-10129"/>
    <x v="113"/>
    <s v="Morgan"/>
    <x v="1"/>
    <x v="0"/>
    <x v="0"/>
    <x v="3"/>
    <x v="0"/>
    <n v="31"/>
    <n v="34"/>
    <n v="9009.67"/>
    <n v="426.72"/>
    <n v="116.79"/>
    <n v="309.93"/>
    <x v="0"/>
    <n v="2"/>
    <x v="0"/>
    <x v="1"/>
    <s v="Yes"/>
  </r>
  <r>
    <s v="TRX-10130"/>
    <x v="114"/>
    <s v="Morgan"/>
    <x v="10"/>
    <x v="4"/>
    <x v="1"/>
    <x v="3"/>
    <x v="1"/>
    <n v="36"/>
    <n v="80"/>
    <n v="27592.57"/>
    <n v="439.38"/>
    <n v="24.74"/>
    <n v="414.64"/>
    <x v="0"/>
    <n v="1"/>
    <x v="1"/>
    <x v="0"/>
    <s v="No"/>
  </r>
  <r>
    <s v="TRX-10131"/>
    <x v="110"/>
    <s v="Casey"/>
    <x v="5"/>
    <x v="1"/>
    <x v="2"/>
    <x v="0"/>
    <x v="3"/>
    <n v="69"/>
    <n v="108"/>
    <n v="8647.66"/>
    <n v="321.27999999999997"/>
    <n v="153.13"/>
    <n v="168.14999999999998"/>
    <x v="0"/>
    <n v="5"/>
    <x v="0"/>
    <x v="1"/>
    <s v="No"/>
  </r>
  <r>
    <s v="TRX-10132"/>
    <x v="115"/>
    <s v="Alex"/>
    <x v="3"/>
    <x v="3"/>
    <x v="0"/>
    <x v="3"/>
    <x v="1"/>
    <n v="71"/>
    <n v="104"/>
    <n v="3662.05"/>
    <n v="377.39"/>
    <n v="20.94"/>
    <n v="356.45"/>
    <x v="0"/>
    <n v="1"/>
    <x v="0"/>
    <x v="1"/>
    <s v="Yes"/>
  </r>
  <r>
    <s v="TRX-10133"/>
    <x v="116"/>
    <s v="Casey"/>
    <x v="0"/>
    <x v="1"/>
    <x v="2"/>
    <x v="1"/>
    <x v="3"/>
    <n v="38"/>
    <n v="55"/>
    <n v="16210.75"/>
    <n v="101.82"/>
    <n v="95.74"/>
    <n v="6.0799999999999983"/>
    <x v="0"/>
    <n v="5"/>
    <x v="0"/>
    <x v="0"/>
    <s v="No"/>
  </r>
  <r>
    <s v="TRX-10134"/>
    <x v="117"/>
    <s v="Jamie"/>
    <x v="2"/>
    <x v="4"/>
    <x v="2"/>
    <x v="3"/>
    <x v="0"/>
    <n v="55"/>
    <n v="18"/>
    <n v="11405.8"/>
    <n v="314.66000000000003"/>
    <n v="34.47"/>
    <n v="280.19000000000005"/>
    <x v="0"/>
    <n v="1"/>
    <x v="0"/>
    <x v="1"/>
    <s v="No"/>
  </r>
  <r>
    <s v="TRX-10135"/>
    <x v="118"/>
    <s v="Casey"/>
    <x v="12"/>
    <x v="4"/>
    <x v="1"/>
    <x v="4"/>
    <x v="3"/>
    <n v="73"/>
    <n v="34"/>
    <n v="26007.61"/>
    <n v="350.13"/>
    <n v="150.47"/>
    <n v="199.66"/>
    <x v="0"/>
    <n v="5"/>
    <x v="0"/>
    <x v="0"/>
    <s v="No"/>
  </r>
  <r>
    <s v="TRX-10136"/>
    <x v="119"/>
    <s v="Alex"/>
    <x v="1"/>
    <x v="2"/>
    <x v="3"/>
    <x v="2"/>
    <x v="1"/>
    <n v="46"/>
    <n v="89"/>
    <n v="5567.17"/>
    <n v="140.32"/>
    <n v="273.48"/>
    <n v="-133.16000000000003"/>
    <x v="0"/>
    <n v="4"/>
    <x v="0"/>
    <x v="1"/>
    <s v="No"/>
  </r>
  <r>
    <s v="TRX-10137"/>
    <x v="120"/>
    <s v="Alex"/>
    <x v="7"/>
    <x v="0"/>
    <x v="1"/>
    <x v="1"/>
    <x v="3"/>
    <n v="36"/>
    <n v="45"/>
    <n v="37712.65"/>
    <n v="446.07"/>
    <n v="110.83"/>
    <n v="335.24"/>
    <x v="1"/>
    <n v="2"/>
    <x v="1"/>
    <x v="2"/>
    <s v="No"/>
  </r>
  <r>
    <s v="TRX-10138"/>
    <x v="121"/>
    <s v="Jamie"/>
    <x v="8"/>
    <x v="0"/>
    <x v="0"/>
    <x v="4"/>
    <x v="0"/>
    <n v="26"/>
    <n v="6"/>
    <n v="45358.559999999998"/>
    <n v="137.75"/>
    <n v="105.43"/>
    <n v="32.319999999999993"/>
    <x v="1"/>
    <n v="5"/>
    <x v="0"/>
    <x v="2"/>
    <s v="Yes"/>
  </r>
  <r>
    <s v="TRX-10139"/>
    <x v="122"/>
    <s v="Alex"/>
    <x v="14"/>
    <x v="1"/>
    <x v="0"/>
    <x v="0"/>
    <x v="3"/>
    <n v="64"/>
    <n v="21"/>
    <n v="37300.04"/>
    <n v="191.06"/>
    <n v="152.79"/>
    <n v="38.27000000000001"/>
    <x v="1"/>
    <n v="4"/>
    <x v="0"/>
    <x v="2"/>
    <s v="Yes"/>
  </r>
  <r>
    <s v="TRX-10140"/>
    <x v="57"/>
    <s v="Drew"/>
    <x v="11"/>
    <x v="3"/>
    <x v="0"/>
    <x v="1"/>
    <x v="2"/>
    <n v="63"/>
    <n v="70"/>
    <n v="26874.94"/>
    <n v="329.25"/>
    <n v="1.02"/>
    <n v="328.23"/>
    <x v="0"/>
    <n v="3"/>
    <x v="1"/>
    <x v="0"/>
    <s v="Yes"/>
  </r>
  <r>
    <s v="TRX-10141"/>
    <x v="123"/>
    <s v="Alex"/>
    <x v="9"/>
    <x v="0"/>
    <x v="1"/>
    <x v="2"/>
    <x v="1"/>
    <n v="67"/>
    <n v="96"/>
    <n v="43103.06"/>
    <n v="337.26"/>
    <n v="275.33"/>
    <n v="61.930000000000007"/>
    <x v="1"/>
    <n v="1"/>
    <x v="1"/>
    <x v="2"/>
    <s v="Yes"/>
  </r>
  <r>
    <s v="TRX-10142"/>
    <x v="124"/>
    <s v="Morgan"/>
    <x v="2"/>
    <x v="2"/>
    <x v="2"/>
    <x v="2"/>
    <x v="2"/>
    <n v="67"/>
    <n v="105"/>
    <n v="34898.46"/>
    <n v="364.72"/>
    <n v="39.49"/>
    <n v="325.23"/>
    <x v="0"/>
    <n v="3"/>
    <x v="1"/>
    <x v="0"/>
    <s v="No"/>
  </r>
  <r>
    <s v="TRX-10143"/>
    <x v="117"/>
    <s v="Drew"/>
    <x v="4"/>
    <x v="1"/>
    <x v="2"/>
    <x v="0"/>
    <x v="0"/>
    <n v="68"/>
    <n v="48"/>
    <n v="1022.28"/>
    <n v="100.41"/>
    <n v="196.82"/>
    <n v="-96.41"/>
    <x v="0"/>
    <n v="4"/>
    <x v="0"/>
    <x v="1"/>
    <s v="No"/>
  </r>
  <r>
    <s v="TRX-10144"/>
    <x v="66"/>
    <s v="Drew"/>
    <x v="6"/>
    <x v="1"/>
    <x v="4"/>
    <x v="0"/>
    <x v="3"/>
    <n v="62"/>
    <n v="107"/>
    <n v="20007.46"/>
    <n v="432.26"/>
    <n v="147.25"/>
    <n v="285.01"/>
    <x v="0"/>
    <n v="3"/>
    <x v="1"/>
    <x v="0"/>
    <s v="No"/>
  </r>
  <r>
    <s v="TRX-10145"/>
    <x v="76"/>
    <s v="Jamie"/>
    <x v="5"/>
    <x v="2"/>
    <x v="0"/>
    <x v="1"/>
    <x v="2"/>
    <n v="32"/>
    <n v="39"/>
    <n v="42622.12"/>
    <n v="289.77999999999997"/>
    <n v="154.85"/>
    <n v="134.92999999999998"/>
    <x v="1"/>
    <n v="3"/>
    <x v="1"/>
    <x v="2"/>
    <s v="Yes"/>
  </r>
  <r>
    <s v="TRX-10146"/>
    <x v="6"/>
    <s v="Taylor"/>
    <x v="11"/>
    <x v="3"/>
    <x v="2"/>
    <x v="3"/>
    <x v="2"/>
    <n v="33"/>
    <n v="31"/>
    <n v="17620.009999999998"/>
    <n v="262.08999999999997"/>
    <n v="131.24"/>
    <n v="130.84999999999997"/>
    <x v="0"/>
    <n v="4"/>
    <x v="0"/>
    <x v="0"/>
    <s v="No"/>
  </r>
  <r>
    <s v="TRX-10147"/>
    <x v="80"/>
    <s v="Taylor"/>
    <x v="12"/>
    <x v="2"/>
    <x v="4"/>
    <x v="0"/>
    <x v="3"/>
    <n v="24"/>
    <n v="106"/>
    <n v="2243.15"/>
    <n v="491.49"/>
    <n v="94.33"/>
    <n v="397.16"/>
    <x v="0"/>
    <n v="2"/>
    <x v="0"/>
    <x v="1"/>
    <s v="No"/>
  </r>
  <r>
    <s v="TRX-10148"/>
    <x v="12"/>
    <s v="Alex"/>
    <x v="2"/>
    <x v="3"/>
    <x v="2"/>
    <x v="3"/>
    <x v="3"/>
    <n v="59"/>
    <n v="10"/>
    <n v="37435.89"/>
    <n v="383.17"/>
    <n v="114.33"/>
    <n v="268.84000000000003"/>
    <x v="1"/>
    <n v="5"/>
    <x v="0"/>
    <x v="2"/>
    <s v="No"/>
  </r>
  <r>
    <s v="TRX-10149"/>
    <x v="25"/>
    <s v="Drew"/>
    <x v="11"/>
    <x v="2"/>
    <x v="0"/>
    <x v="4"/>
    <x v="1"/>
    <n v="74"/>
    <n v="30"/>
    <n v="40200.89"/>
    <n v="103.1"/>
    <n v="13.92"/>
    <n v="89.179999999999993"/>
    <x v="1"/>
    <n v="1"/>
    <x v="1"/>
    <x v="2"/>
    <s v="Yes"/>
  </r>
  <r>
    <s v="TRX-10150"/>
    <x v="125"/>
    <s v="Taylor"/>
    <x v="2"/>
    <x v="2"/>
    <x v="3"/>
    <x v="2"/>
    <x v="2"/>
    <n v="22"/>
    <n v="116"/>
    <n v="8449.39"/>
    <n v="390.44"/>
    <n v="124.79"/>
    <n v="265.64999999999998"/>
    <x v="0"/>
    <n v="5"/>
    <x v="0"/>
    <x v="1"/>
    <s v="No"/>
  </r>
  <r>
    <s v="TRX-10151"/>
    <x v="126"/>
    <s v="Taylor"/>
    <x v="7"/>
    <x v="4"/>
    <x v="0"/>
    <x v="3"/>
    <x v="2"/>
    <n v="46"/>
    <n v="18"/>
    <n v="27098.35"/>
    <n v="92.86"/>
    <n v="125.22"/>
    <n v="-32.36"/>
    <x v="0"/>
    <n v="1"/>
    <x v="1"/>
    <x v="0"/>
    <s v="Yes"/>
  </r>
  <r>
    <s v="TRX-10152"/>
    <x v="127"/>
    <s v="Alex"/>
    <x v="5"/>
    <x v="1"/>
    <x v="1"/>
    <x v="2"/>
    <x v="0"/>
    <n v="47"/>
    <n v="60"/>
    <n v="10001.790000000001"/>
    <n v="62.36"/>
    <n v="178.24"/>
    <n v="-115.88000000000001"/>
    <x v="0"/>
    <n v="5"/>
    <x v="0"/>
    <x v="1"/>
    <s v="No"/>
  </r>
  <r>
    <s v="TRX-10153"/>
    <x v="128"/>
    <s v="Taylor"/>
    <x v="12"/>
    <x v="2"/>
    <x v="2"/>
    <x v="3"/>
    <x v="1"/>
    <n v="47"/>
    <n v="88"/>
    <n v="36102.1"/>
    <n v="231.63"/>
    <n v="151.69999999999999"/>
    <n v="79.930000000000007"/>
    <x v="1"/>
    <n v="3"/>
    <x v="1"/>
    <x v="2"/>
    <s v="No"/>
  </r>
  <r>
    <s v="TRX-10154"/>
    <x v="129"/>
    <s v="Casey"/>
    <x v="4"/>
    <x v="2"/>
    <x v="2"/>
    <x v="4"/>
    <x v="0"/>
    <n v="35"/>
    <n v="116"/>
    <n v="13941.75"/>
    <n v="497.11"/>
    <n v="15.43"/>
    <n v="481.68"/>
    <x v="0"/>
    <n v="2"/>
    <x v="0"/>
    <x v="1"/>
    <s v="No"/>
  </r>
  <r>
    <s v="TRX-10155"/>
    <x v="130"/>
    <s v="Jordan"/>
    <x v="10"/>
    <x v="0"/>
    <x v="1"/>
    <x v="0"/>
    <x v="2"/>
    <n v="28"/>
    <n v="73"/>
    <n v="16152.65"/>
    <n v="128.69999999999999"/>
    <n v="61.24"/>
    <n v="67.45999999999998"/>
    <x v="0"/>
    <n v="3"/>
    <x v="0"/>
    <x v="0"/>
    <s v="No"/>
  </r>
  <r>
    <s v="TRX-10156"/>
    <x v="113"/>
    <s v="Jamie"/>
    <x v="0"/>
    <x v="1"/>
    <x v="1"/>
    <x v="4"/>
    <x v="0"/>
    <n v="27"/>
    <n v="95"/>
    <n v="42326.06"/>
    <n v="352.69"/>
    <n v="131.13"/>
    <n v="221.56"/>
    <x v="1"/>
    <n v="2"/>
    <x v="1"/>
    <x v="2"/>
    <s v="Yes"/>
  </r>
  <r>
    <s v="TRX-10157"/>
    <x v="85"/>
    <s v="Jordan"/>
    <x v="4"/>
    <x v="0"/>
    <x v="3"/>
    <x v="0"/>
    <x v="2"/>
    <n v="67"/>
    <n v="15"/>
    <n v="24077.96"/>
    <n v="128.03"/>
    <n v="47.85"/>
    <n v="80.180000000000007"/>
    <x v="0"/>
    <n v="4"/>
    <x v="0"/>
    <x v="0"/>
    <s v="No"/>
  </r>
  <r>
    <s v="TRX-10158"/>
    <x v="1"/>
    <s v="Alex"/>
    <x v="10"/>
    <x v="1"/>
    <x v="2"/>
    <x v="0"/>
    <x v="2"/>
    <n v="66"/>
    <n v="4"/>
    <n v="33652.85"/>
    <n v="376.15"/>
    <n v="56.11"/>
    <n v="320.03999999999996"/>
    <x v="0"/>
    <n v="1"/>
    <x v="1"/>
    <x v="0"/>
    <s v="No"/>
  </r>
  <r>
    <s v="TRX-10159"/>
    <x v="131"/>
    <s v="Morgan"/>
    <x v="6"/>
    <x v="0"/>
    <x v="2"/>
    <x v="2"/>
    <x v="0"/>
    <n v="60"/>
    <n v="63"/>
    <n v="20417.47"/>
    <n v="277.41000000000003"/>
    <n v="164.09"/>
    <n v="113.32000000000002"/>
    <x v="0"/>
    <n v="1"/>
    <x v="1"/>
    <x v="0"/>
    <s v="No"/>
  </r>
  <r>
    <s v="TRX-10160"/>
    <x v="127"/>
    <s v="Jamie"/>
    <x v="8"/>
    <x v="2"/>
    <x v="3"/>
    <x v="4"/>
    <x v="0"/>
    <n v="32"/>
    <n v="40"/>
    <n v="15251.34"/>
    <n v="355.99"/>
    <n v="116.86"/>
    <n v="239.13"/>
    <x v="0"/>
    <n v="4"/>
    <x v="0"/>
    <x v="0"/>
    <s v="No"/>
  </r>
  <r>
    <s v="TRX-10161"/>
    <x v="132"/>
    <s v="Alex"/>
    <x v="13"/>
    <x v="2"/>
    <x v="4"/>
    <x v="3"/>
    <x v="3"/>
    <n v="33"/>
    <n v="9"/>
    <n v="31461.16"/>
    <n v="141.29"/>
    <n v="101.71"/>
    <n v="39.58"/>
    <x v="0"/>
    <n v="5"/>
    <x v="0"/>
    <x v="0"/>
    <s v="No"/>
  </r>
  <r>
    <s v="TRX-10162"/>
    <x v="95"/>
    <s v="Drew"/>
    <x v="13"/>
    <x v="4"/>
    <x v="3"/>
    <x v="4"/>
    <x v="3"/>
    <n v="63"/>
    <n v="109"/>
    <n v="8165.45"/>
    <n v="385.53"/>
    <n v="63.69"/>
    <n v="321.83999999999997"/>
    <x v="0"/>
    <n v="4"/>
    <x v="0"/>
    <x v="1"/>
    <s v="No"/>
  </r>
  <r>
    <s v="TRX-10163"/>
    <x v="133"/>
    <s v="Morgan"/>
    <x v="13"/>
    <x v="0"/>
    <x v="0"/>
    <x v="2"/>
    <x v="3"/>
    <n v="37"/>
    <n v="9"/>
    <n v="18963.490000000002"/>
    <n v="498.03"/>
    <n v="146.19"/>
    <n v="351.84"/>
    <x v="0"/>
    <n v="4"/>
    <x v="0"/>
    <x v="0"/>
    <s v="Yes"/>
  </r>
  <r>
    <s v="TRX-10164"/>
    <x v="4"/>
    <s v="Jordan"/>
    <x v="9"/>
    <x v="3"/>
    <x v="2"/>
    <x v="0"/>
    <x v="2"/>
    <n v="37"/>
    <n v="26"/>
    <n v="10847.33"/>
    <n v="349.54"/>
    <n v="57.54"/>
    <n v="292"/>
    <x v="0"/>
    <n v="2"/>
    <x v="0"/>
    <x v="1"/>
    <s v="No"/>
  </r>
  <r>
    <s v="TRX-10165"/>
    <x v="61"/>
    <s v="Alex"/>
    <x v="1"/>
    <x v="4"/>
    <x v="1"/>
    <x v="2"/>
    <x v="0"/>
    <n v="56"/>
    <n v="4"/>
    <n v="34941.85"/>
    <n v="272.07"/>
    <n v="147.41"/>
    <n v="124.66"/>
    <x v="0"/>
    <n v="4"/>
    <x v="0"/>
    <x v="0"/>
    <s v="No"/>
  </r>
  <r>
    <s v="TRX-10166"/>
    <x v="39"/>
    <s v="Drew"/>
    <x v="3"/>
    <x v="0"/>
    <x v="0"/>
    <x v="1"/>
    <x v="1"/>
    <n v="41"/>
    <n v="81"/>
    <n v="47238.34"/>
    <n v="465.43"/>
    <n v="21.03"/>
    <n v="444.4"/>
    <x v="1"/>
    <n v="1"/>
    <x v="1"/>
    <x v="2"/>
    <s v="Yes"/>
  </r>
  <r>
    <s v="TRX-10167"/>
    <x v="117"/>
    <s v="Jamie"/>
    <x v="14"/>
    <x v="0"/>
    <x v="2"/>
    <x v="1"/>
    <x v="2"/>
    <n v="28"/>
    <n v="16"/>
    <n v="49777.79"/>
    <n v="57.13"/>
    <n v="172.91"/>
    <n v="-115.78"/>
    <x v="1"/>
    <n v="3"/>
    <x v="1"/>
    <x v="2"/>
    <s v="Yes"/>
  </r>
  <r>
    <s v="TRX-10168"/>
    <x v="3"/>
    <s v="Jamie"/>
    <x v="14"/>
    <x v="4"/>
    <x v="3"/>
    <x v="3"/>
    <x v="1"/>
    <n v="25"/>
    <n v="15"/>
    <n v="22788.7"/>
    <n v="378.47"/>
    <n v="149.86000000000001"/>
    <n v="228.61"/>
    <x v="0"/>
    <n v="2"/>
    <x v="1"/>
    <x v="0"/>
    <s v="No"/>
  </r>
  <r>
    <s v="TRX-10169"/>
    <x v="134"/>
    <s v="Sam"/>
    <x v="1"/>
    <x v="2"/>
    <x v="0"/>
    <x v="2"/>
    <x v="0"/>
    <n v="46"/>
    <n v="99"/>
    <n v="13000.25"/>
    <n v="449.94"/>
    <n v="87.7"/>
    <n v="362.24"/>
    <x v="0"/>
    <n v="2"/>
    <x v="0"/>
    <x v="1"/>
    <s v="Yes"/>
  </r>
  <r>
    <s v="TRX-10170"/>
    <x v="126"/>
    <s v="Drew"/>
    <x v="13"/>
    <x v="0"/>
    <x v="2"/>
    <x v="3"/>
    <x v="2"/>
    <n v="36"/>
    <n v="52"/>
    <n v="22420.05"/>
    <n v="77.75"/>
    <n v="122.2"/>
    <n v="-44.45"/>
    <x v="0"/>
    <n v="5"/>
    <x v="0"/>
    <x v="0"/>
    <s v="No"/>
  </r>
  <r>
    <s v="TRX-10171"/>
    <x v="135"/>
    <s v="Casey"/>
    <x v="0"/>
    <x v="2"/>
    <x v="4"/>
    <x v="3"/>
    <x v="1"/>
    <n v="56"/>
    <n v="69"/>
    <n v="42439.839999999997"/>
    <n v="252.53"/>
    <n v="187.26"/>
    <n v="65.27000000000001"/>
    <x v="1"/>
    <n v="3"/>
    <x v="1"/>
    <x v="2"/>
    <s v="Yes"/>
  </r>
  <r>
    <s v="TRX-10172"/>
    <x v="136"/>
    <s v="Taylor"/>
    <x v="12"/>
    <x v="4"/>
    <x v="4"/>
    <x v="1"/>
    <x v="1"/>
    <n v="48"/>
    <n v="119"/>
    <n v="10697.28"/>
    <n v="142.12"/>
    <n v="39.619999999999997"/>
    <n v="102.5"/>
    <x v="0"/>
    <n v="2"/>
    <x v="0"/>
    <x v="1"/>
    <s v="No"/>
  </r>
  <r>
    <s v="TRX-10173"/>
    <x v="137"/>
    <s v="Morgan"/>
    <x v="5"/>
    <x v="2"/>
    <x v="1"/>
    <x v="3"/>
    <x v="3"/>
    <n v="74"/>
    <n v="5"/>
    <n v="47628.73"/>
    <n v="304.93"/>
    <n v="151.25"/>
    <n v="153.68"/>
    <x v="1"/>
    <n v="4"/>
    <x v="0"/>
    <x v="2"/>
    <s v="Yes"/>
  </r>
  <r>
    <s v="TRX-10174"/>
    <x v="138"/>
    <s v="Drew"/>
    <x v="12"/>
    <x v="1"/>
    <x v="2"/>
    <x v="1"/>
    <x v="3"/>
    <n v="49"/>
    <n v="20"/>
    <n v="17422.36"/>
    <n v="342.29"/>
    <n v="55.19"/>
    <n v="287.10000000000002"/>
    <x v="0"/>
    <n v="2"/>
    <x v="0"/>
    <x v="0"/>
    <s v="No"/>
  </r>
  <r>
    <s v="TRX-10175"/>
    <x v="139"/>
    <s v="Sam"/>
    <x v="5"/>
    <x v="3"/>
    <x v="4"/>
    <x v="0"/>
    <x v="3"/>
    <n v="67"/>
    <n v="79"/>
    <n v="49297.279999999999"/>
    <n v="186.18"/>
    <n v="180.99"/>
    <n v="5.1899999999999977"/>
    <x v="1"/>
    <n v="2"/>
    <x v="1"/>
    <x v="2"/>
    <s v="Yes"/>
  </r>
  <r>
    <s v="TRX-10176"/>
    <x v="45"/>
    <s v="Taylor"/>
    <x v="12"/>
    <x v="0"/>
    <x v="3"/>
    <x v="2"/>
    <x v="2"/>
    <n v="32"/>
    <n v="18"/>
    <n v="42011.14"/>
    <n v="256.99"/>
    <n v="163.57"/>
    <n v="93.420000000000016"/>
    <x v="1"/>
    <n v="2"/>
    <x v="1"/>
    <x v="2"/>
    <s v="Yes"/>
  </r>
  <r>
    <s v="TRX-10177"/>
    <x v="131"/>
    <s v="Taylor"/>
    <x v="3"/>
    <x v="3"/>
    <x v="2"/>
    <x v="3"/>
    <x v="0"/>
    <n v="57"/>
    <n v="111"/>
    <n v="40524.239999999998"/>
    <n v="175.7"/>
    <n v="69.25"/>
    <n v="106.44999999999999"/>
    <x v="1"/>
    <n v="5"/>
    <x v="0"/>
    <x v="2"/>
    <s v="Yes"/>
  </r>
  <r>
    <s v="TRX-10178"/>
    <x v="129"/>
    <s v="Alex"/>
    <x v="9"/>
    <x v="2"/>
    <x v="3"/>
    <x v="1"/>
    <x v="0"/>
    <n v="50"/>
    <n v="2"/>
    <n v="16236.28"/>
    <n v="216.23"/>
    <n v="161.55000000000001"/>
    <n v="54.679999999999978"/>
    <x v="0"/>
    <n v="2"/>
    <x v="0"/>
    <x v="0"/>
    <s v="No"/>
  </r>
  <r>
    <s v="TRX-10179"/>
    <x v="140"/>
    <s v="Taylor"/>
    <x v="9"/>
    <x v="0"/>
    <x v="3"/>
    <x v="4"/>
    <x v="3"/>
    <n v="43"/>
    <n v="93"/>
    <n v="934.47"/>
    <n v="121.79"/>
    <n v="71.28"/>
    <n v="50.510000000000005"/>
    <x v="0"/>
    <n v="2"/>
    <x v="0"/>
    <x v="1"/>
    <s v="No"/>
  </r>
  <r>
    <s v="TRX-10180"/>
    <x v="83"/>
    <s v="Casey"/>
    <x v="13"/>
    <x v="2"/>
    <x v="4"/>
    <x v="3"/>
    <x v="3"/>
    <n v="36"/>
    <n v="13"/>
    <n v="19415.580000000002"/>
    <n v="448.5"/>
    <n v="20.190000000000001"/>
    <n v="428.31"/>
    <x v="0"/>
    <n v="5"/>
    <x v="0"/>
    <x v="0"/>
    <s v="No"/>
  </r>
  <r>
    <s v="TRX-10181"/>
    <x v="141"/>
    <s v="Jamie"/>
    <x v="6"/>
    <x v="1"/>
    <x v="2"/>
    <x v="0"/>
    <x v="3"/>
    <n v="34"/>
    <n v="4"/>
    <n v="15439.56"/>
    <n v="54.5"/>
    <n v="192.38"/>
    <n v="-137.88"/>
    <x v="0"/>
    <n v="3"/>
    <x v="0"/>
    <x v="0"/>
    <s v="No"/>
  </r>
  <r>
    <s v="TRX-10182"/>
    <x v="126"/>
    <s v="Sam"/>
    <x v="10"/>
    <x v="4"/>
    <x v="0"/>
    <x v="0"/>
    <x v="1"/>
    <n v="30"/>
    <n v="42"/>
    <n v="2351.15"/>
    <n v="447.08"/>
    <n v="195.78"/>
    <n v="251.29999999999998"/>
    <x v="0"/>
    <n v="1"/>
    <x v="0"/>
    <x v="1"/>
    <s v="Yes"/>
  </r>
  <r>
    <s v="TRX-10183"/>
    <x v="142"/>
    <s v="Taylor"/>
    <x v="6"/>
    <x v="0"/>
    <x v="4"/>
    <x v="4"/>
    <x v="3"/>
    <n v="27"/>
    <n v="109"/>
    <n v="25515.58"/>
    <n v="307.26"/>
    <n v="91.22"/>
    <n v="216.04"/>
    <x v="0"/>
    <n v="5"/>
    <x v="0"/>
    <x v="0"/>
    <s v="No"/>
  </r>
  <r>
    <s v="TRX-10184"/>
    <x v="104"/>
    <s v="Alex"/>
    <x v="11"/>
    <x v="1"/>
    <x v="4"/>
    <x v="1"/>
    <x v="1"/>
    <n v="65"/>
    <n v="74"/>
    <n v="20450.05"/>
    <n v="199.25"/>
    <n v="119.32"/>
    <n v="79.930000000000007"/>
    <x v="0"/>
    <n v="5"/>
    <x v="0"/>
    <x v="0"/>
    <s v="No"/>
  </r>
  <r>
    <s v="TRX-10185"/>
    <x v="143"/>
    <s v="Casey"/>
    <x v="9"/>
    <x v="1"/>
    <x v="2"/>
    <x v="3"/>
    <x v="0"/>
    <n v="72"/>
    <n v="61"/>
    <n v="31910.55"/>
    <n v="375.38"/>
    <n v="64.94"/>
    <n v="310.44"/>
    <x v="0"/>
    <n v="2"/>
    <x v="1"/>
    <x v="0"/>
    <s v="No"/>
  </r>
  <r>
    <s v="TRX-10186"/>
    <x v="31"/>
    <s v="Jordan"/>
    <x v="9"/>
    <x v="0"/>
    <x v="2"/>
    <x v="1"/>
    <x v="2"/>
    <n v="57"/>
    <n v="95"/>
    <n v="31248.720000000001"/>
    <n v="278.49"/>
    <n v="196.29"/>
    <n v="82.200000000000017"/>
    <x v="0"/>
    <n v="2"/>
    <x v="1"/>
    <x v="0"/>
    <s v="No"/>
  </r>
  <r>
    <s v="TRX-10187"/>
    <x v="73"/>
    <s v="Jamie"/>
    <x v="4"/>
    <x v="2"/>
    <x v="3"/>
    <x v="0"/>
    <x v="2"/>
    <n v="49"/>
    <n v="105"/>
    <n v="6476.96"/>
    <n v="274.60000000000002"/>
    <n v="26.95"/>
    <n v="247.65000000000003"/>
    <x v="0"/>
    <n v="1"/>
    <x v="0"/>
    <x v="1"/>
    <s v="No"/>
  </r>
  <r>
    <s v="TRX-10188"/>
    <x v="144"/>
    <s v="Jamie"/>
    <x v="4"/>
    <x v="1"/>
    <x v="2"/>
    <x v="1"/>
    <x v="2"/>
    <n v="23"/>
    <n v="8"/>
    <n v="48859.79"/>
    <n v="99.56"/>
    <n v="62.96"/>
    <n v="36.6"/>
    <x v="1"/>
    <n v="2"/>
    <x v="1"/>
    <x v="2"/>
    <s v="Yes"/>
  </r>
  <r>
    <s v="TRX-10189"/>
    <x v="145"/>
    <s v="Sam"/>
    <x v="10"/>
    <x v="3"/>
    <x v="3"/>
    <x v="0"/>
    <x v="2"/>
    <n v="35"/>
    <n v="67"/>
    <n v="9753.11"/>
    <n v="225.28"/>
    <n v="97.1"/>
    <n v="128.18"/>
    <x v="0"/>
    <n v="4"/>
    <x v="0"/>
    <x v="1"/>
    <s v="No"/>
  </r>
  <r>
    <s v="TRX-10190"/>
    <x v="146"/>
    <s v="Jamie"/>
    <x v="7"/>
    <x v="1"/>
    <x v="4"/>
    <x v="1"/>
    <x v="1"/>
    <n v="56"/>
    <n v="112"/>
    <n v="22541.06"/>
    <n v="158.47999999999999"/>
    <n v="143.4"/>
    <n v="15.079999999999984"/>
    <x v="0"/>
    <n v="2"/>
    <x v="1"/>
    <x v="0"/>
    <s v="No"/>
  </r>
  <r>
    <s v="TRX-10191"/>
    <x v="147"/>
    <s v="Taylor"/>
    <x v="11"/>
    <x v="2"/>
    <x v="1"/>
    <x v="4"/>
    <x v="1"/>
    <n v="67"/>
    <n v="63"/>
    <n v="24661.82"/>
    <n v="57.06"/>
    <n v="141.4"/>
    <n v="-84.34"/>
    <x v="0"/>
    <n v="2"/>
    <x v="1"/>
    <x v="0"/>
    <s v="No"/>
  </r>
  <r>
    <s v="TRX-10192"/>
    <x v="148"/>
    <s v="Alex"/>
    <x v="6"/>
    <x v="2"/>
    <x v="0"/>
    <x v="2"/>
    <x v="3"/>
    <n v="66"/>
    <n v="110"/>
    <n v="40746.61"/>
    <n v="212.04"/>
    <n v="35.159999999999997"/>
    <n v="176.88"/>
    <x v="1"/>
    <n v="4"/>
    <x v="0"/>
    <x v="2"/>
    <s v="Yes"/>
  </r>
  <r>
    <s v="TRX-10193"/>
    <x v="80"/>
    <s v="Jamie"/>
    <x v="0"/>
    <x v="3"/>
    <x v="4"/>
    <x v="4"/>
    <x v="1"/>
    <n v="72"/>
    <n v="9"/>
    <n v="5411.87"/>
    <n v="90.42"/>
    <n v="43.48"/>
    <n v="46.940000000000005"/>
    <x v="0"/>
    <n v="1"/>
    <x v="0"/>
    <x v="1"/>
    <s v="No"/>
  </r>
  <r>
    <s v="TRX-10194"/>
    <x v="95"/>
    <s v="Jamie"/>
    <x v="4"/>
    <x v="1"/>
    <x v="2"/>
    <x v="4"/>
    <x v="3"/>
    <n v="39"/>
    <n v="94"/>
    <n v="21717.89"/>
    <n v="165.57"/>
    <n v="50.95"/>
    <n v="114.61999999999999"/>
    <x v="0"/>
    <n v="4"/>
    <x v="0"/>
    <x v="0"/>
    <s v="No"/>
  </r>
  <r>
    <s v="TRX-10195"/>
    <x v="100"/>
    <s v="Jordan"/>
    <x v="0"/>
    <x v="2"/>
    <x v="0"/>
    <x v="2"/>
    <x v="3"/>
    <n v="33"/>
    <n v="117"/>
    <n v="31610.86"/>
    <n v="91.63"/>
    <n v="182.91"/>
    <n v="-91.28"/>
    <x v="0"/>
    <n v="5"/>
    <x v="0"/>
    <x v="0"/>
    <s v="Yes"/>
  </r>
  <r>
    <s v="TRX-10196"/>
    <x v="86"/>
    <s v="Jordan"/>
    <x v="2"/>
    <x v="0"/>
    <x v="1"/>
    <x v="2"/>
    <x v="2"/>
    <n v="62"/>
    <n v="11"/>
    <n v="11150.2"/>
    <n v="95.42"/>
    <n v="22.61"/>
    <n v="72.81"/>
    <x v="0"/>
    <n v="4"/>
    <x v="0"/>
    <x v="1"/>
    <s v="No"/>
  </r>
  <r>
    <s v="TRX-10197"/>
    <x v="149"/>
    <s v="Morgan"/>
    <x v="4"/>
    <x v="4"/>
    <x v="1"/>
    <x v="3"/>
    <x v="1"/>
    <n v="41"/>
    <n v="99"/>
    <n v="31559.66"/>
    <n v="139.56"/>
    <n v="227.24"/>
    <n v="-87.68"/>
    <x v="0"/>
    <n v="3"/>
    <x v="1"/>
    <x v="0"/>
    <s v="No"/>
  </r>
  <r>
    <s v="TRX-10198"/>
    <x v="150"/>
    <s v="Casey"/>
    <x v="3"/>
    <x v="4"/>
    <x v="3"/>
    <x v="3"/>
    <x v="1"/>
    <n v="57"/>
    <n v="101"/>
    <n v="46221.41"/>
    <n v="499.93"/>
    <n v="227.26"/>
    <n v="272.67"/>
    <x v="1"/>
    <n v="5"/>
    <x v="0"/>
    <x v="2"/>
    <s v="Yes"/>
  </r>
  <r>
    <s v="TRX-10199"/>
    <x v="151"/>
    <s v="Taylor"/>
    <x v="7"/>
    <x v="4"/>
    <x v="0"/>
    <x v="4"/>
    <x v="3"/>
    <n v="47"/>
    <n v="42"/>
    <n v="49877.15"/>
    <n v="50.98"/>
    <n v="161.94999999999999"/>
    <n v="-110.97"/>
    <x v="1"/>
    <n v="2"/>
    <x v="1"/>
    <x v="2"/>
    <s v="Yes"/>
  </r>
  <r>
    <s v="TRX-10200"/>
    <x v="152"/>
    <s v="Jamie"/>
    <x v="11"/>
    <x v="1"/>
    <x v="3"/>
    <x v="4"/>
    <x v="3"/>
    <n v="72"/>
    <n v="13"/>
    <n v="2106.33"/>
    <n v="337.4"/>
    <n v="177.32"/>
    <n v="160.07999999999998"/>
    <x v="0"/>
    <n v="5"/>
    <x v="0"/>
    <x v="1"/>
    <s v="No"/>
  </r>
  <r>
    <s v="TRX-10201"/>
    <x v="129"/>
    <s v="Drew"/>
    <x v="8"/>
    <x v="3"/>
    <x v="4"/>
    <x v="0"/>
    <x v="0"/>
    <n v="49"/>
    <n v="36"/>
    <n v="12161.62"/>
    <n v="113.56"/>
    <n v="52.61"/>
    <n v="60.95"/>
    <x v="0"/>
    <n v="1"/>
    <x v="0"/>
    <x v="1"/>
    <s v="No"/>
  </r>
  <r>
    <s v="TRX-10202"/>
    <x v="153"/>
    <s v="Jamie"/>
    <x v="10"/>
    <x v="2"/>
    <x v="0"/>
    <x v="0"/>
    <x v="0"/>
    <n v="40"/>
    <n v="13"/>
    <n v="15860.2"/>
    <n v="464.28"/>
    <n v="44.91"/>
    <n v="419.37"/>
    <x v="0"/>
    <n v="1"/>
    <x v="0"/>
    <x v="0"/>
    <s v="Yes"/>
  </r>
  <r>
    <s v="TRX-10203"/>
    <x v="99"/>
    <s v="Alex"/>
    <x v="2"/>
    <x v="0"/>
    <x v="4"/>
    <x v="3"/>
    <x v="3"/>
    <n v="45"/>
    <n v="12"/>
    <n v="20256.740000000002"/>
    <n v="92.13"/>
    <n v="93.1"/>
    <n v="-0.96999999999999886"/>
    <x v="0"/>
    <n v="4"/>
    <x v="0"/>
    <x v="0"/>
    <s v="No"/>
  </r>
  <r>
    <s v="TRX-10204"/>
    <x v="154"/>
    <s v="Morgan"/>
    <x v="8"/>
    <x v="0"/>
    <x v="3"/>
    <x v="3"/>
    <x v="0"/>
    <n v="26"/>
    <n v="37"/>
    <n v="12491.73"/>
    <n v="479.78"/>
    <n v="53.02"/>
    <n v="426.76"/>
    <x v="0"/>
    <n v="5"/>
    <x v="0"/>
    <x v="1"/>
    <s v="No"/>
  </r>
  <r>
    <s v="TRX-10205"/>
    <x v="155"/>
    <s v="Casey"/>
    <x v="11"/>
    <x v="1"/>
    <x v="0"/>
    <x v="0"/>
    <x v="0"/>
    <n v="56"/>
    <n v="74"/>
    <n v="10572.66"/>
    <n v="324.92"/>
    <n v="146.86000000000001"/>
    <n v="178.06"/>
    <x v="0"/>
    <n v="2"/>
    <x v="0"/>
    <x v="1"/>
    <s v="Yes"/>
  </r>
  <r>
    <s v="TRX-10206"/>
    <x v="17"/>
    <s v="Drew"/>
    <x v="6"/>
    <x v="4"/>
    <x v="3"/>
    <x v="0"/>
    <x v="3"/>
    <n v="22"/>
    <n v="73"/>
    <n v="47750.42"/>
    <n v="50.57"/>
    <n v="127.19"/>
    <n v="-76.62"/>
    <x v="1"/>
    <n v="1"/>
    <x v="1"/>
    <x v="2"/>
    <s v="Yes"/>
  </r>
  <r>
    <s v="TRX-10207"/>
    <x v="156"/>
    <s v="Morgan"/>
    <x v="13"/>
    <x v="1"/>
    <x v="0"/>
    <x v="1"/>
    <x v="3"/>
    <n v="42"/>
    <n v="52"/>
    <n v="45966.82"/>
    <n v="452.3"/>
    <n v="175"/>
    <n v="277.3"/>
    <x v="1"/>
    <n v="2"/>
    <x v="1"/>
    <x v="2"/>
    <s v="Yes"/>
  </r>
  <r>
    <s v="TRX-10208"/>
    <x v="157"/>
    <s v="Sam"/>
    <x v="3"/>
    <x v="3"/>
    <x v="3"/>
    <x v="1"/>
    <x v="1"/>
    <n v="52"/>
    <n v="71"/>
    <n v="2826.13"/>
    <n v="284.77"/>
    <n v="24.83"/>
    <n v="259.94"/>
    <x v="0"/>
    <n v="3"/>
    <x v="0"/>
    <x v="1"/>
    <s v="No"/>
  </r>
  <r>
    <s v="TRX-10209"/>
    <x v="158"/>
    <s v="Casey"/>
    <x v="11"/>
    <x v="3"/>
    <x v="1"/>
    <x v="0"/>
    <x v="3"/>
    <n v="36"/>
    <n v="2"/>
    <n v="17271.240000000002"/>
    <n v="168.2"/>
    <n v="183.02"/>
    <n v="-14.820000000000022"/>
    <x v="0"/>
    <n v="1"/>
    <x v="0"/>
    <x v="0"/>
    <s v="No"/>
  </r>
  <r>
    <s v="TRX-10210"/>
    <x v="147"/>
    <s v="Jamie"/>
    <x v="3"/>
    <x v="2"/>
    <x v="3"/>
    <x v="1"/>
    <x v="3"/>
    <n v="38"/>
    <n v="118"/>
    <n v="20554.849999999999"/>
    <n v="395.28"/>
    <n v="58.67"/>
    <n v="336.60999999999996"/>
    <x v="0"/>
    <n v="4"/>
    <x v="0"/>
    <x v="0"/>
    <s v="No"/>
  </r>
  <r>
    <s v="TRX-10211"/>
    <x v="159"/>
    <s v="Jamie"/>
    <x v="1"/>
    <x v="2"/>
    <x v="1"/>
    <x v="2"/>
    <x v="2"/>
    <n v="25"/>
    <n v="56"/>
    <n v="12331.22"/>
    <n v="467"/>
    <n v="98.14"/>
    <n v="368.86"/>
    <x v="0"/>
    <n v="3"/>
    <x v="0"/>
    <x v="1"/>
    <s v="No"/>
  </r>
  <r>
    <s v="TRX-10212"/>
    <x v="7"/>
    <s v="Casey"/>
    <x v="3"/>
    <x v="3"/>
    <x v="3"/>
    <x v="3"/>
    <x v="1"/>
    <n v="74"/>
    <n v="60"/>
    <n v="31629.21"/>
    <n v="267.66000000000003"/>
    <n v="131.58000000000001"/>
    <n v="136.08000000000001"/>
    <x v="0"/>
    <n v="5"/>
    <x v="0"/>
    <x v="0"/>
    <s v="No"/>
  </r>
  <r>
    <s v="TRX-10213"/>
    <x v="58"/>
    <s v="Jamie"/>
    <x v="0"/>
    <x v="3"/>
    <x v="0"/>
    <x v="3"/>
    <x v="1"/>
    <n v="56"/>
    <n v="23"/>
    <n v="32198.85"/>
    <n v="192"/>
    <n v="228.09"/>
    <n v="-36.090000000000003"/>
    <x v="0"/>
    <n v="2"/>
    <x v="1"/>
    <x v="0"/>
    <s v="Yes"/>
  </r>
  <r>
    <s v="TRX-10214"/>
    <x v="41"/>
    <s v="Taylor"/>
    <x v="1"/>
    <x v="3"/>
    <x v="0"/>
    <x v="0"/>
    <x v="1"/>
    <n v="50"/>
    <n v="103"/>
    <n v="42599.96"/>
    <n v="405.03"/>
    <n v="126.1"/>
    <n v="278.92999999999995"/>
    <x v="1"/>
    <n v="1"/>
    <x v="1"/>
    <x v="2"/>
    <s v="Yes"/>
  </r>
  <r>
    <s v="TRX-10215"/>
    <x v="56"/>
    <s v="Casey"/>
    <x v="12"/>
    <x v="1"/>
    <x v="0"/>
    <x v="4"/>
    <x v="2"/>
    <n v="65"/>
    <n v="40"/>
    <n v="37173.03"/>
    <n v="356.8"/>
    <n v="188.71"/>
    <n v="168.09"/>
    <x v="1"/>
    <n v="3"/>
    <x v="1"/>
    <x v="2"/>
    <s v="Yes"/>
  </r>
  <r>
    <s v="TRX-10216"/>
    <x v="160"/>
    <s v="Morgan"/>
    <x v="8"/>
    <x v="3"/>
    <x v="2"/>
    <x v="0"/>
    <x v="3"/>
    <n v="39"/>
    <n v="64"/>
    <n v="27357.38"/>
    <n v="449.94"/>
    <n v="180.51"/>
    <n v="269.43"/>
    <x v="0"/>
    <n v="3"/>
    <x v="1"/>
    <x v="0"/>
    <s v="No"/>
  </r>
  <r>
    <s v="TRX-10217"/>
    <x v="161"/>
    <s v="Casey"/>
    <x v="13"/>
    <x v="0"/>
    <x v="4"/>
    <x v="1"/>
    <x v="1"/>
    <n v="43"/>
    <n v="103"/>
    <n v="32852.550000000003"/>
    <n v="361.63"/>
    <n v="261.64"/>
    <n v="99.990000000000009"/>
    <x v="0"/>
    <n v="1"/>
    <x v="1"/>
    <x v="0"/>
    <s v="No"/>
  </r>
  <r>
    <s v="TRX-10218"/>
    <x v="159"/>
    <s v="Drew"/>
    <x v="1"/>
    <x v="4"/>
    <x v="0"/>
    <x v="4"/>
    <x v="1"/>
    <n v="54"/>
    <n v="85"/>
    <n v="14062.44"/>
    <n v="159.59"/>
    <n v="21.38"/>
    <n v="138.21"/>
    <x v="0"/>
    <n v="5"/>
    <x v="0"/>
    <x v="1"/>
    <s v="Yes"/>
  </r>
  <r>
    <s v="TRX-10219"/>
    <x v="162"/>
    <s v="Jamie"/>
    <x v="6"/>
    <x v="3"/>
    <x v="1"/>
    <x v="1"/>
    <x v="0"/>
    <n v="33"/>
    <n v="23"/>
    <n v="29856.28"/>
    <n v="469.25"/>
    <n v="170.85"/>
    <n v="298.39999999999998"/>
    <x v="0"/>
    <n v="5"/>
    <x v="0"/>
    <x v="0"/>
    <s v="No"/>
  </r>
  <r>
    <s v="TRX-10220"/>
    <x v="39"/>
    <s v="Taylor"/>
    <x v="2"/>
    <x v="4"/>
    <x v="0"/>
    <x v="2"/>
    <x v="1"/>
    <n v="63"/>
    <n v="29"/>
    <n v="24716.75"/>
    <n v="97.18"/>
    <n v="234.5"/>
    <n v="-137.32"/>
    <x v="0"/>
    <n v="4"/>
    <x v="0"/>
    <x v="0"/>
    <s v="Yes"/>
  </r>
  <r>
    <s v="TRX-10221"/>
    <x v="163"/>
    <s v="Taylor"/>
    <x v="11"/>
    <x v="1"/>
    <x v="2"/>
    <x v="1"/>
    <x v="3"/>
    <n v="74"/>
    <n v="78"/>
    <n v="7100.55"/>
    <n v="170.57"/>
    <n v="20.7"/>
    <n v="149.87"/>
    <x v="0"/>
    <n v="5"/>
    <x v="0"/>
    <x v="1"/>
    <s v="No"/>
  </r>
  <r>
    <s v="TRX-10222"/>
    <x v="55"/>
    <s v="Sam"/>
    <x v="5"/>
    <x v="4"/>
    <x v="1"/>
    <x v="2"/>
    <x v="3"/>
    <n v="49"/>
    <n v="90"/>
    <n v="12505.94"/>
    <n v="284.08999999999997"/>
    <n v="21.48"/>
    <n v="262.60999999999996"/>
    <x v="0"/>
    <n v="4"/>
    <x v="0"/>
    <x v="1"/>
    <s v="No"/>
  </r>
  <r>
    <s v="TRX-10223"/>
    <x v="164"/>
    <s v="Morgan"/>
    <x v="2"/>
    <x v="1"/>
    <x v="2"/>
    <x v="2"/>
    <x v="0"/>
    <n v="56"/>
    <n v="51"/>
    <n v="14938.83"/>
    <n v="304.58"/>
    <n v="20.23"/>
    <n v="284.34999999999997"/>
    <x v="0"/>
    <n v="3"/>
    <x v="0"/>
    <x v="1"/>
    <s v="No"/>
  </r>
  <r>
    <s v="TRX-10224"/>
    <x v="165"/>
    <s v="Jordan"/>
    <x v="12"/>
    <x v="0"/>
    <x v="1"/>
    <x v="1"/>
    <x v="1"/>
    <n v="42"/>
    <n v="69"/>
    <n v="46253.32"/>
    <n v="56.89"/>
    <n v="3.4"/>
    <n v="53.49"/>
    <x v="1"/>
    <n v="1"/>
    <x v="1"/>
    <x v="2"/>
    <s v="Yes"/>
  </r>
  <r>
    <s v="TRX-10225"/>
    <x v="166"/>
    <s v="Jordan"/>
    <x v="2"/>
    <x v="1"/>
    <x v="3"/>
    <x v="1"/>
    <x v="1"/>
    <n v="72"/>
    <n v="119"/>
    <n v="11904.14"/>
    <n v="401.26"/>
    <n v="164.6"/>
    <n v="236.66"/>
    <x v="0"/>
    <n v="5"/>
    <x v="0"/>
    <x v="1"/>
    <s v="No"/>
  </r>
  <r>
    <s v="TRX-10226"/>
    <x v="73"/>
    <s v="Casey"/>
    <x v="9"/>
    <x v="1"/>
    <x v="4"/>
    <x v="2"/>
    <x v="1"/>
    <n v="72"/>
    <n v="95"/>
    <n v="14817.57"/>
    <n v="212.72"/>
    <n v="292.02"/>
    <n v="-79.299999999999983"/>
    <x v="0"/>
    <n v="4"/>
    <x v="0"/>
    <x v="1"/>
    <s v="No"/>
  </r>
  <r>
    <s v="TRX-10227"/>
    <x v="67"/>
    <s v="Sam"/>
    <x v="6"/>
    <x v="2"/>
    <x v="4"/>
    <x v="4"/>
    <x v="2"/>
    <n v="67"/>
    <n v="89"/>
    <n v="18783.03"/>
    <n v="232.89"/>
    <n v="87.74"/>
    <n v="145.14999999999998"/>
    <x v="0"/>
    <n v="3"/>
    <x v="0"/>
    <x v="0"/>
    <s v="No"/>
  </r>
  <r>
    <s v="TRX-10228"/>
    <x v="167"/>
    <s v="Alex"/>
    <x v="5"/>
    <x v="3"/>
    <x v="2"/>
    <x v="2"/>
    <x v="1"/>
    <n v="56"/>
    <n v="31"/>
    <n v="33355.269999999997"/>
    <n v="414.22"/>
    <n v="162.22999999999999"/>
    <n v="251.99000000000004"/>
    <x v="0"/>
    <n v="5"/>
    <x v="0"/>
    <x v="0"/>
    <s v="No"/>
  </r>
  <r>
    <s v="TRX-10229"/>
    <x v="41"/>
    <s v="Casey"/>
    <x v="1"/>
    <x v="3"/>
    <x v="4"/>
    <x v="3"/>
    <x v="3"/>
    <n v="29"/>
    <n v="50"/>
    <n v="6352.8"/>
    <n v="220.68"/>
    <n v="193.59"/>
    <n v="27.090000000000003"/>
    <x v="0"/>
    <n v="2"/>
    <x v="0"/>
    <x v="1"/>
    <s v="No"/>
  </r>
  <r>
    <s v="TRX-10230"/>
    <x v="69"/>
    <s v="Sam"/>
    <x v="1"/>
    <x v="0"/>
    <x v="2"/>
    <x v="2"/>
    <x v="3"/>
    <n v="59"/>
    <n v="20"/>
    <n v="47720.29"/>
    <n v="71.25"/>
    <n v="51.04"/>
    <n v="20.21"/>
    <x v="1"/>
    <n v="3"/>
    <x v="1"/>
    <x v="2"/>
    <s v="Yes"/>
  </r>
  <r>
    <s v="TRX-10231"/>
    <x v="168"/>
    <s v="Morgan"/>
    <x v="1"/>
    <x v="0"/>
    <x v="2"/>
    <x v="4"/>
    <x v="2"/>
    <n v="71"/>
    <n v="108"/>
    <n v="43345.78"/>
    <n v="129.4"/>
    <n v="171.69"/>
    <n v="-42.289999999999992"/>
    <x v="1"/>
    <n v="5"/>
    <x v="0"/>
    <x v="2"/>
    <s v="Yes"/>
  </r>
  <r>
    <s v="TRX-10232"/>
    <x v="75"/>
    <s v="Morgan"/>
    <x v="12"/>
    <x v="3"/>
    <x v="2"/>
    <x v="3"/>
    <x v="2"/>
    <n v="39"/>
    <n v="55"/>
    <n v="29072.2"/>
    <n v="480.16"/>
    <n v="109.28"/>
    <n v="370.88"/>
    <x v="0"/>
    <n v="3"/>
    <x v="1"/>
    <x v="0"/>
    <s v="No"/>
  </r>
  <r>
    <s v="TRX-10233"/>
    <x v="107"/>
    <s v="Morgan"/>
    <x v="0"/>
    <x v="2"/>
    <x v="4"/>
    <x v="0"/>
    <x v="1"/>
    <n v="58"/>
    <n v="81"/>
    <n v="33864.870000000003"/>
    <n v="81.680000000000007"/>
    <n v="170.85"/>
    <n v="-89.169999999999987"/>
    <x v="0"/>
    <n v="1"/>
    <x v="1"/>
    <x v="0"/>
    <s v="No"/>
  </r>
  <r>
    <s v="TRX-10234"/>
    <x v="169"/>
    <s v="Morgan"/>
    <x v="8"/>
    <x v="3"/>
    <x v="2"/>
    <x v="0"/>
    <x v="0"/>
    <n v="26"/>
    <n v="109"/>
    <n v="1324.69"/>
    <n v="209.72"/>
    <n v="68.63"/>
    <n v="141.09"/>
    <x v="0"/>
    <n v="1"/>
    <x v="0"/>
    <x v="1"/>
    <s v="No"/>
  </r>
  <r>
    <s v="TRX-10235"/>
    <x v="170"/>
    <s v="Morgan"/>
    <x v="11"/>
    <x v="2"/>
    <x v="4"/>
    <x v="4"/>
    <x v="2"/>
    <n v="72"/>
    <n v="2"/>
    <n v="17277.77"/>
    <n v="276.43"/>
    <n v="112.32"/>
    <n v="164.11"/>
    <x v="0"/>
    <n v="1"/>
    <x v="0"/>
    <x v="0"/>
    <s v="No"/>
  </r>
  <r>
    <s v="TRX-10236"/>
    <x v="59"/>
    <s v="Sam"/>
    <x v="7"/>
    <x v="0"/>
    <x v="2"/>
    <x v="2"/>
    <x v="2"/>
    <n v="67"/>
    <n v="25"/>
    <n v="39885.18"/>
    <n v="271.98"/>
    <n v="14.63"/>
    <n v="257.35000000000002"/>
    <x v="1"/>
    <n v="2"/>
    <x v="1"/>
    <x v="2"/>
    <s v="No"/>
  </r>
  <r>
    <s v="TRX-10237"/>
    <x v="171"/>
    <s v="Sam"/>
    <x v="14"/>
    <x v="4"/>
    <x v="0"/>
    <x v="1"/>
    <x v="1"/>
    <n v="35"/>
    <n v="13"/>
    <n v="4335.41"/>
    <n v="51.78"/>
    <n v="229.4"/>
    <n v="-177.62"/>
    <x v="0"/>
    <n v="1"/>
    <x v="0"/>
    <x v="1"/>
    <s v="Yes"/>
  </r>
  <r>
    <s v="TRX-10238"/>
    <x v="41"/>
    <s v="Taylor"/>
    <x v="8"/>
    <x v="0"/>
    <x v="2"/>
    <x v="4"/>
    <x v="1"/>
    <n v="40"/>
    <n v="103"/>
    <n v="14474.53"/>
    <n v="275.52"/>
    <n v="85.41"/>
    <n v="190.10999999999999"/>
    <x v="0"/>
    <n v="2"/>
    <x v="0"/>
    <x v="1"/>
    <s v="No"/>
  </r>
  <r>
    <s v="TRX-10239"/>
    <x v="172"/>
    <s v="Drew"/>
    <x v="12"/>
    <x v="0"/>
    <x v="1"/>
    <x v="3"/>
    <x v="2"/>
    <n v="29"/>
    <n v="92"/>
    <n v="29472.19"/>
    <n v="222.7"/>
    <n v="177.52"/>
    <n v="45.179999999999978"/>
    <x v="0"/>
    <n v="1"/>
    <x v="1"/>
    <x v="0"/>
    <s v="No"/>
  </r>
  <r>
    <s v="TRX-10240"/>
    <x v="173"/>
    <s v="Jordan"/>
    <x v="10"/>
    <x v="1"/>
    <x v="2"/>
    <x v="3"/>
    <x v="0"/>
    <n v="52"/>
    <n v="106"/>
    <n v="13192.44"/>
    <n v="487.44"/>
    <n v="73.569999999999993"/>
    <n v="413.87"/>
    <x v="0"/>
    <n v="3"/>
    <x v="0"/>
    <x v="1"/>
    <s v="No"/>
  </r>
  <r>
    <s v="TRX-10241"/>
    <x v="174"/>
    <s v="Jamie"/>
    <x v="6"/>
    <x v="1"/>
    <x v="3"/>
    <x v="0"/>
    <x v="2"/>
    <n v="24"/>
    <n v="119"/>
    <n v="46731.91"/>
    <n v="121.62"/>
    <n v="28.56"/>
    <n v="93.06"/>
    <x v="1"/>
    <n v="5"/>
    <x v="0"/>
    <x v="2"/>
    <s v="Yes"/>
  </r>
  <r>
    <s v="TRX-10242"/>
    <x v="175"/>
    <s v="Morgan"/>
    <x v="11"/>
    <x v="1"/>
    <x v="2"/>
    <x v="3"/>
    <x v="1"/>
    <n v="70"/>
    <n v="70"/>
    <n v="6987.4"/>
    <n v="209.37"/>
    <n v="208.77"/>
    <n v="0.59999999999999432"/>
    <x v="0"/>
    <n v="5"/>
    <x v="0"/>
    <x v="1"/>
    <s v="No"/>
  </r>
  <r>
    <s v="TRX-10243"/>
    <x v="124"/>
    <s v="Alex"/>
    <x v="8"/>
    <x v="1"/>
    <x v="1"/>
    <x v="4"/>
    <x v="1"/>
    <n v="38"/>
    <n v="67"/>
    <n v="39971.019999999997"/>
    <n v="238.77"/>
    <n v="49.38"/>
    <n v="189.39000000000001"/>
    <x v="1"/>
    <n v="1"/>
    <x v="1"/>
    <x v="2"/>
    <s v="No"/>
  </r>
  <r>
    <s v="TRX-10244"/>
    <x v="176"/>
    <s v="Jamie"/>
    <x v="13"/>
    <x v="2"/>
    <x v="1"/>
    <x v="3"/>
    <x v="2"/>
    <n v="25"/>
    <n v="58"/>
    <n v="25643.46"/>
    <n v="225.81"/>
    <n v="150.74"/>
    <n v="75.069999999999993"/>
    <x v="0"/>
    <n v="5"/>
    <x v="0"/>
    <x v="0"/>
    <s v="No"/>
  </r>
  <r>
    <s v="TRX-10245"/>
    <x v="40"/>
    <s v="Sam"/>
    <x v="12"/>
    <x v="3"/>
    <x v="4"/>
    <x v="4"/>
    <x v="0"/>
    <n v="40"/>
    <n v="99"/>
    <n v="37641.370000000003"/>
    <n v="349.62"/>
    <n v="193.62"/>
    <n v="156"/>
    <x v="1"/>
    <n v="1"/>
    <x v="1"/>
    <x v="2"/>
    <s v="No"/>
  </r>
  <r>
    <s v="TRX-10246"/>
    <x v="162"/>
    <s v="Alex"/>
    <x v="9"/>
    <x v="4"/>
    <x v="0"/>
    <x v="1"/>
    <x v="2"/>
    <n v="43"/>
    <n v="82"/>
    <n v="15880.41"/>
    <n v="146.97999999999999"/>
    <n v="155.91"/>
    <n v="-8.9300000000000068"/>
    <x v="0"/>
    <n v="1"/>
    <x v="0"/>
    <x v="0"/>
    <s v="Yes"/>
  </r>
  <r>
    <s v="TRX-10247"/>
    <x v="177"/>
    <s v="Alex"/>
    <x v="14"/>
    <x v="0"/>
    <x v="2"/>
    <x v="0"/>
    <x v="2"/>
    <n v="31"/>
    <n v="75"/>
    <n v="25967.24"/>
    <n v="149.47999999999999"/>
    <n v="4.49"/>
    <n v="144.98999999999998"/>
    <x v="0"/>
    <n v="4"/>
    <x v="0"/>
    <x v="0"/>
    <s v="No"/>
  </r>
  <r>
    <s v="TRX-10248"/>
    <x v="67"/>
    <s v="Alex"/>
    <x v="9"/>
    <x v="2"/>
    <x v="4"/>
    <x v="3"/>
    <x v="1"/>
    <n v="57"/>
    <n v="118"/>
    <n v="42913.35"/>
    <n v="378.14"/>
    <n v="179.97"/>
    <n v="198.17"/>
    <x v="1"/>
    <n v="4"/>
    <x v="0"/>
    <x v="2"/>
    <s v="Yes"/>
  </r>
  <r>
    <s v="TRX-10249"/>
    <x v="178"/>
    <s v="Taylor"/>
    <x v="1"/>
    <x v="4"/>
    <x v="0"/>
    <x v="4"/>
    <x v="0"/>
    <n v="42"/>
    <n v="84"/>
    <n v="23610.47"/>
    <n v="275.13"/>
    <n v="139.08000000000001"/>
    <n v="136.04999999999998"/>
    <x v="0"/>
    <n v="4"/>
    <x v="0"/>
    <x v="0"/>
    <s v="Yes"/>
  </r>
  <r>
    <s v="TRX-10250"/>
    <x v="179"/>
    <s v="Sam"/>
    <x v="14"/>
    <x v="2"/>
    <x v="2"/>
    <x v="2"/>
    <x v="3"/>
    <n v="24"/>
    <n v="64"/>
    <n v="18306.13"/>
    <n v="236.82"/>
    <n v="165.09"/>
    <n v="71.72999999999999"/>
    <x v="0"/>
    <n v="2"/>
    <x v="0"/>
    <x v="0"/>
    <s v="No"/>
  </r>
  <r>
    <s v="TRX-10251"/>
    <x v="105"/>
    <s v="Alex"/>
    <x v="8"/>
    <x v="2"/>
    <x v="3"/>
    <x v="0"/>
    <x v="0"/>
    <n v="49"/>
    <n v="69"/>
    <n v="27039.69"/>
    <n v="126.14"/>
    <n v="11.2"/>
    <n v="114.94"/>
    <x v="0"/>
    <n v="4"/>
    <x v="0"/>
    <x v="0"/>
    <s v="No"/>
  </r>
  <r>
    <s v="TRX-10252"/>
    <x v="180"/>
    <s v="Morgan"/>
    <x v="13"/>
    <x v="0"/>
    <x v="2"/>
    <x v="1"/>
    <x v="2"/>
    <n v="64"/>
    <n v="83"/>
    <n v="36009.46"/>
    <n v="134.38999999999999"/>
    <n v="96.02"/>
    <n v="38.36999999999999"/>
    <x v="1"/>
    <n v="1"/>
    <x v="1"/>
    <x v="2"/>
    <s v="No"/>
  </r>
  <r>
    <s v="TRX-10253"/>
    <x v="181"/>
    <s v="Casey"/>
    <x v="1"/>
    <x v="3"/>
    <x v="1"/>
    <x v="4"/>
    <x v="2"/>
    <n v="54"/>
    <n v="86"/>
    <n v="22456.39"/>
    <n v="54.75"/>
    <n v="107.07"/>
    <n v="-52.319999999999993"/>
    <x v="0"/>
    <n v="3"/>
    <x v="1"/>
    <x v="0"/>
    <s v="No"/>
  </r>
  <r>
    <s v="TRX-10254"/>
    <x v="103"/>
    <s v="Alex"/>
    <x v="7"/>
    <x v="1"/>
    <x v="1"/>
    <x v="1"/>
    <x v="2"/>
    <n v="33"/>
    <n v="59"/>
    <n v="46974.41"/>
    <n v="91.14"/>
    <n v="33.82"/>
    <n v="57.32"/>
    <x v="1"/>
    <n v="4"/>
    <x v="0"/>
    <x v="2"/>
    <s v="Yes"/>
  </r>
  <r>
    <s v="TRX-10255"/>
    <x v="76"/>
    <s v="Taylor"/>
    <x v="6"/>
    <x v="3"/>
    <x v="3"/>
    <x v="1"/>
    <x v="0"/>
    <n v="62"/>
    <n v="60"/>
    <n v="15099.82"/>
    <n v="300.58"/>
    <n v="64.489999999999995"/>
    <n v="236.08999999999997"/>
    <x v="0"/>
    <n v="4"/>
    <x v="0"/>
    <x v="0"/>
    <s v="No"/>
  </r>
  <r>
    <s v="TRX-10256"/>
    <x v="21"/>
    <s v="Jamie"/>
    <x v="10"/>
    <x v="0"/>
    <x v="4"/>
    <x v="3"/>
    <x v="1"/>
    <n v="29"/>
    <n v="83"/>
    <n v="24035.45"/>
    <n v="451.34"/>
    <n v="132.06"/>
    <n v="319.27999999999997"/>
    <x v="0"/>
    <n v="3"/>
    <x v="1"/>
    <x v="0"/>
    <s v="No"/>
  </r>
  <r>
    <s v="TRX-10257"/>
    <x v="151"/>
    <s v="Sam"/>
    <x v="11"/>
    <x v="0"/>
    <x v="0"/>
    <x v="3"/>
    <x v="2"/>
    <n v="62"/>
    <n v="111"/>
    <n v="37967.919999999998"/>
    <n v="179.22"/>
    <n v="166.64"/>
    <n v="12.580000000000013"/>
    <x v="1"/>
    <n v="1"/>
    <x v="1"/>
    <x v="2"/>
    <s v="Yes"/>
  </r>
  <r>
    <s v="TRX-10258"/>
    <x v="42"/>
    <s v="Drew"/>
    <x v="0"/>
    <x v="0"/>
    <x v="2"/>
    <x v="4"/>
    <x v="2"/>
    <n v="51"/>
    <n v="62"/>
    <n v="34611.49"/>
    <n v="197.49"/>
    <n v="185.88"/>
    <n v="11.610000000000014"/>
    <x v="0"/>
    <n v="2"/>
    <x v="1"/>
    <x v="0"/>
    <s v="No"/>
  </r>
  <r>
    <s v="TRX-10259"/>
    <x v="182"/>
    <s v="Taylor"/>
    <x v="9"/>
    <x v="4"/>
    <x v="1"/>
    <x v="2"/>
    <x v="0"/>
    <n v="27"/>
    <n v="16"/>
    <n v="43250.23"/>
    <n v="102.02"/>
    <n v="125.68"/>
    <n v="-23.660000000000011"/>
    <x v="1"/>
    <n v="4"/>
    <x v="0"/>
    <x v="2"/>
    <s v="Yes"/>
  </r>
  <r>
    <s v="TRX-10260"/>
    <x v="183"/>
    <s v="Alex"/>
    <x v="9"/>
    <x v="3"/>
    <x v="4"/>
    <x v="4"/>
    <x v="3"/>
    <n v="24"/>
    <n v="88"/>
    <n v="49842.05"/>
    <n v="224.88"/>
    <n v="78.989999999999995"/>
    <n v="145.88999999999999"/>
    <x v="1"/>
    <n v="3"/>
    <x v="1"/>
    <x v="2"/>
    <s v="Yes"/>
  </r>
  <r>
    <s v="TRX-10261"/>
    <x v="167"/>
    <s v="Sam"/>
    <x v="1"/>
    <x v="3"/>
    <x v="3"/>
    <x v="2"/>
    <x v="3"/>
    <n v="39"/>
    <n v="105"/>
    <n v="21629.49"/>
    <n v="66.75"/>
    <n v="50.81"/>
    <n v="15.939999999999998"/>
    <x v="0"/>
    <n v="1"/>
    <x v="1"/>
    <x v="0"/>
    <s v="No"/>
  </r>
  <r>
    <s v="TRX-10262"/>
    <x v="19"/>
    <s v="Casey"/>
    <x v="3"/>
    <x v="2"/>
    <x v="1"/>
    <x v="1"/>
    <x v="1"/>
    <n v="62"/>
    <n v="68"/>
    <n v="6001.97"/>
    <n v="462.92"/>
    <n v="294.64"/>
    <n v="168.28000000000003"/>
    <x v="0"/>
    <n v="5"/>
    <x v="0"/>
    <x v="1"/>
    <s v="No"/>
  </r>
  <r>
    <s v="TRX-10263"/>
    <x v="184"/>
    <s v="Alex"/>
    <x v="14"/>
    <x v="2"/>
    <x v="3"/>
    <x v="0"/>
    <x v="1"/>
    <n v="50"/>
    <n v="15"/>
    <n v="2005.59"/>
    <n v="352.9"/>
    <n v="294.89999999999998"/>
    <n v="58"/>
    <x v="0"/>
    <n v="2"/>
    <x v="0"/>
    <x v="1"/>
    <s v="No"/>
  </r>
  <r>
    <s v="TRX-10264"/>
    <x v="178"/>
    <s v="Taylor"/>
    <x v="4"/>
    <x v="2"/>
    <x v="2"/>
    <x v="4"/>
    <x v="2"/>
    <n v="51"/>
    <n v="89"/>
    <n v="36480.410000000003"/>
    <n v="495.84"/>
    <n v="185"/>
    <n v="310.83999999999997"/>
    <x v="1"/>
    <n v="3"/>
    <x v="1"/>
    <x v="2"/>
    <s v="No"/>
  </r>
  <r>
    <s v="TRX-10265"/>
    <x v="185"/>
    <s v="Jordan"/>
    <x v="7"/>
    <x v="0"/>
    <x v="0"/>
    <x v="4"/>
    <x v="0"/>
    <n v="55"/>
    <n v="108"/>
    <n v="43763.68"/>
    <n v="447.27"/>
    <n v="157.13"/>
    <n v="290.14"/>
    <x v="1"/>
    <n v="3"/>
    <x v="1"/>
    <x v="2"/>
    <s v="Yes"/>
  </r>
  <r>
    <s v="TRX-10266"/>
    <x v="186"/>
    <s v="Morgan"/>
    <x v="11"/>
    <x v="3"/>
    <x v="1"/>
    <x v="2"/>
    <x v="2"/>
    <n v="41"/>
    <n v="55"/>
    <n v="11425.27"/>
    <n v="262.85000000000002"/>
    <n v="65.16"/>
    <n v="197.69000000000003"/>
    <x v="0"/>
    <n v="3"/>
    <x v="0"/>
    <x v="1"/>
    <s v="No"/>
  </r>
  <r>
    <s v="TRX-10267"/>
    <x v="118"/>
    <s v="Drew"/>
    <x v="14"/>
    <x v="0"/>
    <x v="1"/>
    <x v="1"/>
    <x v="1"/>
    <n v="51"/>
    <n v="35"/>
    <n v="8343.18"/>
    <n v="283.86"/>
    <n v="245.1"/>
    <n v="38.760000000000019"/>
    <x v="0"/>
    <n v="4"/>
    <x v="0"/>
    <x v="1"/>
    <s v="No"/>
  </r>
  <r>
    <s v="TRX-10268"/>
    <x v="187"/>
    <s v="Jamie"/>
    <x v="3"/>
    <x v="4"/>
    <x v="2"/>
    <x v="1"/>
    <x v="0"/>
    <n v="39"/>
    <n v="55"/>
    <n v="3579.15"/>
    <n v="135.76"/>
    <n v="81.760000000000005"/>
    <n v="53.999999999999986"/>
    <x v="0"/>
    <n v="5"/>
    <x v="0"/>
    <x v="1"/>
    <s v="No"/>
  </r>
  <r>
    <s v="TRX-10269"/>
    <x v="4"/>
    <s v="Taylor"/>
    <x v="2"/>
    <x v="2"/>
    <x v="4"/>
    <x v="2"/>
    <x v="0"/>
    <n v="51"/>
    <n v="14"/>
    <n v="41223.79"/>
    <n v="257.92"/>
    <n v="65.349999999999994"/>
    <n v="192.57000000000002"/>
    <x v="1"/>
    <n v="2"/>
    <x v="1"/>
    <x v="2"/>
    <s v="Yes"/>
  </r>
  <r>
    <s v="TRX-10270"/>
    <x v="188"/>
    <s v="Sam"/>
    <x v="14"/>
    <x v="0"/>
    <x v="0"/>
    <x v="1"/>
    <x v="1"/>
    <n v="73"/>
    <n v="49"/>
    <n v="15913.41"/>
    <n v="456.36"/>
    <n v="223.46"/>
    <n v="232.9"/>
    <x v="0"/>
    <n v="1"/>
    <x v="0"/>
    <x v="0"/>
    <s v="Yes"/>
  </r>
  <r>
    <s v="TRX-10271"/>
    <x v="189"/>
    <s v="Drew"/>
    <x v="0"/>
    <x v="0"/>
    <x v="1"/>
    <x v="3"/>
    <x v="3"/>
    <n v="52"/>
    <n v="83"/>
    <n v="20384"/>
    <n v="72.88"/>
    <n v="15.93"/>
    <n v="56.949999999999996"/>
    <x v="0"/>
    <n v="1"/>
    <x v="1"/>
    <x v="0"/>
    <s v="No"/>
  </r>
  <r>
    <s v="TRX-10272"/>
    <x v="17"/>
    <s v="Drew"/>
    <x v="11"/>
    <x v="4"/>
    <x v="0"/>
    <x v="0"/>
    <x v="3"/>
    <n v="22"/>
    <n v="102"/>
    <n v="25386.13"/>
    <n v="438.6"/>
    <n v="9.7100000000000009"/>
    <n v="428.89000000000004"/>
    <x v="0"/>
    <n v="5"/>
    <x v="0"/>
    <x v="0"/>
    <s v="Yes"/>
  </r>
  <r>
    <s v="TRX-10273"/>
    <x v="167"/>
    <s v="Drew"/>
    <x v="8"/>
    <x v="1"/>
    <x v="1"/>
    <x v="4"/>
    <x v="0"/>
    <n v="72"/>
    <n v="100"/>
    <n v="42052.94"/>
    <n v="203.43"/>
    <n v="89.59"/>
    <n v="113.84"/>
    <x v="1"/>
    <n v="3"/>
    <x v="1"/>
    <x v="2"/>
    <s v="Yes"/>
  </r>
  <r>
    <s v="TRX-10274"/>
    <x v="190"/>
    <s v="Alex"/>
    <x v="7"/>
    <x v="3"/>
    <x v="0"/>
    <x v="0"/>
    <x v="2"/>
    <n v="30"/>
    <n v="7"/>
    <n v="32716.240000000002"/>
    <n v="454.78"/>
    <n v="89.13"/>
    <n v="365.65"/>
    <x v="0"/>
    <n v="3"/>
    <x v="1"/>
    <x v="0"/>
    <s v="Yes"/>
  </r>
  <r>
    <s v="TRX-10275"/>
    <x v="142"/>
    <s v="Morgan"/>
    <x v="3"/>
    <x v="1"/>
    <x v="3"/>
    <x v="4"/>
    <x v="3"/>
    <n v="22"/>
    <n v="30"/>
    <n v="30945.7"/>
    <n v="473.4"/>
    <n v="179.13"/>
    <n v="294.27"/>
    <x v="0"/>
    <n v="3"/>
    <x v="1"/>
    <x v="0"/>
    <s v="No"/>
  </r>
  <r>
    <s v="TRX-10276"/>
    <x v="191"/>
    <s v="Alex"/>
    <x v="2"/>
    <x v="2"/>
    <x v="1"/>
    <x v="3"/>
    <x v="2"/>
    <n v="22"/>
    <n v="83"/>
    <n v="9195.77"/>
    <n v="351.89"/>
    <n v="25.23"/>
    <n v="326.65999999999997"/>
    <x v="0"/>
    <n v="3"/>
    <x v="0"/>
    <x v="1"/>
    <s v="No"/>
  </r>
  <r>
    <s v="TRX-10277"/>
    <x v="65"/>
    <s v="Sam"/>
    <x v="6"/>
    <x v="0"/>
    <x v="0"/>
    <x v="1"/>
    <x v="3"/>
    <n v="44"/>
    <n v="49"/>
    <n v="25902.9"/>
    <n v="348.99"/>
    <n v="24.66"/>
    <n v="324.33"/>
    <x v="0"/>
    <n v="3"/>
    <x v="1"/>
    <x v="0"/>
    <s v="Yes"/>
  </r>
  <r>
    <s v="TRX-10278"/>
    <x v="192"/>
    <s v="Alex"/>
    <x v="5"/>
    <x v="4"/>
    <x v="4"/>
    <x v="2"/>
    <x v="3"/>
    <n v="37"/>
    <n v="89"/>
    <n v="35911.360000000001"/>
    <n v="253.74"/>
    <n v="29.49"/>
    <n v="224.25"/>
    <x v="1"/>
    <n v="5"/>
    <x v="0"/>
    <x v="2"/>
    <s v="No"/>
  </r>
  <r>
    <s v="TRX-10279"/>
    <x v="193"/>
    <s v="Jordan"/>
    <x v="3"/>
    <x v="4"/>
    <x v="3"/>
    <x v="3"/>
    <x v="2"/>
    <n v="52"/>
    <n v="16"/>
    <n v="48676.41"/>
    <n v="425.99"/>
    <n v="5.95"/>
    <n v="420.04"/>
    <x v="1"/>
    <n v="4"/>
    <x v="0"/>
    <x v="2"/>
    <s v="Yes"/>
  </r>
  <r>
    <s v="TRX-10280"/>
    <x v="194"/>
    <s v="Morgan"/>
    <x v="5"/>
    <x v="3"/>
    <x v="3"/>
    <x v="0"/>
    <x v="1"/>
    <n v="36"/>
    <n v="111"/>
    <n v="10469.61"/>
    <n v="482.73"/>
    <n v="21.52"/>
    <n v="461.21000000000004"/>
    <x v="0"/>
    <n v="2"/>
    <x v="0"/>
    <x v="1"/>
    <s v="No"/>
  </r>
  <r>
    <s v="TRX-10281"/>
    <x v="195"/>
    <s v="Morgan"/>
    <x v="11"/>
    <x v="1"/>
    <x v="4"/>
    <x v="2"/>
    <x v="3"/>
    <n v="36"/>
    <n v="118"/>
    <n v="972.4"/>
    <n v="398.79"/>
    <n v="131.97"/>
    <n v="266.82000000000005"/>
    <x v="0"/>
    <n v="3"/>
    <x v="0"/>
    <x v="1"/>
    <s v="No"/>
  </r>
  <r>
    <s v="TRX-10282"/>
    <x v="196"/>
    <s v="Sam"/>
    <x v="9"/>
    <x v="3"/>
    <x v="0"/>
    <x v="1"/>
    <x v="3"/>
    <n v="66"/>
    <n v="104"/>
    <n v="4227.42"/>
    <n v="329.87"/>
    <n v="86.32"/>
    <n v="243.55"/>
    <x v="0"/>
    <n v="4"/>
    <x v="0"/>
    <x v="1"/>
    <s v="Yes"/>
  </r>
  <r>
    <s v="TRX-10283"/>
    <x v="197"/>
    <s v="Jamie"/>
    <x v="3"/>
    <x v="0"/>
    <x v="2"/>
    <x v="3"/>
    <x v="2"/>
    <n v="59"/>
    <n v="51"/>
    <n v="19104.7"/>
    <n v="323.06"/>
    <n v="152.72"/>
    <n v="170.34"/>
    <x v="0"/>
    <n v="1"/>
    <x v="0"/>
    <x v="0"/>
    <s v="No"/>
  </r>
  <r>
    <s v="TRX-10284"/>
    <x v="93"/>
    <s v="Jordan"/>
    <x v="6"/>
    <x v="3"/>
    <x v="4"/>
    <x v="2"/>
    <x v="1"/>
    <n v="73"/>
    <n v="72"/>
    <n v="41116.959999999999"/>
    <n v="432.26"/>
    <n v="297.77999999999997"/>
    <n v="134.48000000000002"/>
    <x v="1"/>
    <n v="5"/>
    <x v="0"/>
    <x v="2"/>
    <s v="Yes"/>
  </r>
  <r>
    <s v="TRX-10285"/>
    <x v="198"/>
    <s v="Taylor"/>
    <x v="10"/>
    <x v="4"/>
    <x v="0"/>
    <x v="3"/>
    <x v="3"/>
    <n v="51"/>
    <n v="82"/>
    <n v="853.53"/>
    <n v="293.54000000000002"/>
    <n v="131.81"/>
    <n v="161.73000000000002"/>
    <x v="0"/>
    <n v="4"/>
    <x v="0"/>
    <x v="1"/>
    <s v="Yes"/>
  </r>
  <r>
    <s v="TRX-10286"/>
    <x v="199"/>
    <s v="Alex"/>
    <x v="1"/>
    <x v="4"/>
    <x v="4"/>
    <x v="3"/>
    <x v="3"/>
    <n v="63"/>
    <n v="92"/>
    <n v="23108.16"/>
    <n v="411.74"/>
    <n v="10.09"/>
    <n v="401.65000000000003"/>
    <x v="0"/>
    <n v="3"/>
    <x v="1"/>
    <x v="0"/>
    <s v="No"/>
  </r>
  <r>
    <s v="TRX-10287"/>
    <x v="122"/>
    <s v="Casey"/>
    <x v="5"/>
    <x v="2"/>
    <x v="4"/>
    <x v="1"/>
    <x v="1"/>
    <n v="44"/>
    <n v="80"/>
    <n v="16796.919999999998"/>
    <n v="279"/>
    <n v="31.36"/>
    <n v="247.64"/>
    <x v="0"/>
    <n v="3"/>
    <x v="0"/>
    <x v="0"/>
    <s v="No"/>
  </r>
  <r>
    <s v="TRX-10288"/>
    <x v="200"/>
    <s v="Alex"/>
    <x v="1"/>
    <x v="2"/>
    <x v="1"/>
    <x v="4"/>
    <x v="3"/>
    <n v="21"/>
    <n v="116"/>
    <n v="3097.84"/>
    <n v="78.099999999999994"/>
    <n v="176.2"/>
    <n v="-98.1"/>
    <x v="0"/>
    <n v="3"/>
    <x v="0"/>
    <x v="1"/>
    <s v="No"/>
  </r>
  <r>
    <s v="TRX-10289"/>
    <x v="13"/>
    <s v="Drew"/>
    <x v="0"/>
    <x v="0"/>
    <x v="0"/>
    <x v="2"/>
    <x v="1"/>
    <n v="31"/>
    <n v="83"/>
    <n v="22786.7"/>
    <n v="222.78"/>
    <n v="158.25"/>
    <n v="64.53"/>
    <x v="0"/>
    <n v="4"/>
    <x v="0"/>
    <x v="0"/>
    <s v="Yes"/>
  </r>
  <r>
    <s v="TRX-10290"/>
    <x v="201"/>
    <s v="Alex"/>
    <x v="10"/>
    <x v="1"/>
    <x v="2"/>
    <x v="1"/>
    <x v="1"/>
    <n v="41"/>
    <n v="42"/>
    <n v="13110.06"/>
    <n v="250"/>
    <n v="247.46"/>
    <n v="2.539999999999992"/>
    <x v="0"/>
    <n v="3"/>
    <x v="0"/>
    <x v="1"/>
    <s v="No"/>
  </r>
  <r>
    <s v="TRX-10291"/>
    <x v="175"/>
    <s v="Taylor"/>
    <x v="1"/>
    <x v="3"/>
    <x v="1"/>
    <x v="3"/>
    <x v="2"/>
    <n v="24"/>
    <n v="17"/>
    <n v="17918.3"/>
    <n v="113.73"/>
    <n v="171.32"/>
    <n v="-57.589999999999989"/>
    <x v="0"/>
    <n v="4"/>
    <x v="0"/>
    <x v="0"/>
    <s v="No"/>
  </r>
  <r>
    <s v="TRX-10292"/>
    <x v="60"/>
    <s v="Alex"/>
    <x v="12"/>
    <x v="0"/>
    <x v="4"/>
    <x v="1"/>
    <x v="0"/>
    <n v="27"/>
    <n v="63"/>
    <n v="35427.96"/>
    <n v="96.12"/>
    <n v="185.53"/>
    <n v="-89.41"/>
    <x v="1"/>
    <n v="3"/>
    <x v="1"/>
    <x v="2"/>
    <s v="No"/>
  </r>
  <r>
    <s v="TRX-10293"/>
    <x v="62"/>
    <s v="Jordan"/>
    <x v="12"/>
    <x v="2"/>
    <x v="4"/>
    <x v="4"/>
    <x v="1"/>
    <n v="46"/>
    <n v="45"/>
    <n v="26316.77"/>
    <n v="290.95999999999998"/>
    <n v="284.95999999999998"/>
    <n v="6"/>
    <x v="0"/>
    <n v="1"/>
    <x v="1"/>
    <x v="0"/>
    <s v="No"/>
  </r>
  <r>
    <s v="TRX-10294"/>
    <x v="131"/>
    <s v="Jordan"/>
    <x v="2"/>
    <x v="3"/>
    <x v="4"/>
    <x v="2"/>
    <x v="2"/>
    <n v="67"/>
    <n v="77"/>
    <n v="6670.05"/>
    <n v="88.31"/>
    <n v="110.97"/>
    <n v="-22.659999999999997"/>
    <x v="0"/>
    <n v="1"/>
    <x v="0"/>
    <x v="1"/>
    <s v="No"/>
  </r>
  <r>
    <s v="TRX-10295"/>
    <x v="202"/>
    <s v="Morgan"/>
    <x v="7"/>
    <x v="2"/>
    <x v="0"/>
    <x v="4"/>
    <x v="0"/>
    <n v="70"/>
    <n v="7"/>
    <n v="48090.02"/>
    <n v="186.33"/>
    <n v="68.2"/>
    <n v="118.13000000000001"/>
    <x v="1"/>
    <n v="2"/>
    <x v="1"/>
    <x v="2"/>
    <s v="Yes"/>
  </r>
  <r>
    <s v="TRX-10296"/>
    <x v="44"/>
    <s v="Sam"/>
    <x v="9"/>
    <x v="3"/>
    <x v="0"/>
    <x v="0"/>
    <x v="3"/>
    <n v="32"/>
    <n v="27"/>
    <n v="31977.58"/>
    <n v="385.07"/>
    <n v="192.37"/>
    <n v="192.7"/>
    <x v="0"/>
    <n v="3"/>
    <x v="1"/>
    <x v="0"/>
    <s v="Yes"/>
  </r>
  <r>
    <s v="TRX-10297"/>
    <x v="203"/>
    <s v="Jamie"/>
    <x v="11"/>
    <x v="1"/>
    <x v="1"/>
    <x v="2"/>
    <x v="0"/>
    <n v="51"/>
    <n v="10"/>
    <n v="38410.49"/>
    <n v="483.99"/>
    <n v="109.48"/>
    <n v="374.51"/>
    <x v="1"/>
    <n v="3"/>
    <x v="1"/>
    <x v="2"/>
    <s v="No"/>
  </r>
  <r>
    <s v="TRX-10298"/>
    <x v="204"/>
    <s v="Casey"/>
    <x v="3"/>
    <x v="0"/>
    <x v="2"/>
    <x v="4"/>
    <x v="1"/>
    <n v="37"/>
    <n v="34"/>
    <n v="4421.05"/>
    <n v="373.04"/>
    <n v="19.27"/>
    <n v="353.77000000000004"/>
    <x v="0"/>
    <n v="4"/>
    <x v="0"/>
    <x v="1"/>
    <s v="No"/>
  </r>
  <r>
    <s v="TRX-10299"/>
    <x v="0"/>
    <s v="Drew"/>
    <x v="4"/>
    <x v="3"/>
    <x v="1"/>
    <x v="3"/>
    <x v="1"/>
    <n v="53"/>
    <n v="36"/>
    <n v="2829.39"/>
    <n v="496.68"/>
    <n v="192.84"/>
    <n v="303.84000000000003"/>
    <x v="0"/>
    <n v="4"/>
    <x v="0"/>
    <x v="1"/>
    <s v="No"/>
  </r>
  <r>
    <s v="TRX-10300"/>
    <x v="205"/>
    <s v="Alex"/>
    <x v="0"/>
    <x v="4"/>
    <x v="3"/>
    <x v="2"/>
    <x v="1"/>
    <n v="31"/>
    <n v="25"/>
    <n v="1462.68"/>
    <n v="364.25"/>
    <n v="176.31"/>
    <n v="187.94"/>
    <x v="0"/>
    <n v="3"/>
    <x v="0"/>
    <x v="1"/>
    <s v="No"/>
  </r>
  <r>
    <s v="TRX-10301"/>
    <x v="32"/>
    <s v="Alex"/>
    <x v="5"/>
    <x v="4"/>
    <x v="4"/>
    <x v="2"/>
    <x v="1"/>
    <n v="48"/>
    <n v="6"/>
    <n v="9845.2999999999993"/>
    <n v="182.21"/>
    <n v="268.74"/>
    <n v="-86.53"/>
    <x v="0"/>
    <n v="2"/>
    <x v="0"/>
    <x v="1"/>
    <s v="No"/>
  </r>
  <r>
    <s v="TRX-10302"/>
    <x v="85"/>
    <s v="Taylor"/>
    <x v="11"/>
    <x v="3"/>
    <x v="4"/>
    <x v="1"/>
    <x v="1"/>
    <n v="52"/>
    <n v="24"/>
    <n v="21013.22"/>
    <n v="352.42"/>
    <n v="195.96"/>
    <n v="156.46"/>
    <x v="0"/>
    <n v="3"/>
    <x v="1"/>
    <x v="0"/>
    <s v="No"/>
  </r>
  <r>
    <s v="TRX-10303"/>
    <x v="206"/>
    <s v="Sam"/>
    <x v="10"/>
    <x v="3"/>
    <x v="4"/>
    <x v="3"/>
    <x v="2"/>
    <n v="21"/>
    <n v="18"/>
    <n v="46823.39"/>
    <n v="365.97"/>
    <n v="69.81"/>
    <n v="296.16000000000003"/>
    <x v="1"/>
    <n v="4"/>
    <x v="0"/>
    <x v="2"/>
    <s v="Yes"/>
  </r>
  <r>
    <s v="TRX-10304"/>
    <x v="207"/>
    <s v="Jordan"/>
    <x v="13"/>
    <x v="3"/>
    <x v="1"/>
    <x v="0"/>
    <x v="1"/>
    <n v="67"/>
    <n v="87"/>
    <n v="23124.45"/>
    <n v="217.28"/>
    <n v="289.88"/>
    <n v="-72.599999999999994"/>
    <x v="0"/>
    <n v="3"/>
    <x v="1"/>
    <x v="0"/>
    <s v="No"/>
  </r>
  <r>
    <s v="TRX-10305"/>
    <x v="146"/>
    <s v="Casey"/>
    <x v="12"/>
    <x v="4"/>
    <x v="1"/>
    <x v="4"/>
    <x v="2"/>
    <n v="48"/>
    <n v="6"/>
    <n v="14867.63"/>
    <n v="57.97"/>
    <n v="160.32"/>
    <n v="-102.35"/>
    <x v="0"/>
    <n v="4"/>
    <x v="0"/>
    <x v="1"/>
    <s v="No"/>
  </r>
  <r>
    <s v="TRX-10306"/>
    <x v="158"/>
    <s v="Morgan"/>
    <x v="13"/>
    <x v="4"/>
    <x v="4"/>
    <x v="1"/>
    <x v="3"/>
    <n v="73"/>
    <n v="29"/>
    <n v="28315.8"/>
    <n v="366.44"/>
    <n v="126.08"/>
    <n v="240.36"/>
    <x v="0"/>
    <n v="3"/>
    <x v="1"/>
    <x v="0"/>
    <s v="No"/>
  </r>
  <r>
    <s v="TRX-10307"/>
    <x v="43"/>
    <s v="Jordan"/>
    <x v="6"/>
    <x v="3"/>
    <x v="1"/>
    <x v="4"/>
    <x v="1"/>
    <n v="62"/>
    <n v="25"/>
    <n v="6040.76"/>
    <n v="59.77"/>
    <n v="87.88"/>
    <n v="-28.109999999999992"/>
    <x v="0"/>
    <n v="5"/>
    <x v="0"/>
    <x v="1"/>
    <s v="No"/>
  </r>
  <r>
    <s v="TRX-10308"/>
    <x v="208"/>
    <s v="Drew"/>
    <x v="0"/>
    <x v="2"/>
    <x v="0"/>
    <x v="0"/>
    <x v="1"/>
    <n v="27"/>
    <n v="55"/>
    <n v="30670.54"/>
    <n v="334.03"/>
    <n v="112.06"/>
    <n v="221.96999999999997"/>
    <x v="0"/>
    <n v="4"/>
    <x v="0"/>
    <x v="0"/>
    <s v="Yes"/>
  </r>
  <r>
    <s v="TRX-10309"/>
    <x v="7"/>
    <s v="Sam"/>
    <x v="4"/>
    <x v="2"/>
    <x v="0"/>
    <x v="0"/>
    <x v="0"/>
    <n v="22"/>
    <n v="81"/>
    <n v="28637.38"/>
    <n v="123.63"/>
    <n v="133.99"/>
    <n v="-10.360000000000014"/>
    <x v="0"/>
    <n v="2"/>
    <x v="1"/>
    <x v="0"/>
    <s v="Yes"/>
  </r>
  <r>
    <s v="TRX-10310"/>
    <x v="9"/>
    <s v="Drew"/>
    <x v="3"/>
    <x v="1"/>
    <x v="1"/>
    <x v="2"/>
    <x v="3"/>
    <n v="62"/>
    <n v="46"/>
    <n v="39703.660000000003"/>
    <n v="304.52"/>
    <n v="14.4"/>
    <n v="290.12"/>
    <x v="1"/>
    <n v="5"/>
    <x v="0"/>
    <x v="2"/>
    <s v="No"/>
  </r>
  <r>
    <s v="TRX-10311"/>
    <x v="1"/>
    <s v="Jamie"/>
    <x v="2"/>
    <x v="0"/>
    <x v="4"/>
    <x v="0"/>
    <x v="1"/>
    <n v="44"/>
    <n v="24"/>
    <n v="49341.04"/>
    <n v="276.76"/>
    <n v="77.010000000000005"/>
    <n v="199.75"/>
    <x v="1"/>
    <n v="3"/>
    <x v="1"/>
    <x v="2"/>
    <s v="Yes"/>
  </r>
  <r>
    <s v="TRX-10312"/>
    <x v="203"/>
    <s v="Morgan"/>
    <x v="4"/>
    <x v="2"/>
    <x v="1"/>
    <x v="4"/>
    <x v="1"/>
    <n v="24"/>
    <n v="75"/>
    <n v="12918.24"/>
    <n v="56.08"/>
    <n v="214.17"/>
    <n v="-158.08999999999997"/>
    <x v="0"/>
    <n v="4"/>
    <x v="0"/>
    <x v="1"/>
    <s v="No"/>
  </r>
  <r>
    <s v="TRX-10313"/>
    <x v="67"/>
    <s v="Jamie"/>
    <x v="0"/>
    <x v="4"/>
    <x v="1"/>
    <x v="3"/>
    <x v="3"/>
    <n v="64"/>
    <n v="26"/>
    <n v="25727.99"/>
    <n v="213.29"/>
    <n v="96"/>
    <n v="117.28999999999999"/>
    <x v="0"/>
    <n v="5"/>
    <x v="0"/>
    <x v="0"/>
    <s v="No"/>
  </r>
  <r>
    <s v="TRX-10314"/>
    <x v="104"/>
    <s v="Taylor"/>
    <x v="4"/>
    <x v="2"/>
    <x v="1"/>
    <x v="3"/>
    <x v="2"/>
    <n v="39"/>
    <n v="115"/>
    <n v="45488.84"/>
    <n v="320.49"/>
    <n v="80.48"/>
    <n v="240.01"/>
    <x v="1"/>
    <n v="2"/>
    <x v="1"/>
    <x v="2"/>
    <s v="Yes"/>
  </r>
  <r>
    <s v="TRX-10315"/>
    <x v="175"/>
    <s v="Drew"/>
    <x v="0"/>
    <x v="1"/>
    <x v="3"/>
    <x v="2"/>
    <x v="1"/>
    <n v="46"/>
    <n v="98"/>
    <n v="39366.9"/>
    <n v="431.87"/>
    <n v="45.44"/>
    <n v="386.43"/>
    <x v="1"/>
    <n v="4"/>
    <x v="0"/>
    <x v="2"/>
    <s v="No"/>
  </r>
  <r>
    <s v="TRX-10316"/>
    <x v="186"/>
    <s v="Taylor"/>
    <x v="0"/>
    <x v="1"/>
    <x v="0"/>
    <x v="4"/>
    <x v="0"/>
    <n v="31"/>
    <n v="28"/>
    <n v="24626.61"/>
    <n v="449.89"/>
    <n v="88.37"/>
    <n v="361.52"/>
    <x v="0"/>
    <n v="5"/>
    <x v="0"/>
    <x v="0"/>
    <s v="Yes"/>
  </r>
  <r>
    <s v="TRX-10317"/>
    <x v="120"/>
    <s v="Alex"/>
    <x v="14"/>
    <x v="0"/>
    <x v="2"/>
    <x v="4"/>
    <x v="1"/>
    <n v="60"/>
    <n v="3"/>
    <n v="47295.9"/>
    <n v="267.73"/>
    <n v="231.21"/>
    <n v="36.52000000000001"/>
    <x v="1"/>
    <n v="5"/>
    <x v="0"/>
    <x v="2"/>
    <s v="Yes"/>
  </r>
  <r>
    <s v="TRX-10318"/>
    <x v="209"/>
    <s v="Jamie"/>
    <x v="5"/>
    <x v="2"/>
    <x v="2"/>
    <x v="0"/>
    <x v="0"/>
    <n v="70"/>
    <n v="75"/>
    <n v="3333.22"/>
    <n v="377.79"/>
    <n v="52.8"/>
    <n v="324.99"/>
    <x v="0"/>
    <n v="5"/>
    <x v="0"/>
    <x v="1"/>
    <s v="No"/>
  </r>
  <r>
    <s v="TRX-10319"/>
    <x v="174"/>
    <s v="Sam"/>
    <x v="8"/>
    <x v="4"/>
    <x v="3"/>
    <x v="4"/>
    <x v="0"/>
    <n v="63"/>
    <n v="38"/>
    <n v="46584.43"/>
    <n v="192.4"/>
    <n v="1.08"/>
    <n v="191.32"/>
    <x v="1"/>
    <n v="1"/>
    <x v="1"/>
    <x v="2"/>
    <s v="Yes"/>
  </r>
  <r>
    <s v="TRX-10320"/>
    <x v="210"/>
    <s v="Drew"/>
    <x v="13"/>
    <x v="4"/>
    <x v="1"/>
    <x v="1"/>
    <x v="1"/>
    <n v="31"/>
    <n v="61"/>
    <n v="3000.12"/>
    <n v="203.98"/>
    <n v="200.55"/>
    <n v="3.4299999999999784"/>
    <x v="0"/>
    <n v="3"/>
    <x v="0"/>
    <x v="1"/>
    <s v="No"/>
  </r>
  <r>
    <s v="TRX-10321"/>
    <x v="106"/>
    <s v="Casey"/>
    <x v="8"/>
    <x v="3"/>
    <x v="3"/>
    <x v="0"/>
    <x v="1"/>
    <n v="65"/>
    <n v="78"/>
    <n v="27591.58"/>
    <n v="137.51"/>
    <n v="291.8"/>
    <n v="-154.29000000000002"/>
    <x v="0"/>
    <n v="4"/>
    <x v="0"/>
    <x v="0"/>
    <s v="No"/>
  </r>
  <r>
    <s v="TRX-10322"/>
    <x v="211"/>
    <s v="Morgan"/>
    <x v="8"/>
    <x v="4"/>
    <x v="3"/>
    <x v="1"/>
    <x v="0"/>
    <n v="23"/>
    <n v="51"/>
    <n v="44576.83"/>
    <n v="302.88"/>
    <n v="121.37"/>
    <n v="181.51"/>
    <x v="1"/>
    <n v="4"/>
    <x v="0"/>
    <x v="2"/>
    <s v="Yes"/>
  </r>
  <r>
    <s v="TRX-10323"/>
    <x v="154"/>
    <s v="Jordan"/>
    <x v="8"/>
    <x v="0"/>
    <x v="4"/>
    <x v="2"/>
    <x v="3"/>
    <n v="32"/>
    <n v="90"/>
    <n v="13504.69"/>
    <n v="191.55"/>
    <n v="23.98"/>
    <n v="167.57000000000002"/>
    <x v="0"/>
    <n v="4"/>
    <x v="0"/>
    <x v="1"/>
    <s v="No"/>
  </r>
  <r>
    <s v="TRX-10324"/>
    <x v="212"/>
    <s v="Sam"/>
    <x v="1"/>
    <x v="0"/>
    <x v="0"/>
    <x v="3"/>
    <x v="3"/>
    <n v="23"/>
    <n v="48"/>
    <n v="23876.3"/>
    <n v="87.97"/>
    <n v="64.150000000000006"/>
    <n v="23.819999999999993"/>
    <x v="0"/>
    <n v="5"/>
    <x v="0"/>
    <x v="0"/>
    <s v="Yes"/>
  </r>
  <r>
    <s v="TRX-10325"/>
    <x v="18"/>
    <s v="Sam"/>
    <x v="12"/>
    <x v="4"/>
    <x v="2"/>
    <x v="2"/>
    <x v="1"/>
    <n v="62"/>
    <n v="21"/>
    <n v="16554.28"/>
    <n v="358.25"/>
    <n v="260.3"/>
    <n v="97.949999999999989"/>
    <x v="0"/>
    <n v="3"/>
    <x v="0"/>
    <x v="0"/>
    <s v="No"/>
  </r>
  <r>
    <s v="TRX-10326"/>
    <x v="213"/>
    <s v="Taylor"/>
    <x v="14"/>
    <x v="4"/>
    <x v="1"/>
    <x v="3"/>
    <x v="2"/>
    <n v="47"/>
    <n v="54"/>
    <n v="47631.12"/>
    <n v="368.49"/>
    <n v="46.51"/>
    <n v="321.98"/>
    <x v="1"/>
    <n v="2"/>
    <x v="1"/>
    <x v="2"/>
    <s v="Yes"/>
  </r>
  <r>
    <s v="TRX-10327"/>
    <x v="124"/>
    <s v="Jamie"/>
    <x v="3"/>
    <x v="3"/>
    <x v="2"/>
    <x v="2"/>
    <x v="3"/>
    <n v="69"/>
    <n v="56"/>
    <n v="41270.46"/>
    <n v="212"/>
    <n v="121.54"/>
    <n v="90.46"/>
    <x v="1"/>
    <n v="4"/>
    <x v="0"/>
    <x v="2"/>
    <s v="Yes"/>
  </r>
  <r>
    <s v="TRX-10328"/>
    <x v="63"/>
    <s v="Drew"/>
    <x v="14"/>
    <x v="4"/>
    <x v="2"/>
    <x v="4"/>
    <x v="1"/>
    <n v="74"/>
    <n v="103"/>
    <n v="35595.57"/>
    <n v="84.53"/>
    <n v="120.8"/>
    <n v="-36.269999999999996"/>
    <x v="1"/>
    <n v="3"/>
    <x v="1"/>
    <x v="2"/>
    <s v="No"/>
  </r>
  <r>
    <s v="TRX-10329"/>
    <x v="214"/>
    <s v="Drew"/>
    <x v="9"/>
    <x v="3"/>
    <x v="0"/>
    <x v="1"/>
    <x v="3"/>
    <n v="22"/>
    <n v="94"/>
    <n v="29587.54"/>
    <n v="241.83"/>
    <n v="41.57"/>
    <n v="200.26000000000002"/>
    <x v="0"/>
    <n v="3"/>
    <x v="1"/>
    <x v="0"/>
    <s v="Yes"/>
  </r>
  <r>
    <s v="TRX-10330"/>
    <x v="23"/>
    <s v="Alex"/>
    <x v="9"/>
    <x v="3"/>
    <x v="2"/>
    <x v="3"/>
    <x v="2"/>
    <n v="69"/>
    <n v="59"/>
    <n v="41119.29"/>
    <n v="249.05"/>
    <n v="162.68"/>
    <n v="86.37"/>
    <x v="1"/>
    <n v="1"/>
    <x v="1"/>
    <x v="2"/>
    <s v="Yes"/>
  </r>
  <r>
    <s v="TRX-10331"/>
    <x v="202"/>
    <s v="Alex"/>
    <x v="1"/>
    <x v="4"/>
    <x v="2"/>
    <x v="0"/>
    <x v="1"/>
    <n v="36"/>
    <n v="72"/>
    <n v="19917.22"/>
    <n v="350.9"/>
    <n v="222.86"/>
    <n v="128.03999999999996"/>
    <x v="0"/>
    <n v="4"/>
    <x v="0"/>
    <x v="0"/>
    <s v="No"/>
  </r>
  <r>
    <s v="TRX-10332"/>
    <x v="115"/>
    <s v="Morgan"/>
    <x v="12"/>
    <x v="1"/>
    <x v="3"/>
    <x v="1"/>
    <x v="2"/>
    <n v="22"/>
    <n v="51"/>
    <n v="22653.82"/>
    <n v="191.94"/>
    <n v="132.32"/>
    <n v="59.620000000000005"/>
    <x v="0"/>
    <n v="5"/>
    <x v="0"/>
    <x v="0"/>
    <s v="No"/>
  </r>
  <r>
    <s v="TRX-10333"/>
    <x v="210"/>
    <s v="Taylor"/>
    <x v="4"/>
    <x v="1"/>
    <x v="0"/>
    <x v="0"/>
    <x v="1"/>
    <n v="74"/>
    <n v="20"/>
    <n v="36635.089999999997"/>
    <n v="357.17"/>
    <n v="70.900000000000006"/>
    <n v="286.27"/>
    <x v="1"/>
    <n v="3"/>
    <x v="1"/>
    <x v="2"/>
    <s v="Yes"/>
  </r>
  <r>
    <s v="TRX-10334"/>
    <x v="215"/>
    <s v="Sam"/>
    <x v="5"/>
    <x v="3"/>
    <x v="4"/>
    <x v="1"/>
    <x v="2"/>
    <n v="50"/>
    <n v="112"/>
    <n v="18208.86"/>
    <n v="442.17"/>
    <n v="19.57"/>
    <n v="422.6"/>
    <x v="0"/>
    <n v="3"/>
    <x v="0"/>
    <x v="0"/>
    <s v="No"/>
  </r>
  <r>
    <s v="TRX-10335"/>
    <x v="216"/>
    <s v="Drew"/>
    <x v="12"/>
    <x v="4"/>
    <x v="1"/>
    <x v="1"/>
    <x v="3"/>
    <n v="40"/>
    <n v="96"/>
    <n v="3663.1"/>
    <n v="156.87"/>
    <n v="115.23"/>
    <n v="41.64"/>
    <x v="0"/>
    <n v="2"/>
    <x v="0"/>
    <x v="1"/>
    <s v="No"/>
  </r>
  <r>
    <s v="TRX-10336"/>
    <x v="217"/>
    <s v="Casey"/>
    <x v="1"/>
    <x v="1"/>
    <x v="2"/>
    <x v="2"/>
    <x v="3"/>
    <n v="58"/>
    <n v="86"/>
    <n v="4179.5600000000004"/>
    <n v="490.51"/>
    <n v="110.74"/>
    <n v="379.77"/>
    <x v="0"/>
    <n v="1"/>
    <x v="0"/>
    <x v="1"/>
    <s v="No"/>
  </r>
  <r>
    <s v="TRX-10337"/>
    <x v="211"/>
    <s v="Taylor"/>
    <x v="0"/>
    <x v="4"/>
    <x v="1"/>
    <x v="3"/>
    <x v="2"/>
    <n v="48"/>
    <n v="59"/>
    <n v="6210.46"/>
    <n v="223.87"/>
    <n v="37.68"/>
    <n v="186.19"/>
    <x v="0"/>
    <n v="3"/>
    <x v="0"/>
    <x v="1"/>
    <s v="No"/>
  </r>
  <r>
    <s v="TRX-10338"/>
    <x v="128"/>
    <s v="Morgan"/>
    <x v="10"/>
    <x v="4"/>
    <x v="4"/>
    <x v="3"/>
    <x v="2"/>
    <n v="45"/>
    <n v="71"/>
    <n v="43549.23"/>
    <n v="170.27"/>
    <n v="11.25"/>
    <n v="159.02000000000001"/>
    <x v="1"/>
    <n v="3"/>
    <x v="1"/>
    <x v="2"/>
    <s v="Yes"/>
  </r>
  <r>
    <s v="TRX-10339"/>
    <x v="218"/>
    <s v="Morgan"/>
    <x v="5"/>
    <x v="4"/>
    <x v="1"/>
    <x v="1"/>
    <x v="2"/>
    <n v="52"/>
    <n v="9"/>
    <n v="23875.21"/>
    <n v="239.68"/>
    <n v="16.14"/>
    <n v="223.54000000000002"/>
    <x v="0"/>
    <n v="5"/>
    <x v="0"/>
    <x v="0"/>
    <s v="No"/>
  </r>
  <r>
    <s v="TRX-10340"/>
    <x v="117"/>
    <s v="Taylor"/>
    <x v="7"/>
    <x v="2"/>
    <x v="4"/>
    <x v="4"/>
    <x v="1"/>
    <n v="30"/>
    <n v="109"/>
    <n v="35787.68"/>
    <n v="92.48"/>
    <n v="297.83"/>
    <n v="-205.34999999999997"/>
    <x v="1"/>
    <n v="5"/>
    <x v="0"/>
    <x v="2"/>
    <s v="No"/>
  </r>
  <r>
    <s v="TRX-10341"/>
    <x v="168"/>
    <s v="Morgan"/>
    <x v="13"/>
    <x v="4"/>
    <x v="3"/>
    <x v="4"/>
    <x v="3"/>
    <n v="62"/>
    <n v="1"/>
    <n v="19949.009999999998"/>
    <n v="106.57"/>
    <n v="156.72"/>
    <n v="-50.150000000000006"/>
    <x v="0"/>
    <n v="2"/>
    <x v="0"/>
    <x v="0"/>
    <s v="No"/>
  </r>
  <r>
    <s v="TRX-10342"/>
    <x v="219"/>
    <s v="Taylor"/>
    <x v="5"/>
    <x v="2"/>
    <x v="2"/>
    <x v="0"/>
    <x v="1"/>
    <n v="60"/>
    <n v="29"/>
    <n v="13306.19"/>
    <n v="236.5"/>
    <n v="276.60000000000002"/>
    <n v="-40.100000000000023"/>
    <x v="0"/>
    <n v="2"/>
    <x v="0"/>
    <x v="1"/>
    <s v="No"/>
  </r>
  <r>
    <s v="TRX-10343"/>
    <x v="220"/>
    <s v="Jordan"/>
    <x v="1"/>
    <x v="3"/>
    <x v="4"/>
    <x v="0"/>
    <x v="3"/>
    <n v="53"/>
    <n v="63"/>
    <n v="17686.009999999998"/>
    <n v="393.1"/>
    <n v="39.01"/>
    <n v="354.09000000000003"/>
    <x v="0"/>
    <n v="2"/>
    <x v="0"/>
    <x v="0"/>
    <s v="No"/>
  </r>
  <r>
    <s v="TRX-10344"/>
    <x v="52"/>
    <s v="Taylor"/>
    <x v="0"/>
    <x v="1"/>
    <x v="1"/>
    <x v="2"/>
    <x v="0"/>
    <n v="33"/>
    <n v="72"/>
    <n v="39812.03"/>
    <n v="455.14"/>
    <n v="192.11"/>
    <n v="263.02999999999997"/>
    <x v="1"/>
    <n v="5"/>
    <x v="0"/>
    <x v="2"/>
    <s v="No"/>
  </r>
  <r>
    <s v="TRX-10345"/>
    <x v="221"/>
    <s v="Jamie"/>
    <x v="0"/>
    <x v="1"/>
    <x v="2"/>
    <x v="1"/>
    <x v="1"/>
    <n v="61"/>
    <n v="56"/>
    <n v="31448.2"/>
    <n v="349.17"/>
    <n v="42.8"/>
    <n v="306.37"/>
    <x v="0"/>
    <n v="5"/>
    <x v="0"/>
    <x v="0"/>
    <s v="No"/>
  </r>
  <r>
    <s v="TRX-10346"/>
    <x v="222"/>
    <s v="Taylor"/>
    <x v="2"/>
    <x v="1"/>
    <x v="3"/>
    <x v="0"/>
    <x v="3"/>
    <n v="74"/>
    <n v="118"/>
    <n v="46913.17"/>
    <n v="97.35"/>
    <n v="101.82"/>
    <n v="-4.4699999999999989"/>
    <x v="1"/>
    <n v="1"/>
    <x v="1"/>
    <x v="2"/>
    <s v="Yes"/>
  </r>
  <r>
    <s v="TRX-10347"/>
    <x v="133"/>
    <s v="Morgan"/>
    <x v="8"/>
    <x v="1"/>
    <x v="2"/>
    <x v="0"/>
    <x v="3"/>
    <n v="62"/>
    <n v="68"/>
    <n v="34145.39"/>
    <n v="352.41"/>
    <n v="165.94"/>
    <n v="186.47000000000003"/>
    <x v="0"/>
    <n v="4"/>
    <x v="0"/>
    <x v="0"/>
    <s v="No"/>
  </r>
  <r>
    <s v="TRX-10348"/>
    <x v="11"/>
    <s v="Drew"/>
    <x v="12"/>
    <x v="1"/>
    <x v="4"/>
    <x v="1"/>
    <x v="1"/>
    <n v="67"/>
    <n v="35"/>
    <n v="28723.99"/>
    <n v="335.94"/>
    <n v="104.94"/>
    <n v="231"/>
    <x v="0"/>
    <n v="4"/>
    <x v="0"/>
    <x v="0"/>
    <s v="No"/>
  </r>
  <r>
    <s v="TRX-10349"/>
    <x v="192"/>
    <s v="Jamie"/>
    <x v="0"/>
    <x v="1"/>
    <x v="3"/>
    <x v="2"/>
    <x v="1"/>
    <n v="57"/>
    <n v="3"/>
    <n v="30704.7"/>
    <n v="412.59"/>
    <n v="127.46"/>
    <n v="285.13"/>
    <x v="0"/>
    <n v="1"/>
    <x v="1"/>
    <x v="0"/>
    <s v="No"/>
  </r>
  <r>
    <s v="TRX-10350"/>
    <x v="181"/>
    <s v="Morgan"/>
    <x v="9"/>
    <x v="1"/>
    <x v="1"/>
    <x v="0"/>
    <x v="3"/>
    <n v="74"/>
    <n v="118"/>
    <n v="47147.39"/>
    <n v="421.36"/>
    <n v="25.64"/>
    <n v="395.72"/>
    <x v="1"/>
    <n v="4"/>
    <x v="0"/>
    <x v="2"/>
    <s v="Yes"/>
  </r>
  <r>
    <s v="TRX-10351"/>
    <x v="223"/>
    <s v="Alex"/>
    <x v="8"/>
    <x v="3"/>
    <x v="3"/>
    <x v="2"/>
    <x v="1"/>
    <n v="36"/>
    <n v="109"/>
    <n v="39515.949999999997"/>
    <n v="440.69"/>
    <n v="36.869999999999997"/>
    <n v="403.82"/>
    <x v="1"/>
    <n v="5"/>
    <x v="0"/>
    <x v="2"/>
    <s v="No"/>
  </r>
  <r>
    <s v="TRX-10352"/>
    <x v="224"/>
    <s v="Alex"/>
    <x v="3"/>
    <x v="4"/>
    <x v="3"/>
    <x v="3"/>
    <x v="2"/>
    <n v="65"/>
    <n v="104"/>
    <n v="1690.04"/>
    <n v="236.36"/>
    <n v="123.91"/>
    <n v="112.45000000000002"/>
    <x v="0"/>
    <n v="4"/>
    <x v="0"/>
    <x v="1"/>
    <s v="No"/>
  </r>
  <r>
    <s v="TRX-10353"/>
    <x v="225"/>
    <s v="Drew"/>
    <x v="10"/>
    <x v="0"/>
    <x v="0"/>
    <x v="2"/>
    <x v="1"/>
    <n v="42"/>
    <n v="7"/>
    <n v="26939.91"/>
    <n v="364.04"/>
    <n v="202.67"/>
    <n v="161.37000000000003"/>
    <x v="0"/>
    <n v="5"/>
    <x v="0"/>
    <x v="0"/>
    <s v="Yes"/>
  </r>
  <r>
    <s v="TRX-10354"/>
    <x v="226"/>
    <s v="Drew"/>
    <x v="1"/>
    <x v="2"/>
    <x v="3"/>
    <x v="4"/>
    <x v="1"/>
    <n v="40"/>
    <n v="27"/>
    <n v="34572.75"/>
    <n v="170.71"/>
    <n v="233.2"/>
    <n v="-62.489999999999981"/>
    <x v="0"/>
    <n v="1"/>
    <x v="1"/>
    <x v="0"/>
    <s v="No"/>
  </r>
  <r>
    <s v="TRX-10355"/>
    <x v="47"/>
    <s v="Jamie"/>
    <x v="13"/>
    <x v="0"/>
    <x v="3"/>
    <x v="4"/>
    <x v="1"/>
    <n v="70"/>
    <n v="1"/>
    <n v="37560.57"/>
    <n v="499.7"/>
    <n v="167.01"/>
    <n v="332.69"/>
    <x v="1"/>
    <n v="2"/>
    <x v="1"/>
    <x v="2"/>
    <s v="No"/>
  </r>
  <r>
    <s v="TRX-10356"/>
    <x v="12"/>
    <s v="Jordan"/>
    <x v="12"/>
    <x v="0"/>
    <x v="2"/>
    <x v="2"/>
    <x v="3"/>
    <n v="63"/>
    <n v="91"/>
    <n v="11050.53"/>
    <n v="128.9"/>
    <n v="129.15"/>
    <n v="-0.25"/>
    <x v="0"/>
    <n v="1"/>
    <x v="0"/>
    <x v="1"/>
    <s v="No"/>
  </r>
  <r>
    <s v="TRX-10357"/>
    <x v="98"/>
    <s v="Drew"/>
    <x v="11"/>
    <x v="4"/>
    <x v="1"/>
    <x v="4"/>
    <x v="2"/>
    <n v="47"/>
    <n v="80"/>
    <n v="43425.279999999999"/>
    <n v="54.55"/>
    <n v="2.7"/>
    <n v="51.849999999999994"/>
    <x v="1"/>
    <n v="4"/>
    <x v="0"/>
    <x v="2"/>
    <s v="Yes"/>
  </r>
  <r>
    <s v="TRX-10358"/>
    <x v="193"/>
    <s v="Alex"/>
    <x v="9"/>
    <x v="4"/>
    <x v="2"/>
    <x v="3"/>
    <x v="0"/>
    <n v="61"/>
    <n v="102"/>
    <n v="47814.239999999998"/>
    <n v="116.96"/>
    <n v="32.43"/>
    <n v="84.53"/>
    <x v="1"/>
    <n v="5"/>
    <x v="0"/>
    <x v="2"/>
    <s v="Yes"/>
  </r>
  <r>
    <s v="TRX-10359"/>
    <x v="227"/>
    <s v="Taylor"/>
    <x v="6"/>
    <x v="4"/>
    <x v="2"/>
    <x v="1"/>
    <x v="0"/>
    <n v="36"/>
    <n v="71"/>
    <n v="12217.41"/>
    <n v="399.14"/>
    <n v="196.98"/>
    <n v="202.16"/>
    <x v="0"/>
    <n v="4"/>
    <x v="0"/>
    <x v="1"/>
    <s v="No"/>
  </r>
  <r>
    <s v="TRX-10360"/>
    <x v="119"/>
    <s v="Morgan"/>
    <x v="7"/>
    <x v="1"/>
    <x v="4"/>
    <x v="4"/>
    <x v="2"/>
    <n v="54"/>
    <n v="44"/>
    <n v="44189.47"/>
    <n v="251.05"/>
    <n v="15.2"/>
    <n v="235.85000000000002"/>
    <x v="1"/>
    <n v="4"/>
    <x v="0"/>
    <x v="2"/>
    <s v="Yes"/>
  </r>
  <r>
    <s v="TRX-10361"/>
    <x v="228"/>
    <s v="Alex"/>
    <x v="4"/>
    <x v="3"/>
    <x v="2"/>
    <x v="4"/>
    <x v="2"/>
    <n v="52"/>
    <n v="87"/>
    <n v="5300.45"/>
    <n v="251.38"/>
    <n v="135.76"/>
    <n v="115.62"/>
    <x v="0"/>
    <n v="2"/>
    <x v="0"/>
    <x v="1"/>
    <s v="No"/>
  </r>
  <r>
    <s v="TRX-10362"/>
    <x v="166"/>
    <s v="Alex"/>
    <x v="0"/>
    <x v="1"/>
    <x v="0"/>
    <x v="2"/>
    <x v="2"/>
    <n v="46"/>
    <n v="41"/>
    <n v="3257.49"/>
    <n v="479.76"/>
    <n v="35.22"/>
    <n v="444.53999999999996"/>
    <x v="0"/>
    <n v="4"/>
    <x v="0"/>
    <x v="1"/>
    <s v="Yes"/>
  </r>
  <r>
    <s v="TRX-10363"/>
    <x v="5"/>
    <s v="Jordan"/>
    <x v="11"/>
    <x v="3"/>
    <x v="0"/>
    <x v="3"/>
    <x v="3"/>
    <n v="45"/>
    <n v="75"/>
    <n v="6896.58"/>
    <n v="463.84"/>
    <n v="143.34"/>
    <n v="320.5"/>
    <x v="0"/>
    <n v="2"/>
    <x v="0"/>
    <x v="1"/>
    <s v="Yes"/>
  </r>
  <r>
    <s v="TRX-10364"/>
    <x v="229"/>
    <s v="Jamie"/>
    <x v="0"/>
    <x v="3"/>
    <x v="4"/>
    <x v="1"/>
    <x v="0"/>
    <n v="22"/>
    <n v="42"/>
    <n v="3358.18"/>
    <n v="190.04"/>
    <n v="141.19999999999999"/>
    <n v="48.84"/>
    <x v="0"/>
    <n v="5"/>
    <x v="0"/>
    <x v="1"/>
    <s v="No"/>
  </r>
  <r>
    <s v="TRX-10365"/>
    <x v="230"/>
    <s v="Jamie"/>
    <x v="5"/>
    <x v="0"/>
    <x v="1"/>
    <x v="2"/>
    <x v="2"/>
    <n v="32"/>
    <n v="117"/>
    <n v="42328.11"/>
    <n v="144.08000000000001"/>
    <n v="46.84"/>
    <n v="97.240000000000009"/>
    <x v="1"/>
    <n v="5"/>
    <x v="0"/>
    <x v="2"/>
    <s v="Yes"/>
  </r>
  <r>
    <s v="TRX-10366"/>
    <x v="124"/>
    <s v="Sam"/>
    <x v="9"/>
    <x v="0"/>
    <x v="1"/>
    <x v="2"/>
    <x v="3"/>
    <n v="60"/>
    <n v="33"/>
    <n v="3422.98"/>
    <n v="431.82"/>
    <n v="53.93"/>
    <n v="377.89"/>
    <x v="0"/>
    <n v="2"/>
    <x v="0"/>
    <x v="1"/>
    <s v="No"/>
  </r>
  <r>
    <s v="TRX-10367"/>
    <x v="113"/>
    <s v="Jordan"/>
    <x v="5"/>
    <x v="3"/>
    <x v="2"/>
    <x v="3"/>
    <x v="0"/>
    <n v="29"/>
    <n v="50"/>
    <n v="13947.38"/>
    <n v="457.71"/>
    <n v="130.94999999999999"/>
    <n v="326.76"/>
    <x v="0"/>
    <n v="1"/>
    <x v="0"/>
    <x v="1"/>
    <s v="No"/>
  </r>
  <r>
    <s v="TRX-10368"/>
    <x v="145"/>
    <s v="Taylor"/>
    <x v="2"/>
    <x v="3"/>
    <x v="2"/>
    <x v="1"/>
    <x v="1"/>
    <n v="32"/>
    <n v="63"/>
    <n v="5635.94"/>
    <n v="293.72000000000003"/>
    <n v="117.03"/>
    <n v="176.69000000000003"/>
    <x v="0"/>
    <n v="5"/>
    <x v="0"/>
    <x v="1"/>
    <s v="No"/>
  </r>
  <r>
    <s v="TRX-10369"/>
    <x v="64"/>
    <s v="Jamie"/>
    <x v="5"/>
    <x v="1"/>
    <x v="2"/>
    <x v="3"/>
    <x v="3"/>
    <n v="46"/>
    <n v="100"/>
    <n v="15123.39"/>
    <n v="333.24"/>
    <n v="38.909999999999997"/>
    <n v="294.33000000000004"/>
    <x v="0"/>
    <n v="1"/>
    <x v="0"/>
    <x v="0"/>
    <s v="No"/>
  </r>
  <r>
    <s v="TRX-10370"/>
    <x v="123"/>
    <s v="Morgan"/>
    <x v="2"/>
    <x v="1"/>
    <x v="1"/>
    <x v="1"/>
    <x v="0"/>
    <n v="29"/>
    <n v="37"/>
    <n v="4982.6899999999996"/>
    <n v="165.61"/>
    <n v="146.34"/>
    <n v="19.27000000000001"/>
    <x v="0"/>
    <n v="5"/>
    <x v="0"/>
    <x v="1"/>
    <s v="No"/>
  </r>
  <r>
    <s v="TRX-10371"/>
    <x v="213"/>
    <s v="Drew"/>
    <x v="7"/>
    <x v="0"/>
    <x v="3"/>
    <x v="3"/>
    <x v="3"/>
    <n v="30"/>
    <n v="105"/>
    <n v="33566.160000000003"/>
    <n v="410.36"/>
    <n v="30.83"/>
    <n v="379.53000000000003"/>
    <x v="0"/>
    <n v="5"/>
    <x v="0"/>
    <x v="0"/>
    <s v="No"/>
  </r>
  <r>
    <s v="TRX-10372"/>
    <x v="231"/>
    <s v="Jordan"/>
    <x v="1"/>
    <x v="4"/>
    <x v="0"/>
    <x v="2"/>
    <x v="0"/>
    <n v="52"/>
    <n v="59"/>
    <n v="7099.68"/>
    <n v="334.46"/>
    <n v="171.13"/>
    <n v="163.32999999999998"/>
    <x v="0"/>
    <n v="3"/>
    <x v="0"/>
    <x v="1"/>
    <s v="Yes"/>
  </r>
  <r>
    <s v="TRX-10373"/>
    <x v="232"/>
    <s v="Drew"/>
    <x v="2"/>
    <x v="3"/>
    <x v="3"/>
    <x v="2"/>
    <x v="0"/>
    <n v="54"/>
    <n v="81"/>
    <n v="42666.37"/>
    <n v="276.58"/>
    <n v="102.93"/>
    <n v="173.64999999999998"/>
    <x v="1"/>
    <n v="4"/>
    <x v="0"/>
    <x v="2"/>
    <s v="Yes"/>
  </r>
  <r>
    <s v="TRX-10374"/>
    <x v="164"/>
    <s v="Alex"/>
    <x v="11"/>
    <x v="1"/>
    <x v="3"/>
    <x v="0"/>
    <x v="1"/>
    <n v="68"/>
    <n v="99"/>
    <n v="40950.959999999999"/>
    <n v="77.05"/>
    <n v="31.71"/>
    <n v="45.339999999999996"/>
    <x v="1"/>
    <n v="4"/>
    <x v="0"/>
    <x v="2"/>
    <s v="Yes"/>
  </r>
  <r>
    <s v="TRX-10375"/>
    <x v="233"/>
    <s v="Morgan"/>
    <x v="8"/>
    <x v="0"/>
    <x v="1"/>
    <x v="4"/>
    <x v="3"/>
    <n v="40"/>
    <n v="48"/>
    <n v="1176.25"/>
    <n v="462.17"/>
    <n v="138.81"/>
    <n v="323.36"/>
    <x v="0"/>
    <n v="1"/>
    <x v="0"/>
    <x v="1"/>
    <s v="No"/>
  </r>
  <r>
    <s v="TRX-10376"/>
    <x v="234"/>
    <s v="Morgan"/>
    <x v="0"/>
    <x v="1"/>
    <x v="3"/>
    <x v="3"/>
    <x v="2"/>
    <n v="59"/>
    <n v="5"/>
    <n v="44838.45"/>
    <n v="326.95"/>
    <n v="103.83"/>
    <n v="223.12"/>
    <x v="1"/>
    <n v="4"/>
    <x v="0"/>
    <x v="2"/>
    <s v="Yes"/>
  </r>
  <r>
    <s v="TRX-10377"/>
    <x v="39"/>
    <s v="Alex"/>
    <x v="4"/>
    <x v="3"/>
    <x v="4"/>
    <x v="0"/>
    <x v="1"/>
    <n v="22"/>
    <n v="48"/>
    <n v="1932.74"/>
    <n v="136.71"/>
    <n v="89.42"/>
    <n v="47.290000000000006"/>
    <x v="0"/>
    <n v="1"/>
    <x v="0"/>
    <x v="1"/>
    <s v="No"/>
  </r>
  <r>
    <s v="TRX-10378"/>
    <x v="48"/>
    <s v="Jordan"/>
    <x v="8"/>
    <x v="3"/>
    <x v="2"/>
    <x v="4"/>
    <x v="1"/>
    <n v="21"/>
    <n v="96"/>
    <n v="12362.47"/>
    <n v="322.87"/>
    <n v="126.77"/>
    <n v="196.10000000000002"/>
    <x v="0"/>
    <n v="5"/>
    <x v="0"/>
    <x v="1"/>
    <s v="No"/>
  </r>
  <r>
    <s v="TRX-10379"/>
    <x v="220"/>
    <s v="Alex"/>
    <x v="13"/>
    <x v="2"/>
    <x v="4"/>
    <x v="3"/>
    <x v="0"/>
    <n v="71"/>
    <n v="3"/>
    <n v="2103.2600000000002"/>
    <n v="354.86"/>
    <n v="59.67"/>
    <n v="295.19"/>
    <x v="0"/>
    <n v="3"/>
    <x v="0"/>
    <x v="1"/>
    <s v="No"/>
  </r>
  <r>
    <s v="TRX-10380"/>
    <x v="235"/>
    <s v="Drew"/>
    <x v="1"/>
    <x v="4"/>
    <x v="0"/>
    <x v="1"/>
    <x v="2"/>
    <n v="56"/>
    <n v="116"/>
    <n v="17124.25"/>
    <n v="286.60000000000002"/>
    <n v="52.61"/>
    <n v="233.99"/>
    <x v="0"/>
    <n v="3"/>
    <x v="0"/>
    <x v="0"/>
    <s v="Yes"/>
  </r>
  <r>
    <s v="TRX-10381"/>
    <x v="236"/>
    <s v="Sam"/>
    <x v="5"/>
    <x v="2"/>
    <x v="2"/>
    <x v="4"/>
    <x v="3"/>
    <n v="44"/>
    <n v="47"/>
    <n v="25936.39"/>
    <n v="373.15"/>
    <n v="32.72"/>
    <n v="340.42999999999995"/>
    <x v="0"/>
    <n v="5"/>
    <x v="0"/>
    <x v="0"/>
    <s v="No"/>
  </r>
  <r>
    <s v="TRX-10382"/>
    <x v="127"/>
    <s v="Morgan"/>
    <x v="6"/>
    <x v="0"/>
    <x v="3"/>
    <x v="2"/>
    <x v="2"/>
    <n v="74"/>
    <n v="62"/>
    <n v="39933.919999999998"/>
    <n v="311.64999999999998"/>
    <n v="72.55"/>
    <n v="239.09999999999997"/>
    <x v="1"/>
    <n v="2"/>
    <x v="1"/>
    <x v="2"/>
    <s v="No"/>
  </r>
  <r>
    <s v="TRX-10383"/>
    <x v="117"/>
    <s v="Casey"/>
    <x v="13"/>
    <x v="1"/>
    <x v="0"/>
    <x v="0"/>
    <x v="2"/>
    <n v="47"/>
    <n v="99"/>
    <n v="17230.09"/>
    <n v="476.5"/>
    <n v="50.2"/>
    <n v="426.3"/>
    <x v="0"/>
    <n v="2"/>
    <x v="0"/>
    <x v="0"/>
    <s v="Yes"/>
  </r>
  <r>
    <s v="TRX-10384"/>
    <x v="182"/>
    <s v="Casey"/>
    <x v="9"/>
    <x v="0"/>
    <x v="2"/>
    <x v="4"/>
    <x v="2"/>
    <n v="22"/>
    <n v="116"/>
    <n v="35421.760000000002"/>
    <n v="74.16"/>
    <n v="136.69"/>
    <n v="-62.53"/>
    <x v="1"/>
    <n v="4"/>
    <x v="0"/>
    <x v="2"/>
    <s v="No"/>
  </r>
  <r>
    <s v="TRX-10385"/>
    <x v="237"/>
    <s v="Drew"/>
    <x v="2"/>
    <x v="3"/>
    <x v="3"/>
    <x v="4"/>
    <x v="2"/>
    <n v="51"/>
    <n v="14"/>
    <n v="9781.4699999999993"/>
    <n v="97.81"/>
    <n v="136.78"/>
    <n v="-38.97"/>
    <x v="0"/>
    <n v="1"/>
    <x v="0"/>
    <x v="1"/>
    <s v="No"/>
  </r>
  <r>
    <s v="TRX-10386"/>
    <x v="70"/>
    <s v="Taylor"/>
    <x v="0"/>
    <x v="2"/>
    <x v="4"/>
    <x v="2"/>
    <x v="2"/>
    <n v="34"/>
    <n v="63"/>
    <n v="37654.620000000003"/>
    <n v="128.15"/>
    <n v="100.37"/>
    <n v="27.78"/>
    <x v="1"/>
    <n v="3"/>
    <x v="1"/>
    <x v="2"/>
    <s v="No"/>
  </r>
  <r>
    <s v="TRX-10387"/>
    <x v="180"/>
    <s v="Jamie"/>
    <x v="10"/>
    <x v="2"/>
    <x v="2"/>
    <x v="3"/>
    <x v="0"/>
    <n v="22"/>
    <n v="112"/>
    <n v="12181.83"/>
    <n v="360.58"/>
    <n v="155.59"/>
    <n v="204.98999999999998"/>
    <x v="0"/>
    <n v="4"/>
    <x v="0"/>
    <x v="1"/>
    <s v="No"/>
  </r>
  <r>
    <s v="TRX-10388"/>
    <x v="16"/>
    <s v="Alex"/>
    <x v="12"/>
    <x v="2"/>
    <x v="3"/>
    <x v="1"/>
    <x v="0"/>
    <n v="49"/>
    <n v="61"/>
    <n v="7605.47"/>
    <n v="340.52"/>
    <n v="168.27"/>
    <n v="172.24999999999997"/>
    <x v="0"/>
    <n v="5"/>
    <x v="0"/>
    <x v="1"/>
    <s v="No"/>
  </r>
  <r>
    <s v="TRX-10389"/>
    <x v="238"/>
    <s v="Alex"/>
    <x v="11"/>
    <x v="0"/>
    <x v="4"/>
    <x v="2"/>
    <x v="1"/>
    <n v="35"/>
    <n v="31"/>
    <n v="9677.74"/>
    <n v="451.43"/>
    <n v="173.92"/>
    <n v="277.51"/>
    <x v="0"/>
    <n v="3"/>
    <x v="0"/>
    <x v="1"/>
    <s v="No"/>
  </r>
  <r>
    <s v="TRX-10390"/>
    <x v="160"/>
    <s v="Taylor"/>
    <x v="4"/>
    <x v="3"/>
    <x v="0"/>
    <x v="1"/>
    <x v="0"/>
    <n v="32"/>
    <n v="95"/>
    <n v="9512.1200000000008"/>
    <n v="379.79"/>
    <n v="123.79"/>
    <n v="256"/>
    <x v="0"/>
    <n v="1"/>
    <x v="0"/>
    <x v="1"/>
    <s v="Yes"/>
  </r>
  <r>
    <s v="TRX-10391"/>
    <x v="239"/>
    <s v="Taylor"/>
    <x v="14"/>
    <x v="1"/>
    <x v="0"/>
    <x v="3"/>
    <x v="1"/>
    <n v="57"/>
    <n v="17"/>
    <n v="25886.71"/>
    <n v="278.76"/>
    <n v="84.87"/>
    <n v="193.89"/>
    <x v="0"/>
    <n v="1"/>
    <x v="1"/>
    <x v="0"/>
    <s v="Yes"/>
  </r>
  <r>
    <s v="TRX-10392"/>
    <x v="240"/>
    <s v="Drew"/>
    <x v="11"/>
    <x v="1"/>
    <x v="0"/>
    <x v="4"/>
    <x v="1"/>
    <n v="48"/>
    <n v="24"/>
    <n v="42317.48"/>
    <n v="496.32"/>
    <n v="268.45999999999998"/>
    <n v="227.86"/>
    <x v="1"/>
    <n v="2"/>
    <x v="1"/>
    <x v="2"/>
    <s v="Yes"/>
  </r>
  <r>
    <s v="TRX-10393"/>
    <x v="225"/>
    <s v="Drew"/>
    <x v="7"/>
    <x v="0"/>
    <x v="0"/>
    <x v="1"/>
    <x v="3"/>
    <n v="40"/>
    <n v="116"/>
    <n v="4440.45"/>
    <n v="169.75"/>
    <n v="4.84"/>
    <n v="164.91"/>
    <x v="0"/>
    <n v="4"/>
    <x v="0"/>
    <x v="1"/>
    <s v="Yes"/>
  </r>
  <r>
    <s v="TRX-10394"/>
    <x v="135"/>
    <s v="Taylor"/>
    <x v="10"/>
    <x v="2"/>
    <x v="1"/>
    <x v="0"/>
    <x v="2"/>
    <n v="59"/>
    <n v="23"/>
    <n v="35494.339999999997"/>
    <n v="424.94"/>
    <n v="69.72"/>
    <n v="355.22"/>
    <x v="1"/>
    <n v="5"/>
    <x v="0"/>
    <x v="2"/>
    <s v="No"/>
  </r>
  <r>
    <s v="TRX-10395"/>
    <x v="82"/>
    <s v="Morgan"/>
    <x v="6"/>
    <x v="4"/>
    <x v="2"/>
    <x v="0"/>
    <x v="0"/>
    <n v="44"/>
    <n v="82"/>
    <n v="32890.15"/>
    <n v="242.06"/>
    <n v="144.36000000000001"/>
    <n v="97.699999999999989"/>
    <x v="0"/>
    <n v="3"/>
    <x v="1"/>
    <x v="0"/>
    <s v="No"/>
  </r>
  <r>
    <s v="TRX-10396"/>
    <x v="191"/>
    <s v="Drew"/>
    <x v="12"/>
    <x v="0"/>
    <x v="2"/>
    <x v="2"/>
    <x v="3"/>
    <n v="41"/>
    <n v="50"/>
    <n v="43689.74"/>
    <n v="341.93"/>
    <n v="16.02"/>
    <n v="325.91000000000003"/>
    <x v="1"/>
    <n v="1"/>
    <x v="1"/>
    <x v="2"/>
    <s v="Yes"/>
  </r>
  <r>
    <s v="TRX-10397"/>
    <x v="31"/>
    <s v="Sam"/>
    <x v="10"/>
    <x v="0"/>
    <x v="1"/>
    <x v="3"/>
    <x v="0"/>
    <n v="30"/>
    <n v="118"/>
    <n v="12585.3"/>
    <n v="377.27"/>
    <n v="36.630000000000003"/>
    <n v="340.64"/>
    <x v="0"/>
    <n v="3"/>
    <x v="0"/>
    <x v="1"/>
    <s v="No"/>
  </r>
  <r>
    <s v="TRX-10398"/>
    <x v="168"/>
    <s v="Drew"/>
    <x v="5"/>
    <x v="3"/>
    <x v="3"/>
    <x v="2"/>
    <x v="1"/>
    <n v="66"/>
    <n v="78"/>
    <n v="22780.44"/>
    <n v="335.19"/>
    <n v="176.79"/>
    <n v="158.4"/>
    <x v="0"/>
    <n v="5"/>
    <x v="0"/>
    <x v="0"/>
    <s v="No"/>
  </r>
  <r>
    <s v="TRX-10399"/>
    <x v="241"/>
    <s v="Alex"/>
    <x v="2"/>
    <x v="1"/>
    <x v="3"/>
    <x v="2"/>
    <x v="0"/>
    <n v="34"/>
    <n v="114"/>
    <n v="46328.46"/>
    <n v="113.23"/>
    <n v="112"/>
    <n v="1.230000000000004"/>
    <x v="1"/>
    <n v="3"/>
    <x v="1"/>
    <x v="2"/>
    <s v="Yes"/>
  </r>
  <r>
    <s v="TRX-10400"/>
    <x v="242"/>
    <s v="Drew"/>
    <x v="1"/>
    <x v="0"/>
    <x v="0"/>
    <x v="2"/>
    <x v="2"/>
    <n v="57"/>
    <n v="79"/>
    <n v="33169.68"/>
    <n v="249.33"/>
    <n v="147.79"/>
    <n v="101.54000000000002"/>
    <x v="0"/>
    <n v="4"/>
    <x v="0"/>
    <x v="0"/>
    <s v="Yes"/>
  </r>
  <r>
    <s v="TRX-10401"/>
    <x v="89"/>
    <s v="Morgan"/>
    <x v="4"/>
    <x v="0"/>
    <x v="4"/>
    <x v="0"/>
    <x v="1"/>
    <n v="38"/>
    <n v="79"/>
    <n v="19744.04"/>
    <n v="302.64999999999998"/>
    <n v="243.78"/>
    <n v="58.869999999999976"/>
    <x v="0"/>
    <n v="2"/>
    <x v="0"/>
    <x v="0"/>
    <s v="No"/>
  </r>
  <r>
    <s v="TRX-10402"/>
    <x v="87"/>
    <s v="Taylor"/>
    <x v="3"/>
    <x v="2"/>
    <x v="3"/>
    <x v="0"/>
    <x v="1"/>
    <n v="44"/>
    <n v="70"/>
    <n v="7004.91"/>
    <n v="432.07"/>
    <n v="38.58"/>
    <n v="393.49"/>
    <x v="0"/>
    <n v="3"/>
    <x v="0"/>
    <x v="1"/>
    <s v="No"/>
  </r>
  <r>
    <s v="TRX-10403"/>
    <x v="35"/>
    <s v="Alex"/>
    <x v="2"/>
    <x v="2"/>
    <x v="4"/>
    <x v="2"/>
    <x v="3"/>
    <n v="34"/>
    <n v="27"/>
    <n v="13493.01"/>
    <n v="249.64"/>
    <n v="3.68"/>
    <n v="245.95999999999998"/>
    <x v="0"/>
    <n v="2"/>
    <x v="0"/>
    <x v="1"/>
    <s v="No"/>
  </r>
  <r>
    <s v="TRX-10404"/>
    <x v="207"/>
    <s v="Drew"/>
    <x v="3"/>
    <x v="4"/>
    <x v="2"/>
    <x v="0"/>
    <x v="2"/>
    <n v="54"/>
    <n v="15"/>
    <n v="29270.17"/>
    <n v="463.44"/>
    <n v="137.93"/>
    <n v="325.51"/>
    <x v="0"/>
    <n v="5"/>
    <x v="0"/>
    <x v="0"/>
    <s v="No"/>
  </r>
  <r>
    <s v="TRX-10405"/>
    <x v="62"/>
    <s v="Morgan"/>
    <x v="13"/>
    <x v="3"/>
    <x v="4"/>
    <x v="3"/>
    <x v="1"/>
    <n v="32"/>
    <n v="50"/>
    <n v="36049.31"/>
    <n v="248.17"/>
    <n v="90.42"/>
    <n v="157.75"/>
    <x v="1"/>
    <n v="2"/>
    <x v="1"/>
    <x v="2"/>
    <s v="No"/>
  </r>
  <r>
    <s v="TRX-10406"/>
    <x v="90"/>
    <s v="Sam"/>
    <x v="1"/>
    <x v="4"/>
    <x v="2"/>
    <x v="2"/>
    <x v="2"/>
    <n v="42"/>
    <n v="36"/>
    <n v="6658.88"/>
    <n v="296.95"/>
    <n v="125.2"/>
    <n v="171.75"/>
    <x v="0"/>
    <n v="3"/>
    <x v="0"/>
    <x v="1"/>
    <s v="No"/>
  </r>
  <r>
    <s v="TRX-10407"/>
    <x v="124"/>
    <s v="Drew"/>
    <x v="12"/>
    <x v="2"/>
    <x v="1"/>
    <x v="0"/>
    <x v="0"/>
    <n v="26"/>
    <n v="119"/>
    <n v="30180.06"/>
    <n v="408.33"/>
    <n v="30.11"/>
    <n v="378.21999999999997"/>
    <x v="0"/>
    <n v="3"/>
    <x v="1"/>
    <x v="0"/>
    <s v="No"/>
  </r>
  <r>
    <s v="TRX-10408"/>
    <x v="243"/>
    <s v="Morgan"/>
    <x v="0"/>
    <x v="1"/>
    <x v="1"/>
    <x v="1"/>
    <x v="2"/>
    <n v="56"/>
    <n v="8"/>
    <n v="27742.39"/>
    <n v="312.38"/>
    <n v="93.81"/>
    <n v="218.57"/>
    <x v="0"/>
    <n v="1"/>
    <x v="1"/>
    <x v="0"/>
    <s v="No"/>
  </r>
  <r>
    <s v="TRX-10409"/>
    <x v="241"/>
    <s v="Sam"/>
    <x v="14"/>
    <x v="2"/>
    <x v="0"/>
    <x v="2"/>
    <x v="1"/>
    <n v="65"/>
    <n v="79"/>
    <n v="25940.79"/>
    <n v="482.1"/>
    <n v="151.32"/>
    <n v="330.78000000000003"/>
    <x v="0"/>
    <n v="3"/>
    <x v="1"/>
    <x v="0"/>
    <s v="Yes"/>
  </r>
  <r>
    <s v="TRX-10410"/>
    <x v="244"/>
    <s v="Taylor"/>
    <x v="9"/>
    <x v="3"/>
    <x v="3"/>
    <x v="2"/>
    <x v="3"/>
    <n v="56"/>
    <n v="3"/>
    <n v="34661.089999999997"/>
    <n v="347.15"/>
    <n v="117.02"/>
    <n v="230.13"/>
    <x v="0"/>
    <n v="2"/>
    <x v="1"/>
    <x v="0"/>
    <s v="No"/>
  </r>
  <r>
    <s v="TRX-10411"/>
    <x v="126"/>
    <s v="Drew"/>
    <x v="8"/>
    <x v="2"/>
    <x v="0"/>
    <x v="3"/>
    <x v="1"/>
    <n v="42"/>
    <n v="62"/>
    <n v="41953.75"/>
    <n v="285.22000000000003"/>
    <n v="153.94"/>
    <n v="131.28000000000003"/>
    <x v="1"/>
    <n v="1"/>
    <x v="1"/>
    <x v="2"/>
    <s v="Yes"/>
  </r>
  <r>
    <s v="TRX-10412"/>
    <x v="245"/>
    <s v="Sam"/>
    <x v="1"/>
    <x v="3"/>
    <x v="2"/>
    <x v="4"/>
    <x v="2"/>
    <n v="34"/>
    <n v="47"/>
    <n v="16487.990000000002"/>
    <n v="60.62"/>
    <n v="99.14"/>
    <n v="-38.520000000000003"/>
    <x v="0"/>
    <n v="3"/>
    <x v="0"/>
    <x v="0"/>
    <s v="No"/>
  </r>
  <r>
    <s v="TRX-10413"/>
    <x v="172"/>
    <s v="Alex"/>
    <x v="2"/>
    <x v="3"/>
    <x v="0"/>
    <x v="4"/>
    <x v="2"/>
    <n v="36"/>
    <n v="77"/>
    <n v="44506.1"/>
    <n v="236.18"/>
    <n v="66.55"/>
    <n v="169.63"/>
    <x v="1"/>
    <n v="3"/>
    <x v="1"/>
    <x v="2"/>
    <s v="Yes"/>
  </r>
  <r>
    <s v="TRX-10414"/>
    <x v="29"/>
    <s v="Taylor"/>
    <x v="4"/>
    <x v="3"/>
    <x v="4"/>
    <x v="3"/>
    <x v="1"/>
    <n v="56"/>
    <n v="105"/>
    <n v="8451.36"/>
    <n v="184.66"/>
    <n v="21.36"/>
    <n v="163.30000000000001"/>
    <x v="0"/>
    <n v="5"/>
    <x v="0"/>
    <x v="1"/>
    <s v="No"/>
  </r>
  <r>
    <s v="TRX-10415"/>
    <x v="215"/>
    <s v="Alex"/>
    <x v="8"/>
    <x v="3"/>
    <x v="2"/>
    <x v="3"/>
    <x v="2"/>
    <n v="45"/>
    <n v="98"/>
    <n v="9064.68"/>
    <n v="386.65"/>
    <n v="17.899999999999999"/>
    <n v="368.75"/>
    <x v="0"/>
    <n v="1"/>
    <x v="0"/>
    <x v="1"/>
    <s v="No"/>
  </r>
  <r>
    <s v="TRX-10416"/>
    <x v="246"/>
    <s v="Casey"/>
    <x v="7"/>
    <x v="3"/>
    <x v="1"/>
    <x v="3"/>
    <x v="0"/>
    <n v="52"/>
    <n v="88"/>
    <n v="13705.22"/>
    <n v="143.72"/>
    <n v="86.76"/>
    <n v="56.959999999999994"/>
    <x v="0"/>
    <n v="5"/>
    <x v="0"/>
    <x v="1"/>
    <s v="No"/>
  </r>
  <r>
    <s v="TRX-10417"/>
    <x v="82"/>
    <s v="Jordan"/>
    <x v="7"/>
    <x v="1"/>
    <x v="3"/>
    <x v="4"/>
    <x v="1"/>
    <n v="53"/>
    <n v="104"/>
    <n v="6416.78"/>
    <n v="142.35"/>
    <n v="106.74"/>
    <n v="35.61"/>
    <x v="0"/>
    <n v="5"/>
    <x v="0"/>
    <x v="1"/>
    <s v="No"/>
  </r>
  <r>
    <s v="TRX-10418"/>
    <x v="110"/>
    <s v="Drew"/>
    <x v="10"/>
    <x v="4"/>
    <x v="2"/>
    <x v="3"/>
    <x v="3"/>
    <n v="65"/>
    <n v="96"/>
    <n v="11900.8"/>
    <n v="135.28"/>
    <n v="103.23"/>
    <n v="32.049999999999997"/>
    <x v="0"/>
    <n v="5"/>
    <x v="0"/>
    <x v="1"/>
    <s v="No"/>
  </r>
  <r>
    <s v="TRX-10419"/>
    <x v="131"/>
    <s v="Sam"/>
    <x v="8"/>
    <x v="0"/>
    <x v="2"/>
    <x v="0"/>
    <x v="1"/>
    <n v="56"/>
    <n v="61"/>
    <n v="5767.38"/>
    <n v="106.53"/>
    <n v="91.46"/>
    <n v="15.070000000000007"/>
    <x v="0"/>
    <n v="4"/>
    <x v="0"/>
    <x v="1"/>
    <s v="No"/>
  </r>
  <r>
    <s v="TRX-10420"/>
    <x v="221"/>
    <s v="Jordan"/>
    <x v="4"/>
    <x v="4"/>
    <x v="4"/>
    <x v="2"/>
    <x v="0"/>
    <n v="40"/>
    <n v="32"/>
    <n v="41176.74"/>
    <n v="189.95"/>
    <n v="137.58000000000001"/>
    <n v="52.369999999999976"/>
    <x v="1"/>
    <n v="5"/>
    <x v="0"/>
    <x v="2"/>
    <s v="Yes"/>
  </r>
  <r>
    <s v="TRX-10421"/>
    <x v="164"/>
    <s v="Jordan"/>
    <x v="12"/>
    <x v="3"/>
    <x v="3"/>
    <x v="2"/>
    <x v="0"/>
    <n v="38"/>
    <n v="94"/>
    <n v="7378.97"/>
    <n v="448.66"/>
    <n v="172.79"/>
    <n v="275.87"/>
    <x v="0"/>
    <n v="2"/>
    <x v="0"/>
    <x v="1"/>
    <s v="No"/>
  </r>
  <r>
    <s v="TRX-10422"/>
    <x v="247"/>
    <s v="Sam"/>
    <x v="13"/>
    <x v="1"/>
    <x v="1"/>
    <x v="1"/>
    <x v="0"/>
    <n v="58"/>
    <n v="116"/>
    <n v="37491.230000000003"/>
    <n v="398.72"/>
    <n v="59.77"/>
    <n v="338.95000000000005"/>
    <x v="1"/>
    <n v="3"/>
    <x v="1"/>
    <x v="2"/>
    <s v="No"/>
  </r>
  <r>
    <s v="TRX-10423"/>
    <x v="140"/>
    <s v="Taylor"/>
    <x v="3"/>
    <x v="2"/>
    <x v="2"/>
    <x v="1"/>
    <x v="0"/>
    <n v="23"/>
    <n v="113"/>
    <n v="2871.74"/>
    <n v="380.86"/>
    <n v="38.6"/>
    <n v="342.26"/>
    <x v="0"/>
    <n v="4"/>
    <x v="0"/>
    <x v="1"/>
    <s v="No"/>
  </r>
  <r>
    <s v="TRX-10424"/>
    <x v="17"/>
    <s v="Drew"/>
    <x v="10"/>
    <x v="1"/>
    <x v="2"/>
    <x v="2"/>
    <x v="0"/>
    <n v="43"/>
    <n v="13"/>
    <n v="47451.76"/>
    <n v="408.8"/>
    <n v="23.24"/>
    <n v="385.56"/>
    <x v="1"/>
    <n v="5"/>
    <x v="0"/>
    <x v="2"/>
    <s v="Yes"/>
  </r>
  <r>
    <s v="TRX-10425"/>
    <x v="146"/>
    <s v="Casey"/>
    <x v="7"/>
    <x v="3"/>
    <x v="4"/>
    <x v="0"/>
    <x v="3"/>
    <n v="52"/>
    <n v="1"/>
    <n v="35702.42"/>
    <n v="171.24"/>
    <n v="123.25"/>
    <n v="47.990000000000009"/>
    <x v="1"/>
    <n v="3"/>
    <x v="1"/>
    <x v="2"/>
    <s v="No"/>
  </r>
  <r>
    <s v="TRX-10426"/>
    <x v="209"/>
    <s v="Alex"/>
    <x v="9"/>
    <x v="1"/>
    <x v="0"/>
    <x v="4"/>
    <x v="2"/>
    <n v="65"/>
    <n v="34"/>
    <n v="836.43"/>
    <n v="449.35"/>
    <n v="88.77"/>
    <n v="360.58000000000004"/>
    <x v="0"/>
    <n v="1"/>
    <x v="0"/>
    <x v="1"/>
    <s v="Yes"/>
  </r>
  <r>
    <s v="TRX-10427"/>
    <x v="24"/>
    <s v="Morgan"/>
    <x v="9"/>
    <x v="1"/>
    <x v="1"/>
    <x v="4"/>
    <x v="0"/>
    <n v="36"/>
    <n v="62"/>
    <n v="38310.9"/>
    <n v="111.79"/>
    <n v="37.6"/>
    <n v="74.19"/>
    <x v="1"/>
    <n v="1"/>
    <x v="1"/>
    <x v="2"/>
    <s v="No"/>
  </r>
  <r>
    <s v="TRX-10428"/>
    <x v="90"/>
    <s v="Alex"/>
    <x v="2"/>
    <x v="3"/>
    <x v="3"/>
    <x v="0"/>
    <x v="0"/>
    <n v="25"/>
    <n v="79"/>
    <n v="25947.06"/>
    <n v="201.36"/>
    <n v="130.63"/>
    <n v="70.730000000000018"/>
    <x v="0"/>
    <n v="3"/>
    <x v="1"/>
    <x v="0"/>
    <s v="No"/>
  </r>
  <r>
    <s v="TRX-10429"/>
    <x v="42"/>
    <s v="Morgan"/>
    <x v="12"/>
    <x v="1"/>
    <x v="2"/>
    <x v="4"/>
    <x v="1"/>
    <n v="24"/>
    <n v="108"/>
    <n v="39078.58"/>
    <n v="314.04000000000002"/>
    <n v="44.55"/>
    <n v="269.49"/>
    <x v="1"/>
    <n v="2"/>
    <x v="1"/>
    <x v="2"/>
    <s v="No"/>
  </r>
  <r>
    <s v="TRX-10430"/>
    <x v="172"/>
    <s v="Alex"/>
    <x v="0"/>
    <x v="0"/>
    <x v="2"/>
    <x v="3"/>
    <x v="3"/>
    <n v="41"/>
    <n v="78"/>
    <n v="26363.59"/>
    <n v="96.31"/>
    <n v="110.86"/>
    <n v="-14.549999999999997"/>
    <x v="0"/>
    <n v="3"/>
    <x v="1"/>
    <x v="0"/>
    <s v="No"/>
  </r>
  <r>
    <s v="TRX-10431"/>
    <x v="248"/>
    <s v="Sam"/>
    <x v="7"/>
    <x v="0"/>
    <x v="1"/>
    <x v="2"/>
    <x v="3"/>
    <n v="60"/>
    <n v="93"/>
    <n v="32230.73"/>
    <n v="378.56"/>
    <n v="105.43"/>
    <n v="273.13"/>
    <x v="0"/>
    <n v="3"/>
    <x v="1"/>
    <x v="0"/>
    <s v="No"/>
  </r>
  <r>
    <s v="TRX-10432"/>
    <x v="166"/>
    <s v="Casey"/>
    <x v="6"/>
    <x v="1"/>
    <x v="0"/>
    <x v="2"/>
    <x v="2"/>
    <n v="71"/>
    <n v="98"/>
    <n v="39423.42"/>
    <n v="224.26"/>
    <n v="146.85"/>
    <n v="77.41"/>
    <x v="1"/>
    <n v="4"/>
    <x v="0"/>
    <x v="2"/>
    <s v="Yes"/>
  </r>
  <r>
    <s v="TRX-10433"/>
    <x v="142"/>
    <s v="Drew"/>
    <x v="12"/>
    <x v="2"/>
    <x v="2"/>
    <x v="0"/>
    <x v="3"/>
    <n v="34"/>
    <n v="82"/>
    <n v="20552.849999999999"/>
    <n v="402.98"/>
    <n v="11.02"/>
    <n v="391.96000000000004"/>
    <x v="0"/>
    <n v="1"/>
    <x v="1"/>
    <x v="0"/>
    <s v="No"/>
  </r>
  <r>
    <s v="TRX-10434"/>
    <x v="150"/>
    <s v="Morgan"/>
    <x v="13"/>
    <x v="3"/>
    <x v="1"/>
    <x v="4"/>
    <x v="1"/>
    <n v="59"/>
    <n v="118"/>
    <n v="634.04999999999995"/>
    <n v="271.8"/>
    <n v="266.36"/>
    <n v="5.4399999999999977"/>
    <x v="0"/>
    <n v="1"/>
    <x v="0"/>
    <x v="1"/>
    <s v="No"/>
  </r>
  <r>
    <s v="TRX-10435"/>
    <x v="75"/>
    <s v="Drew"/>
    <x v="3"/>
    <x v="0"/>
    <x v="4"/>
    <x v="1"/>
    <x v="1"/>
    <n v="51"/>
    <n v="71"/>
    <n v="42572.35"/>
    <n v="131.38999999999999"/>
    <n v="210.9"/>
    <n v="-79.510000000000019"/>
    <x v="1"/>
    <n v="5"/>
    <x v="0"/>
    <x v="2"/>
    <s v="Yes"/>
  </r>
  <r>
    <s v="TRX-10436"/>
    <x v="249"/>
    <s v="Drew"/>
    <x v="4"/>
    <x v="2"/>
    <x v="0"/>
    <x v="1"/>
    <x v="2"/>
    <n v="34"/>
    <n v="93"/>
    <n v="19354.07"/>
    <n v="380.64"/>
    <n v="43.23"/>
    <n v="337.40999999999997"/>
    <x v="0"/>
    <n v="3"/>
    <x v="0"/>
    <x v="0"/>
    <s v="Yes"/>
  </r>
  <r>
    <s v="TRX-10437"/>
    <x v="161"/>
    <s v="Drew"/>
    <x v="8"/>
    <x v="1"/>
    <x v="3"/>
    <x v="4"/>
    <x v="1"/>
    <n v="26"/>
    <n v="119"/>
    <n v="25054.11"/>
    <n v="163.46"/>
    <n v="55.02"/>
    <n v="108.44"/>
    <x v="0"/>
    <n v="3"/>
    <x v="1"/>
    <x v="0"/>
    <s v="No"/>
  </r>
  <r>
    <s v="TRX-10438"/>
    <x v="225"/>
    <s v="Jamie"/>
    <x v="7"/>
    <x v="2"/>
    <x v="2"/>
    <x v="1"/>
    <x v="0"/>
    <n v="32"/>
    <n v="31"/>
    <n v="884.45"/>
    <n v="270.86"/>
    <n v="86.33"/>
    <n v="184.53000000000003"/>
    <x v="0"/>
    <n v="2"/>
    <x v="0"/>
    <x v="1"/>
    <s v="No"/>
  </r>
  <r>
    <s v="TRX-10439"/>
    <x v="90"/>
    <s v="Taylor"/>
    <x v="8"/>
    <x v="4"/>
    <x v="1"/>
    <x v="0"/>
    <x v="0"/>
    <n v="36"/>
    <n v="64"/>
    <n v="24858.55"/>
    <n v="83.99"/>
    <n v="163.51"/>
    <n v="-79.52"/>
    <x v="0"/>
    <n v="1"/>
    <x v="1"/>
    <x v="0"/>
    <s v="No"/>
  </r>
  <r>
    <s v="TRX-10440"/>
    <x v="122"/>
    <s v="Alex"/>
    <x v="9"/>
    <x v="0"/>
    <x v="4"/>
    <x v="0"/>
    <x v="1"/>
    <n v="37"/>
    <n v="25"/>
    <n v="49331.13"/>
    <n v="328.04"/>
    <n v="252.88"/>
    <n v="75.160000000000025"/>
    <x v="1"/>
    <n v="2"/>
    <x v="1"/>
    <x v="2"/>
    <s v="Yes"/>
  </r>
  <r>
    <s v="TRX-10441"/>
    <x v="135"/>
    <s v="Drew"/>
    <x v="4"/>
    <x v="1"/>
    <x v="3"/>
    <x v="4"/>
    <x v="2"/>
    <n v="65"/>
    <n v="38"/>
    <n v="14274.25"/>
    <n v="349.64"/>
    <n v="104.09"/>
    <n v="245.54999999999998"/>
    <x v="0"/>
    <n v="4"/>
    <x v="0"/>
    <x v="1"/>
    <s v="No"/>
  </r>
  <r>
    <s v="TRX-10442"/>
    <x v="68"/>
    <s v="Alex"/>
    <x v="4"/>
    <x v="3"/>
    <x v="1"/>
    <x v="1"/>
    <x v="3"/>
    <n v="43"/>
    <n v="14"/>
    <n v="20073.2"/>
    <n v="220.4"/>
    <n v="172.16"/>
    <n v="48.240000000000009"/>
    <x v="0"/>
    <n v="5"/>
    <x v="0"/>
    <x v="0"/>
    <s v="No"/>
  </r>
  <r>
    <s v="TRX-10443"/>
    <x v="122"/>
    <s v="Drew"/>
    <x v="4"/>
    <x v="1"/>
    <x v="1"/>
    <x v="0"/>
    <x v="2"/>
    <n v="34"/>
    <n v="8"/>
    <n v="34515.9"/>
    <n v="479.49"/>
    <n v="1.0900000000000001"/>
    <n v="478.40000000000003"/>
    <x v="0"/>
    <n v="2"/>
    <x v="1"/>
    <x v="0"/>
    <s v="No"/>
  </r>
  <r>
    <s v="TRX-10444"/>
    <x v="250"/>
    <s v="Morgan"/>
    <x v="9"/>
    <x v="3"/>
    <x v="3"/>
    <x v="0"/>
    <x v="3"/>
    <n v="27"/>
    <n v="91"/>
    <n v="40832.29"/>
    <n v="443.38"/>
    <n v="7.03"/>
    <n v="436.35"/>
    <x v="1"/>
    <n v="1"/>
    <x v="1"/>
    <x v="2"/>
    <s v="Yes"/>
  </r>
  <r>
    <s v="TRX-10445"/>
    <x v="37"/>
    <s v="Taylor"/>
    <x v="13"/>
    <x v="1"/>
    <x v="4"/>
    <x v="3"/>
    <x v="1"/>
    <n v="66"/>
    <n v="54"/>
    <n v="21160.89"/>
    <n v="368.57"/>
    <n v="273.54000000000002"/>
    <n v="95.029999999999973"/>
    <x v="0"/>
    <n v="4"/>
    <x v="0"/>
    <x v="0"/>
    <s v="No"/>
  </r>
  <r>
    <s v="TRX-10446"/>
    <x v="251"/>
    <s v="Taylor"/>
    <x v="8"/>
    <x v="2"/>
    <x v="4"/>
    <x v="3"/>
    <x v="1"/>
    <n v="52"/>
    <n v="2"/>
    <n v="15828.61"/>
    <n v="371.14"/>
    <n v="232.6"/>
    <n v="138.54"/>
    <x v="0"/>
    <n v="3"/>
    <x v="0"/>
    <x v="0"/>
    <s v="No"/>
  </r>
  <r>
    <s v="TRX-10447"/>
    <x v="57"/>
    <s v="Sam"/>
    <x v="11"/>
    <x v="2"/>
    <x v="0"/>
    <x v="0"/>
    <x v="0"/>
    <n v="35"/>
    <n v="81"/>
    <n v="46922.38"/>
    <n v="163.58000000000001"/>
    <n v="90.14"/>
    <n v="73.440000000000012"/>
    <x v="1"/>
    <n v="4"/>
    <x v="0"/>
    <x v="2"/>
    <s v="Yes"/>
  </r>
  <r>
    <s v="TRX-10448"/>
    <x v="15"/>
    <s v="Jamie"/>
    <x v="8"/>
    <x v="2"/>
    <x v="2"/>
    <x v="4"/>
    <x v="3"/>
    <n v="64"/>
    <n v="101"/>
    <n v="34018.68"/>
    <n v="345.57"/>
    <n v="150.72"/>
    <n v="194.85"/>
    <x v="0"/>
    <n v="2"/>
    <x v="1"/>
    <x v="0"/>
    <s v="No"/>
  </r>
  <r>
    <s v="TRX-10449"/>
    <x v="206"/>
    <s v="Sam"/>
    <x v="5"/>
    <x v="4"/>
    <x v="3"/>
    <x v="2"/>
    <x v="2"/>
    <n v="37"/>
    <n v="78"/>
    <n v="6391.55"/>
    <n v="139.19"/>
    <n v="191.13"/>
    <n v="-51.94"/>
    <x v="0"/>
    <n v="1"/>
    <x v="0"/>
    <x v="1"/>
    <s v="No"/>
  </r>
  <r>
    <s v="TRX-10450"/>
    <x v="43"/>
    <s v="Sam"/>
    <x v="3"/>
    <x v="3"/>
    <x v="3"/>
    <x v="2"/>
    <x v="1"/>
    <n v="61"/>
    <n v="89"/>
    <n v="3911.93"/>
    <n v="114.8"/>
    <n v="231.63"/>
    <n v="-116.83"/>
    <x v="0"/>
    <n v="2"/>
    <x v="0"/>
    <x v="1"/>
    <s v="No"/>
  </r>
  <r>
    <s v="TRX-10451"/>
    <x v="72"/>
    <s v="Sam"/>
    <x v="6"/>
    <x v="2"/>
    <x v="3"/>
    <x v="0"/>
    <x v="2"/>
    <n v="74"/>
    <n v="56"/>
    <n v="24435.72"/>
    <n v="499.76"/>
    <n v="168.47"/>
    <n v="331.28999999999996"/>
    <x v="0"/>
    <n v="3"/>
    <x v="1"/>
    <x v="0"/>
    <s v="No"/>
  </r>
  <r>
    <s v="TRX-10452"/>
    <x v="206"/>
    <s v="Sam"/>
    <x v="11"/>
    <x v="4"/>
    <x v="4"/>
    <x v="0"/>
    <x v="0"/>
    <n v="67"/>
    <n v="94"/>
    <n v="11394.46"/>
    <n v="330.07"/>
    <n v="152.12"/>
    <n v="177.95"/>
    <x v="0"/>
    <n v="3"/>
    <x v="0"/>
    <x v="1"/>
    <s v="No"/>
  </r>
  <r>
    <s v="TRX-10453"/>
    <x v="191"/>
    <s v="Sam"/>
    <x v="3"/>
    <x v="3"/>
    <x v="2"/>
    <x v="0"/>
    <x v="3"/>
    <n v="64"/>
    <n v="93"/>
    <n v="13072.25"/>
    <n v="243.94"/>
    <n v="33.64"/>
    <n v="210.3"/>
    <x v="0"/>
    <n v="1"/>
    <x v="0"/>
    <x v="1"/>
    <s v="No"/>
  </r>
  <r>
    <s v="TRX-10454"/>
    <x v="252"/>
    <s v="Casey"/>
    <x v="10"/>
    <x v="1"/>
    <x v="0"/>
    <x v="4"/>
    <x v="3"/>
    <n v="54"/>
    <n v="84"/>
    <n v="43945.760000000002"/>
    <n v="179.67"/>
    <n v="166.71"/>
    <n v="12.95999999999998"/>
    <x v="1"/>
    <n v="5"/>
    <x v="0"/>
    <x v="2"/>
    <s v="Yes"/>
  </r>
  <r>
    <s v="TRX-10455"/>
    <x v="253"/>
    <s v="Taylor"/>
    <x v="12"/>
    <x v="4"/>
    <x v="1"/>
    <x v="3"/>
    <x v="1"/>
    <n v="25"/>
    <n v="85"/>
    <n v="4933.5200000000004"/>
    <n v="321.76"/>
    <n v="58.53"/>
    <n v="263.23"/>
    <x v="0"/>
    <n v="4"/>
    <x v="0"/>
    <x v="1"/>
    <s v="No"/>
  </r>
  <r>
    <s v="TRX-10456"/>
    <x v="131"/>
    <s v="Sam"/>
    <x v="12"/>
    <x v="0"/>
    <x v="1"/>
    <x v="0"/>
    <x v="3"/>
    <n v="65"/>
    <n v="61"/>
    <n v="35910.519999999997"/>
    <n v="72.319999999999993"/>
    <n v="178.52"/>
    <n v="-106.20000000000002"/>
    <x v="1"/>
    <n v="4"/>
    <x v="0"/>
    <x v="2"/>
    <s v="No"/>
  </r>
  <r>
    <s v="TRX-10457"/>
    <x v="155"/>
    <s v="Drew"/>
    <x v="14"/>
    <x v="4"/>
    <x v="3"/>
    <x v="0"/>
    <x v="1"/>
    <n v="47"/>
    <n v="117"/>
    <n v="13921.54"/>
    <n v="92.61"/>
    <n v="137.6"/>
    <n v="-44.989999999999995"/>
    <x v="0"/>
    <n v="3"/>
    <x v="0"/>
    <x v="1"/>
    <s v="No"/>
  </r>
  <r>
    <s v="TRX-10458"/>
    <x v="254"/>
    <s v="Taylor"/>
    <x v="12"/>
    <x v="4"/>
    <x v="2"/>
    <x v="1"/>
    <x v="0"/>
    <n v="72"/>
    <n v="22"/>
    <n v="38136.25"/>
    <n v="64.790000000000006"/>
    <n v="135.4"/>
    <n v="-70.61"/>
    <x v="1"/>
    <n v="2"/>
    <x v="1"/>
    <x v="2"/>
    <s v="No"/>
  </r>
  <r>
    <s v="TRX-10459"/>
    <x v="48"/>
    <s v="Taylor"/>
    <x v="8"/>
    <x v="3"/>
    <x v="4"/>
    <x v="4"/>
    <x v="3"/>
    <n v="43"/>
    <n v="35"/>
    <n v="36259.360000000001"/>
    <n v="274.63"/>
    <n v="99.45"/>
    <n v="175.18"/>
    <x v="1"/>
    <n v="2"/>
    <x v="1"/>
    <x v="2"/>
    <s v="No"/>
  </r>
  <r>
    <s v="TRX-10460"/>
    <x v="137"/>
    <s v="Jordan"/>
    <x v="9"/>
    <x v="1"/>
    <x v="2"/>
    <x v="0"/>
    <x v="1"/>
    <n v="60"/>
    <n v="101"/>
    <n v="865.9"/>
    <n v="320.27"/>
    <n v="28.2"/>
    <n v="292.07"/>
    <x v="0"/>
    <n v="5"/>
    <x v="0"/>
    <x v="1"/>
    <s v="No"/>
  </r>
  <r>
    <s v="TRX-10461"/>
    <x v="255"/>
    <s v="Casey"/>
    <x v="6"/>
    <x v="0"/>
    <x v="2"/>
    <x v="1"/>
    <x v="2"/>
    <n v="34"/>
    <n v="16"/>
    <n v="25702.2"/>
    <n v="78.12"/>
    <n v="58.14"/>
    <n v="19.980000000000004"/>
    <x v="0"/>
    <n v="2"/>
    <x v="1"/>
    <x v="0"/>
    <s v="No"/>
  </r>
  <r>
    <s v="TRX-10462"/>
    <x v="256"/>
    <s v="Sam"/>
    <x v="0"/>
    <x v="2"/>
    <x v="4"/>
    <x v="2"/>
    <x v="1"/>
    <n v="35"/>
    <n v="50"/>
    <n v="7396.31"/>
    <n v="374.55"/>
    <n v="295.12"/>
    <n v="79.430000000000007"/>
    <x v="0"/>
    <n v="4"/>
    <x v="0"/>
    <x v="1"/>
    <s v="No"/>
  </r>
  <r>
    <s v="TRX-10463"/>
    <x v="257"/>
    <s v="Alex"/>
    <x v="2"/>
    <x v="2"/>
    <x v="3"/>
    <x v="0"/>
    <x v="3"/>
    <n v="63"/>
    <n v="113"/>
    <n v="43378.239999999998"/>
    <n v="153.68"/>
    <n v="192.14"/>
    <n v="-38.45999999999998"/>
    <x v="1"/>
    <n v="2"/>
    <x v="1"/>
    <x v="2"/>
    <s v="Yes"/>
  </r>
  <r>
    <s v="TRX-10464"/>
    <x v="258"/>
    <s v="Morgan"/>
    <x v="14"/>
    <x v="4"/>
    <x v="2"/>
    <x v="0"/>
    <x v="0"/>
    <n v="53"/>
    <n v="43"/>
    <n v="43643.5"/>
    <n v="358.34"/>
    <n v="64.099999999999994"/>
    <n v="294.24"/>
    <x v="1"/>
    <n v="5"/>
    <x v="0"/>
    <x v="2"/>
    <s v="Yes"/>
  </r>
  <r>
    <s v="TRX-10465"/>
    <x v="126"/>
    <s v="Jamie"/>
    <x v="1"/>
    <x v="3"/>
    <x v="1"/>
    <x v="1"/>
    <x v="3"/>
    <n v="73"/>
    <n v="17"/>
    <n v="21208.12"/>
    <n v="491.85"/>
    <n v="199.26"/>
    <n v="292.59000000000003"/>
    <x v="0"/>
    <n v="4"/>
    <x v="0"/>
    <x v="0"/>
    <s v="No"/>
  </r>
  <r>
    <s v="TRX-10466"/>
    <x v="220"/>
    <s v="Drew"/>
    <x v="1"/>
    <x v="3"/>
    <x v="4"/>
    <x v="4"/>
    <x v="3"/>
    <n v="51"/>
    <n v="80"/>
    <n v="22497.58"/>
    <n v="361"/>
    <n v="169.11"/>
    <n v="191.89"/>
    <x v="0"/>
    <n v="2"/>
    <x v="1"/>
    <x v="0"/>
    <s v="No"/>
  </r>
  <r>
    <s v="TRX-10467"/>
    <x v="57"/>
    <s v="Alex"/>
    <x v="2"/>
    <x v="2"/>
    <x v="0"/>
    <x v="0"/>
    <x v="1"/>
    <n v="55"/>
    <n v="58"/>
    <n v="15512.51"/>
    <n v="447.44"/>
    <n v="183.28"/>
    <n v="264.15999999999997"/>
    <x v="0"/>
    <n v="4"/>
    <x v="0"/>
    <x v="0"/>
    <s v="Yes"/>
  </r>
  <r>
    <s v="TRX-10468"/>
    <x v="185"/>
    <s v="Casey"/>
    <x v="3"/>
    <x v="0"/>
    <x v="3"/>
    <x v="2"/>
    <x v="2"/>
    <n v="37"/>
    <n v="119"/>
    <n v="35972.01"/>
    <n v="476.69"/>
    <n v="8.02"/>
    <n v="468.67"/>
    <x v="1"/>
    <n v="3"/>
    <x v="1"/>
    <x v="2"/>
    <s v="No"/>
  </r>
  <r>
    <s v="TRX-10469"/>
    <x v="181"/>
    <s v="Morgan"/>
    <x v="2"/>
    <x v="1"/>
    <x v="4"/>
    <x v="0"/>
    <x v="3"/>
    <n v="48"/>
    <n v="2"/>
    <n v="18253.740000000002"/>
    <n v="269.04000000000002"/>
    <n v="180.29"/>
    <n v="88.750000000000028"/>
    <x v="0"/>
    <n v="3"/>
    <x v="0"/>
    <x v="0"/>
    <s v="No"/>
  </r>
  <r>
    <s v="TRX-10470"/>
    <x v="109"/>
    <s v="Casey"/>
    <x v="2"/>
    <x v="0"/>
    <x v="0"/>
    <x v="2"/>
    <x v="2"/>
    <n v="39"/>
    <n v="4"/>
    <n v="13755.73"/>
    <n v="366.05"/>
    <n v="111.49"/>
    <n v="254.56"/>
    <x v="0"/>
    <n v="3"/>
    <x v="0"/>
    <x v="1"/>
    <s v="Yes"/>
  </r>
  <r>
    <s v="TRX-10471"/>
    <x v="97"/>
    <s v="Drew"/>
    <x v="1"/>
    <x v="1"/>
    <x v="0"/>
    <x v="3"/>
    <x v="1"/>
    <n v="66"/>
    <n v="85"/>
    <n v="21895.439999999999"/>
    <n v="433.39"/>
    <n v="260.55"/>
    <n v="172.83999999999997"/>
    <x v="0"/>
    <n v="2"/>
    <x v="1"/>
    <x v="0"/>
    <s v="Yes"/>
  </r>
  <r>
    <s v="TRX-10472"/>
    <x v="259"/>
    <s v="Taylor"/>
    <x v="14"/>
    <x v="2"/>
    <x v="2"/>
    <x v="3"/>
    <x v="2"/>
    <n v="74"/>
    <n v="39"/>
    <n v="5028.63"/>
    <n v="210.47"/>
    <n v="166.89"/>
    <n v="43.580000000000013"/>
    <x v="0"/>
    <n v="5"/>
    <x v="0"/>
    <x v="1"/>
    <s v="No"/>
  </r>
  <r>
    <s v="TRX-10473"/>
    <x v="97"/>
    <s v="Morgan"/>
    <x v="10"/>
    <x v="1"/>
    <x v="2"/>
    <x v="2"/>
    <x v="1"/>
    <n v="43"/>
    <n v="98"/>
    <n v="37456.86"/>
    <n v="167.63"/>
    <n v="249.9"/>
    <n v="-82.27000000000001"/>
    <x v="1"/>
    <n v="4"/>
    <x v="0"/>
    <x v="2"/>
    <s v="No"/>
  </r>
  <r>
    <s v="TRX-10474"/>
    <x v="150"/>
    <s v="Taylor"/>
    <x v="8"/>
    <x v="3"/>
    <x v="2"/>
    <x v="4"/>
    <x v="0"/>
    <n v="52"/>
    <n v="94"/>
    <n v="1123.52"/>
    <n v="475.97"/>
    <n v="139.63"/>
    <n v="336.34000000000003"/>
    <x v="0"/>
    <n v="1"/>
    <x v="0"/>
    <x v="1"/>
    <s v="No"/>
  </r>
  <r>
    <s v="TRX-10475"/>
    <x v="242"/>
    <s v="Drew"/>
    <x v="4"/>
    <x v="4"/>
    <x v="4"/>
    <x v="0"/>
    <x v="2"/>
    <n v="60"/>
    <n v="6"/>
    <n v="32402.01"/>
    <n v="376.84"/>
    <n v="58.28"/>
    <n v="318.55999999999995"/>
    <x v="0"/>
    <n v="3"/>
    <x v="1"/>
    <x v="0"/>
    <s v="No"/>
  </r>
  <r>
    <s v="TRX-10476"/>
    <x v="149"/>
    <s v="Alex"/>
    <x v="12"/>
    <x v="4"/>
    <x v="4"/>
    <x v="0"/>
    <x v="2"/>
    <n v="33"/>
    <n v="81"/>
    <n v="9551.7900000000009"/>
    <n v="148.86000000000001"/>
    <n v="67.23"/>
    <n v="81.63000000000001"/>
    <x v="0"/>
    <n v="3"/>
    <x v="0"/>
    <x v="1"/>
    <s v="No"/>
  </r>
  <r>
    <s v="TRX-10477"/>
    <x v="260"/>
    <s v="Drew"/>
    <x v="12"/>
    <x v="2"/>
    <x v="3"/>
    <x v="3"/>
    <x v="0"/>
    <n v="40"/>
    <n v="103"/>
    <n v="12004"/>
    <n v="252.09"/>
    <n v="61.69"/>
    <n v="190.4"/>
    <x v="0"/>
    <n v="1"/>
    <x v="0"/>
    <x v="1"/>
    <s v="No"/>
  </r>
  <r>
    <s v="TRX-10478"/>
    <x v="105"/>
    <s v="Alex"/>
    <x v="9"/>
    <x v="3"/>
    <x v="2"/>
    <x v="2"/>
    <x v="2"/>
    <n v="55"/>
    <n v="89"/>
    <n v="31963.78"/>
    <n v="408.4"/>
    <n v="4.01"/>
    <n v="404.39"/>
    <x v="0"/>
    <n v="1"/>
    <x v="1"/>
    <x v="0"/>
    <s v="No"/>
  </r>
  <r>
    <s v="TRX-10479"/>
    <x v="73"/>
    <s v="Morgan"/>
    <x v="14"/>
    <x v="0"/>
    <x v="0"/>
    <x v="0"/>
    <x v="0"/>
    <n v="25"/>
    <n v="69"/>
    <n v="49650.7"/>
    <n v="296.18"/>
    <n v="116.51"/>
    <n v="179.67000000000002"/>
    <x v="1"/>
    <n v="2"/>
    <x v="1"/>
    <x v="2"/>
    <s v="Yes"/>
  </r>
  <r>
    <s v="TRX-10480"/>
    <x v="101"/>
    <s v="Morgan"/>
    <x v="9"/>
    <x v="3"/>
    <x v="1"/>
    <x v="0"/>
    <x v="3"/>
    <n v="29"/>
    <n v="69"/>
    <n v="38997.019999999997"/>
    <n v="342.48"/>
    <n v="139.77000000000001"/>
    <n v="202.71"/>
    <x v="1"/>
    <n v="4"/>
    <x v="0"/>
    <x v="2"/>
    <s v="No"/>
  </r>
  <r>
    <s v="TRX-10481"/>
    <x v="139"/>
    <s v="Sam"/>
    <x v="0"/>
    <x v="4"/>
    <x v="3"/>
    <x v="4"/>
    <x v="1"/>
    <n v="49"/>
    <n v="20"/>
    <n v="11679.06"/>
    <n v="389.2"/>
    <n v="256.16000000000003"/>
    <n v="133.03999999999996"/>
    <x v="0"/>
    <n v="3"/>
    <x v="0"/>
    <x v="1"/>
    <s v="No"/>
  </r>
  <r>
    <s v="TRX-10482"/>
    <x v="261"/>
    <s v="Casey"/>
    <x v="0"/>
    <x v="4"/>
    <x v="4"/>
    <x v="1"/>
    <x v="0"/>
    <n v="26"/>
    <n v="64"/>
    <n v="9213.23"/>
    <n v="329.9"/>
    <n v="28.03"/>
    <n v="301.87"/>
    <x v="0"/>
    <n v="5"/>
    <x v="0"/>
    <x v="1"/>
    <s v="No"/>
  </r>
  <r>
    <s v="TRX-10483"/>
    <x v="184"/>
    <s v="Sam"/>
    <x v="9"/>
    <x v="3"/>
    <x v="3"/>
    <x v="3"/>
    <x v="2"/>
    <n v="45"/>
    <n v="16"/>
    <n v="43378.53"/>
    <n v="293.04000000000002"/>
    <n v="108.84"/>
    <n v="184.20000000000002"/>
    <x v="1"/>
    <n v="2"/>
    <x v="1"/>
    <x v="2"/>
    <s v="Yes"/>
  </r>
  <r>
    <s v="TRX-10484"/>
    <x v="179"/>
    <s v="Casey"/>
    <x v="14"/>
    <x v="3"/>
    <x v="3"/>
    <x v="3"/>
    <x v="0"/>
    <n v="51"/>
    <n v="51"/>
    <n v="22487.11"/>
    <n v="387.33"/>
    <n v="1.6"/>
    <n v="385.72999999999996"/>
    <x v="0"/>
    <n v="2"/>
    <x v="1"/>
    <x v="0"/>
    <s v="No"/>
  </r>
  <r>
    <s v="TRX-10485"/>
    <x v="25"/>
    <s v="Sam"/>
    <x v="9"/>
    <x v="4"/>
    <x v="3"/>
    <x v="1"/>
    <x v="2"/>
    <n v="42"/>
    <n v="105"/>
    <n v="7284.11"/>
    <n v="377.4"/>
    <n v="19.02"/>
    <n v="358.38"/>
    <x v="0"/>
    <n v="5"/>
    <x v="0"/>
    <x v="1"/>
    <s v="No"/>
  </r>
  <r>
    <s v="TRX-10486"/>
    <x v="262"/>
    <s v="Taylor"/>
    <x v="12"/>
    <x v="0"/>
    <x v="3"/>
    <x v="0"/>
    <x v="3"/>
    <n v="22"/>
    <n v="37"/>
    <n v="43179.47"/>
    <n v="333.44"/>
    <n v="10.84"/>
    <n v="322.60000000000002"/>
    <x v="1"/>
    <n v="5"/>
    <x v="0"/>
    <x v="2"/>
    <s v="Yes"/>
  </r>
  <r>
    <s v="TRX-10487"/>
    <x v="263"/>
    <s v="Morgan"/>
    <x v="11"/>
    <x v="2"/>
    <x v="1"/>
    <x v="4"/>
    <x v="0"/>
    <n v="65"/>
    <n v="104"/>
    <n v="40896.57"/>
    <n v="211.91"/>
    <n v="145.1"/>
    <n v="66.81"/>
    <x v="1"/>
    <n v="5"/>
    <x v="0"/>
    <x v="2"/>
    <s v="Yes"/>
  </r>
  <r>
    <s v="TRX-10488"/>
    <x v="64"/>
    <s v="Alex"/>
    <x v="5"/>
    <x v="2"/>
    <x v="2"/>
    <x v="4"/>
    <x v="3"/>
    <n v="25"/>
    <n v="73"/>
    <n v="49203.37"/>
    <n v="232.62"/>
    <n v="16.21"/>
    <n v="216.41"/>
    <x v="1"/>
    <n v="1"/>
    <x v="1"/>
    <x v="2"/>
    <s v="Yes"/>
  </r>
  <r>
    <s v="TRX-10489"/>
    <x v="92"/>
    <s v="Casey"/>
    <x v="1"/>
    <x v="3"/>
    <x v="0"/>
    <x v="3"/>
    <x v="1"/>
    <n v="47"/>
    <n v="69"/>
    <n v="45532.31"/>
    <n v="486.7"/>
    <n v="214.94"/>
    <n v="271.76"/>
    <x v="1"/>
    <n v="3"/>
    <x v="1"/>
    <x v="2"/>
    <s v="Yes"/>
  </r>
  <r>
    <s v="TRX-10490"/>
    <x v="233"/>
    <s v="Drew"/>
    <x v="1"/>
    <x v="2"/>
    <x v="3"/>
    <x v="4"/>
    <x v="2"/>
    <n v="45"/>
    <n v="42"/>
    <n v="42663.62"/>
    <n v="100.57"/>
    <n v="49.92"/>
    <n v="50.649999999999991"/>
    <x v="1"/>
    <n v="1"/>
    <x v="1"/>
    <x v="2"/>
    <s v="Yes"/>
  </r>
  <r>
    <s v="TRX-10491"/>
    <x v="9"/>
    <s v="Casey"/>
    <x v="6"/>
    <x v="4"/>
    <x v="3"/>
    <x v="1"/>
    <x v="2"/>
    <n v="28"/>
    <n v="57"/>
    <n v="3102.43"/>
    <n v="170.83"/>
    <n v="175.54"/>
    <n v="-4.7099999999999795"/>
    <x v="0"/>
    <n v="3"/>
    <x v="0"/>
    <x v="1"/>
    <s v="No"/>
  </r>
  <r>
    <s v="TRX-10492"/>
    <x v="264"/>
    <s v="Alex"/>
    <x v="2"/>
    <x v="4"/>
    <x v="3"/>
    <x v="0"/>
    <x v="3"/>
    <n v="21"/>
    <n v="66"/>
    <n v="5668.56"/>
    <n v="271.58"/>
    <n v="162.63"/>
    <n v="108.94999999999999"/>
    <x v="0"/>
    <n v="1"/>
    <x v="0"/>
    <x v="1"/>
    <s v="No"/>
  </r>
  <r>
    <s v="TRX-10493"/>
    <x v="265"/>
    <s v="Sam"/>
    <x v="5"/>
    <x v="3"/>
    <x v="2"/>
    <x v="1"/>
    <x v="1"/>
    <n v="40"/>
    <n v="9"/>
    <n v="28664.67"/>
    <n v="426.53"/>
    <n v="287.36"/>
    <n v="139.16999999999996"/>
    <x v="0"/>
    <n v="4"/>
    <x v="0"/>
    <x v="0"/>
    <s v="No"/>
  </r>
  <r>
    <s v="TRX-10494"/>
    <x v="266"/>
    <s v="Casey"/>
    <x v="8"/>
    <x v="3"/>
    <x v="4"/>
    <x v="2"/>
    <x v="0"/>
    <n v="64"/>
    <n v="107"/>
    <n v="26808.22"/>
    <n v="123.65"/>
    <n v="176.75"/>
    <n v="-53.099999999999994"/>
    <x v="0"/>
    <n v="3"/>
    <x v="1"/>
    <x v="0"/>
    <s v="No"/>
  </r>
  <r>
    <s v="TRX-10495"/>
    <x v="267"/>
    <s v="Jamie"/>
    <x v="14"/>
    <x v="3"/>
    <x v="4"/>
    <x v="3"/>
    <x v="0"/>
    <n v="43"/>
    <n v="100"/>
    <n v="23169.18"/>
    <n v="174.63"/>
    <n v="186.67"/>
    <n v="-12.039999999999992"/>
    <x v="0"/>
    <n v="2"/>
    <x v="1"/>
    <x v="0"/>
    <s v="No"/>
  </r>
  <r>
    <s v="TRX-10496"/>
    <x v="195"/>
    <s v="Taylor"/>
    <x v="13"/>
    <x v="0"/>
    <x v="1"/>
    <x v="4"/>
    <x v="2"/>
    <n v="52"/>
    <n v="86"/>
    <n v="20141.07"/>
    <n v="79.61"/>
    <n v="171.75"/>
    <n v="-92.14"/>
    <x v="0"/>
    <n v="3"/>
    <x v="1"/>
    <x v="0"/>
    <s v="No"/>
  </r>
  <r>
    <s v="TRX-10497"/>
    <x v="80"/>
    <s v="Morgan"/>
    <x v="5"/>
    <x v="2"/>
    <x v="4"/>
    <x v="2"/>
    <x v="3"/>
    <n v="31"/>
    <n v="64"/>
    <n v="21844.92"/>
    <n v="367.69"/>
    <n v="138.68"/>
    <n v="229.01"/>
    <x v="0"/>
    <n v="3"/>
    <x v="1"/>
    <x v="0"/>
    <s v="No"/>
  </r>
  <r>
    <s v="TRX-10498"/>
    <x v="59"/>
    <s v="Alex"/>
    <x v="6"/>
    <x v="3"/>
    <x v="3"/>
    <x v="4"/>
    <x v="3"/>
    <n v="59"/>
    <n v="86"/>
    <n v="28680.25"/>
    <n v="157.19"/>
    <n v="34.049999999999997"/>
    <n v="123.14"/>
    <x v="0"/>
    <n v="3"/>
    <x v="1"/>
    <x v="0"/>
    <s v="No"/>
  </r>
  <r>
    <s v="TRX-10499"/>
    <x v="143"/>
    <s v="Morgan"/>
    <x v="0"/>
    <x v="1"/>
    <x v="3"/>
    <x v="0"/>
    <x v="0"/>
    <n v="67"/>
    <n v="22"/>
    <n v="602.79"/>
    <n v="224.9"/>
    <n v="54.34"/>
    <n v="170.56"/>
    <x v="0"/>
    <n v="4"/>
    <x v="0"/>
    <x v="1"/>
    <s v="No"/>
  </r>
  <r>
    <s v="TRX-10500"/>
    <x v="268"/>
    <s v="Jamie"/>
    <x v="3"/>
    <x v="1"/>
    <x v="3"/>
    <x v="0"/>
    <x v="1"/>
    <n v="74"/>
    <n v="34"/>
    <n v="13405.08"/>
    <n v="249.67"/>
    <n v="63.82"/>
    <n v="185.85"/>
    <x v="0"/>
    <n v="1"/>
    <x v="0"/>
    <x v="1"/>
    <s v="No"/>
  </r>
  <r>
    <s v="TRX-10501"/>
    <x v="111"/>
    <s v="Casey"/>
    <x v="2"/>
    <x v="4"/>
    <x v="1"/>
    <x v="0"/>
    <x v="1"/>
    <n v="44"/>
    <n v="55"/>
    <n v="26154.85"/>
    <n v="451.09"/>
    <n v="181.08"/>
    <n v="270.01"/>
    <x v="0"/>
    <n v="2"/>
    <x v="1"/>
    <x v="0"/>
    <s v="No"/>
  </r>
  <r>
    <s v="TRX-10502"/>
    <x v="269"/>
    <s v="Casey"/>
    <x v="6"/>
    <x v="2"/>
    <x v="3"/>
    <x v="4"/>
    <x v="0"/>
    <n v="31"/>
    <n v="29"/>
    <n v="36249.699999999997"/>
    <n v="235.1"/>
    <n v="100.72"/>
    <n v="134.38"/>
    <x v="1"/>
    <n v="1"/>
    <x v="1"/>
    <x v="2"/>
    <s v="No"/>
  </r>
  <r>
    <s v="TRX-10503"/>
    <x v="101"/>
    <s v="Drew"/>
    <x v="4"/>
    <x v="3"/>
    <x v="4"/>
    <x v="2"/>
    <x v="0"/>
    <n v="49"/>
    <n v="38"/>
    <n v="9120.76"/>
    <n v="115.35"/>
    <n v="173.42"/>
    <n v="-58.069999999999993"/>
    <x v="0"/>
    <n v="1"/>
    <x v="0"/>
    <x v="1"/>
    <s v="No"/>
  </r>
  <r>
    <s v="TRX-10504"/>
    <x v="174"/>
    <s v="Jamie"/>
    <x v="13"/>
    <x v="1"/>
    <x v="2"/>
    <x v="0"/>
    <x v="3"/>
    <n v="74"/>
    <n v="110"/>
    <n v="27570.62"/>
    <n v="285.94"/>
    <n v="190.53"/>
    <n v="95.41"/>
    <x v="0"/>
    <n v="5"/>
    <x v="0"/>
    <x v="0"/>
    <s v="No"/>
  </r>
  <r>
    <s v="TRX-10505"/>
    <x v="205"/>
    <s v="Alex"/>
    <x v="14"/>
    <x v="2"/>
    <x v="2"/>
    <x v="2"/>
    <x v="1"/>
    <n v="46"/>
    <n v="97"/>
    <n v="35865.75"/>
    <n v="483.33"/>
    <n v="121.46"/>
    <n v="361.87"/>
    <x v="1"/>
    <n v="4"/>
    <x v="0"/>
    <x v="2"/>
    <s v="No"/>
  </r>
  <r>
    <s v="TRX-10506"/>
    <x v="56"/>
    <s v="Drew"/>
    <x v="2"/>
    <x v="4"/>
    <x v="0"/>
    <x v="4"/>
    <x v="0"/>
    <n v="36"/>
    <n v="18"/>
    <n v="22509.07"/>
    <n v="323.45999999999998"/>
    <n v="101.27"/>
    <n v="222.19"/>
    <x v="0"/>
    <n v="5"/>
    <x v="0"/>
    <x v="0"/>
    <s v="Yes"/>
  </r>
  <r>
    <s v="TRX-10507"/>
    <x v="270"/>
    <s v="Taylor"/>
    <x v="8"/>
    <x v="0"/>
    <x v="4"/>
    <x v="2"/>
    <x v="0"/>
    <n v="55"/>
    <n v="71"/>
    <n v="1840.52"/>
    <n v="492.52"/>
    <n v="194.3"/>
    <n v="298.21999999999997"/>
    <x v="0"/>
    <n v="4"/>
    <x v="0"/>
    <x v="1"/>
    <s v="No"/>
  </r>
  <r>
    <s v="TRX-10508"/>
    <x v="271"/>
    <s v="Drew"/>
    <x v="5"/>
    <x v="2"/>
    <x v="3"/>
    <x v="4"/>
    <x v="2"/>
    <n v="40"/>
    <n v="65"/>
    <n v="22738.77"/>
    <n v="428.5"/>
    <n v="55.25"/>
    <n v="373.25"/>
    <x v="0"/>
    <n v="1"/>
    <x v="1"/>
    <x v="0"/>
    <s v="No"/>
  </r>
  <r>
    <s v="TRX-10509"/>
    <x v="43"/>
    <s v="Jordan"/>
    <x v="0"/>
    <x v="2"/>
    <x v="2"/>
    <x v="4"/>
    <x v="0"/>
    <n v="66"/>
    <n v="97"/>
    <n v="15174.02"/>
    <n v="66.180000000000007"/>
    <n v="158.47999999999999"/>
    <n v="-92.299999999999983"/>
    <x v="0"/>
    <n v="1"/>
    <x v="0"/>
    <x v="0"/>
    <s v="No"/>
  </r>
  <r>
    <s v="TRX-10510"/>
    <x v="44"/>
    <s v="Alex"/>
    <x v="10"/>
    <x v="0"/>
    <x v="4"/>
    <x v="3"/>
    <x v="0"/>
    <n v="23"/>
    <n v="1"/>
    <n v="46517.66"/>
    <n v="346.28"/>
    <n v="45.05"/>
    <n v="301.22999999999996"/>
    <x v="1"/>
    <n v="4"/>
    <x v="0"/>
    <x v="2"/>
    <s v="Yes"/>
  </r>
  <r>
    <s v="TRX-10511"/>
    <x v="224"/>
    <s v="Jordan"/>
    <x v="11"/>
    <x v="2"/>
    <x v="2"/>
    <x v="4"/>
    <x v="1"/>
    <n v="21"/>
    <n v="88"/>
    <n v="6668.36"/>
    <n v="179.05"/>
    <n v="204.44"/>
    <n v="-25.389999999999986"/>
    <x v="0"/>
    <n v="1"/>
    <x v="0"/>
    <x v="1"/>
    <s v="No"/>
  </r>
  <r>
    <s v="TRX-10512"/>
    <x v="157"/>
    <s v="Jamie"/>
    <x v="4"/>
    <x v="4"/>
    <x v="3"/>
    <x v="4"/>
    <x v="3"/>
    <n v="73"/>
    <n v="4"/>
    <n v="32797.56"/>
    <n v="301.83"/>
    <n v="50.72"/>
    <n v="251.10999999999999"/>
    <x v="0"/>
    <n v="1"/>
    <x v="1"/>
    <x v="0"/>
    <s v="No"/>
  </r>
  <r>
    <s v="TRX-10513"/>
    <x v="272"/>
    <s v="Sam"/>
    <x v="13"/>
    <x v="4"/>
    <x v="2"/>
    <x v="1"/>
    <x v="1"/>
    <n v="67"/>
    <n v="4"/>
    <n v="3109.63"/>
    <n v="175.71"/>
    <n v="265.12"/>
    <n v="-89.41"/>
    <x v="0"/>
    <n v="2"/>
    <x v="0"/>
    <x v="1"/>
    <s v="No"/>
  </r>
  <r>
    <s v="TRX-10514"/>
    <x v="218"/>
    <s v="Jordan"/>
    <x v="11"/>
    <x v="0"/>
    <x v="0"/>
    <x v="0"/>
    <x v="3"/>
    <n v="21"/>
    <n v="82"/>
    <n v="22585.439999999999"/>
    <n v="206.99"/>
    <n v="112.3"/>
    <n v="94.690000000000012"/>
    <x v="0"/>
    <n v="5"/>
    <x v="0"/>
    <x v="0"/>
    <s v="Yes"/>
  </r>
  <r>
    <s v="TRX-10515"/>
    <x v="273"/>
    <s v="Taylor"/>
    <x v="2"/>
    <x v="3"/>
    <x v="0"/>
    <x v="3"/>
    <x v="2"/>
    <n v="37"/>
    <n v="27"/>
    <n v="27921.98"/>
    <n v="465.43"/>
    <n v="37.19"/>
    <n v="428.24"/>
    <x v="0"/>
    <n v="5"/>
    <x v="0"/>
    <x v="0"/>
    <s v="Yes"/>
  </r>
  <r>
    <s v="TRX-10516"/>
    <x v="1"/>
    <s v="Drew"/>
    <x v="0"/>
    <x v="1"/>
    <x v="2"/>
    <x v="3"/>
    <x v="0"/>
    <n v="22"/>
    <n v="43"/>
    <n v="15248.77"/>
    <n v="142.99"/>
    <n v="44.87"/>
    <n v="98.12"/>
    <x v="0"/>
    <n v="5"/>
    <x v="0"/>
    <x v="0"/>
    <s v="No"/>
  </r>
  <r>
    <s v="TRX-10517"/>
    <x v="274"/>
    <s v="Sam"/>
    <x v="0"/>
    <x v="3"/>
    <x v="4"/>
    <x v="3"/>
    <x v="2"/>
    <n v="49"/>
    <n v="59"/>
    <n v="23026.240000000002"/>
    <n v="443.35"/>
    <n v="98.77"/>
    <n v="344.58000000000004"/>
    <x v="0"/>
    <n v="3"/>
    <x v="1"/>
    <x v="0"/>
    <s v="No"/>
  </r>
  <r>
    <s v="TRX-10518"/>
    <x v="207"/>
    <s v="Drew"/>
    <x v="6"/>
    <x v="2"/>
    <x v="4"/>
    <x v="1"/>
    <x v="3"/>
    <n v="40"/>
    <n v="32"/>
    <n v="8595.91"/>
    <n v="63.71"/>
    <n v="192.32"/>
    <n v="-128.60999999999999"/>
    <x v="0"/>
    <n v="2"/>
    <x v="0"/>
    <x v="1"/>
    <s v="No"/>
  </r>
  <r>
    <s v="TRX-10519"/>
    <x v="159"/>
    <s v="Jordan"/>
    <x v="1"/>
    <x v="1"/>
    <x v="4"/>
    <x v="4"/>
    <x v="1"/>
    <n v="26"/>
    <n v="33"/>
    <n v="15554.13"/>
    <n v="90.89"/>
    <n v="230.9"/>
    <n v="-140.01"/>
    <x v="0"/>
    <n v="5"/>
    <x v="0"/>
    <x v="0"/>
    <s v="No"/>
  </r>
  <r>
    <s v="TRX-10520"/>
    <x v="20"/>
    <s v="Drew"/>
    <x v="1"/>
    <x v="0"/>
    <x v="2"/>
    <x v="0"/>
    <x v="1"/>
    <n v="28"/>
    <n v="28"/>
    <n v="31244.76"/>
    <n v="434.6"/>
    <n v="146.49"/>
    <n v="288.11"/>
    <x v="0"/>
    <n v="5"/>
    <x v="0"/>
    <x v="0"/>
    <s v="No"/>
  </r>
  <r>
    <s v="TRX-10521"/>
    <x v="42"/>
    <s v="Jamie"/>
    <x v="5"/>
    <x v="0"/>
    <x v="4"/>
    <x v="2"/>
    <x v="2"/>
    <n v="49"/>
    <n v="106"/>
    <n v="15439.1"/>
    <n v="333.75"/>
    <n v="67.540000000000006"/>
    <n v="266.20999999999998"/>
    <x v="0"/>
    <n v="2"/>
    <x v="0"/>
    <x v="0"/>
    <s v="No"/>
  </r>
  <r>
    <s v="TRX-10522"/>
    <x v="241"/>
    <s v="Sam"/>
    <x v="6"/>
    <x v="1"/>
    <x v="3"/>
    <x v="4"/>
    <x v="3"/>
    <n v="68"/>
    <n v="105"/>
    <n v="45037.279999999999"/>
    <n v="386.26"/>
    <n v="109.85"/>
    <n v="276.40999999999997"/>
    <x v="1"/>
    <n v="1"/>
    <x v="1"/>
    <x v="2"/>
    <s v="Yes"/>
  </r>
  <r>
    <s v="TRX-10523"/>
    <x v="173"/>
    <s v="Jamie"/>
    <x v="12"/>
    <x v="4"/>
    <x v="0"/>
    <x v="1"/>
    <x v="2"/>
    <n v="71"/>
    <n v="55"/>
    <n v="31606.14"/>
    <n v="144.24"/>
    <n v="149.66999999999999"/>
    <n v="-5.4299999999999784"/>
    <x v="0"/>
    <n v="5"/>
    <x v="0"/>
    <x v="0"/>
    <s v="Yes"/>
  </r>
  <r>
    <s v="TRX-10524"/>
    <x v="275"/>
    <s v="Jordan"/>
    <x v="5"/>
    <x v="1"/>
    <x v="3"/>
    <x v="4"/>
    <x v="2"/>
    <n v="53"/>
    <n v="100"/>
    <n v="22213.13"/>
    <n v="291.69"/>
    <n v="156.79"/>
    <n v="134.9"/>
    <x v="0"/>
    <n v="1"/>
    <x v="1"/>
    <x v="0"/>
    <s v="No"/>
  </r>
  <r>
    <s v="TRX-10525"/>
    <x v="198"/>
    <s v="Jamie"/>
    <x v="12"/>
    <x v="2"/>
    <x v="4"/>
    <x v="4"/>
    <x v="0"/>
    <n v="23"/>
    <n v="60"/>
    <n v="2418.4699999999998"/>
    <n v="381.75"/>
    <n v="64.92"/>
    <n v="316.83"/>
    <x v="0"/>
    <n v="5"/>
    <x v="0"/>
    <x v="1"/>
    <s v="No"/>
  </r>
  <r>
    <s v="TRX-10526"/>
    <x v="276"/>
    <s v="Taylor"/>
    <x v="1"/>
    <x v="4"/>
    <x v="3"/>
    <x v="1"/>
    <x v="2"/>
    <n v="55"/>
    <n v="70"/>
    <n v="25227.64"/>
    <n v="332.29"/>
    <n v="144.22999999999999"/>
    <n v="188.06000000000003"/>
    <x v="0"/>
    <n v="4"/>
    <x v="0"/>
    <x v="0"/>
    <s v="No"/>
  </r>
  <r>
    <s v="TRX-10527"/>
    <x v="73"/>
    <s v="Jordan"/>
    <x v="6"/>
    <x v="0"/>
    <x v="4"/>
    <x v="3"/>
    <x v="0"/>
    <n v="25"/>
    <n v="62"/>
    <n v="38356.42"/>
    <n v="262.26"/>
    <n v="131.56"/>
    <n v="130.69999999999999"/>
    <x v="1"/>
    <n v="3"/>
    <x v="1"/>
    <x v="2"/>
    <s v="No"/>
  </r>
  <r>
    <s v="TRX-10528"/>
    <x v="36"/>
    <s v="Jordan"/>
    <x v="12"/>
    <x v="1"/>
    <x v="2"/>
    <x v="3"/>
    <x v="0"/>
    <n v="47"/>
    <n v="80"/>
    <n v="13645.1"/>
    <n v="481.9"/>
    <n v="191.82"/>
    <n v="290.08"/>
    <x v="0"/>
    <n v="5"/>
    <x v="0"/>
    <x v="1"/>
    <s v="No"/>
  </r>
  <r>
    <s v="TRX-10529"/>
    <x v="149"/>
    <s v="Jordan"/>
    <x v="4"/>
    <x v="3"/>
    <x v="3"/>
    <x v="0"/>
    <x v="1"/>
    <n v="64"/>
    <n v="34"/>
    <n v="40435.29"/>
    <n v="354.27"/>
    <n v="279.33"/>
    <n v="74.94"/>
    <x v="1"/>
    <n v="4"/>
    <x v="0"/>
    <x v="2"/>
    <s v="Yes"/>
  </r>
  <r>
    <s v="TRX-10530"/>
    <x v="42"/>
    <s v="Alex"/>
    <x v="6"/>
    <x v="3"/>
    <x v="2"/>
    <x v="0"/>
    <x v="0"/>
    <n v="32"/>
    <n v="87"/>
    <n v="12964.43"/>
    <n v="458.49"/>
    <n v="157.88"/>
    <n v="300.61"/>
    <x v="0"/>
    <n v="2"/>
    <x v="0"/>
    <x v="1"/>
    <s v="No"/>
  </r>
  <r>
    <s v="TRX-10531"/>
    <x v="9"/>
    <s v="Drew"/>
    <x v="1"/>
    <x v="2"/>
    <x v="2"/>
    <x v="3"/>
    <x v="0"/>
    <n v="40"/>
    <n v="114"/>
    <n v="41275.449999999997"/>
    <n v="378.4"/>
    <n v="144.68"/>
    <n v="233.71999999999997"/>
    <x v="1"/>
    <n v="4"/>
    <x v="0"/>
    <x v="2"/>
    <s v="Yes"/>
  </r>
  <r>
    <s v="TRX-10532"/>
    <x v="45"/>
    <s v="Alex"/>
    <x v="5"/>
    <x v="3"/>
    <x v="1"/>
    <x v="2"/>
    <x v="1"/>
    <n v="65"/>
    <n v="106"/>
    <n v="4720.78"/>
    <n v="380.96"/>
    <n v="82.22"/>
    <n v="298.74"/>
    <x v="0"/>
    <n v="2"/>
    <x v="0"/>
    <x v="1"/>
    <s v="No"/>
  </r>
  <r>
    <s v="TRX-10533"/>
    <x v="277"/>
    <s v="Alex"/>
    <x v="7"/>
    <x v="1"/>
    <x v="4"/>
    <x v="4"/>
    <x v="2"/>
    <n v="40"/>
    <n v="88"/>
    <n v="43376.09"/>
    <n v="86.01"/>
    <n v="169.19"/>
    <n v="-83.179999999999993"/>
    <x v="1"/>
    <n v="5"/>
    <x v="0"/>
    <x v="2"/>
    <s v="Yes"/>
  </r>
  <r>
    <s v="TRX-10534"/>
    <x v="1"/>
    <s v="Taylor"/>
    <x v="6"/>
    <x v="1"/>
    <x v="0"/>
    <x v="2"/>
    <x v="3"/>
    <n v="29"/>
    <n v="56"/>
    <n v="25209.73"/>
    <n v="211.76"/>
    <n v="85.5"/>
    <n v="126.25999999999999"/>
    <x v="0"/>
    <n v="2"/>
    <x v="1"/>
    <x v="0"/>
    <s v="Yes"/>
  </r>
  <r>
    <s v="TRX-10535"/>
    <x v="25"/>
    <s v="Sam"/>
    <x v="10"/>
    <x v="3"/>
    <x v="4"/>
    <x v="4"/>
    <x v="3"/>
    <n v="59"/>
    <n v="113"/>
    <n v="15178.61"/>
    <n v="436.27"/>
    <n v="54.45"/>
    <n v="381.82"/>
    <x v="0"/>
    <n v="4"/>
    <x v="0"/>
    <x v="0"/>
    <s v="No"/>
  </r>
  <r>
    <s v="TRX-10536"/>
    <x v="62"/>
    <s v="Drew"/>
    <x v="13"/>
    <x v="1"/>
    <x v="0"/>
    <x v="3"/>
    <x v="3"/>
    <n v="24"/>
    <n v="13"/>
    <n v="13623.11"/>
    <n v="154.66999999999999"/>
    <n v="76.83"/>
    <n v="77.839999999999989"/>
    <x v="0"/>
    <n v="3"/>
    <x v="0"/>
    <x v="1"/>
    <s v="Yes"/>
  </r>
  <r>
    <s v="TRX-10537"/>
    <x v="175"/>
    <s v="Jamie"/>
    <x v="1"/>
    <x v="2"/>
    <x v="4"/>
    <x v="0"/>
    <x v="2"/>
    <n v="71"/>
    <n v="56"/>
    <n v="21884.52"/>
    <n v="101.98"/>
    <n v="167.19"/>
    <n v="-65.209999999999994"/>
    <x v="0"/>
    <n v="1"/>
    <x v="1"/>
    <x v="0"/>
    <s v="No"/>
  </r>
  <r>
    <s v="TRX-10538"/>
    <x v="67"/>
    <s v="Casey"/>
    <x v="9"/>
    <x v="4"/>
    <x v="2"/>
    <x v="0"/>
    <x v="0"/>
    <n v="74"/>
    <n v="18"/>
    <n v="49952.95"/>
    <n v="196.75"/>
    <n v="29.73"/>
    <n v="167.02"/>
    <x v="1"/>
    <n v="1"/>
    <x v="1"/>
    <x v="2"/>
    <s v="Yes"/>
  </r>
  <r>
    <s v="TRX-10539"/>
    <x v="215"/>
    <s v="Jordan"/>
    <x v="9"/>
    <x v="2"/>
    <x v="3"/>
    <x v="2"/>
    <x v="3"/>
    <n v="39"/>
    <n v="54"/>
    <n v="11406.21"/>
    <n v="149.19999999999999"/>
    <n v="91.23"/>
    <n v="57.969999999999985"/>
    <x v="0"/>
    <n v="3"/>
    <x v="0"/>
    <x v="1"/>
    <s v="No"/>
  </r>
  <r>
    <s v="TRX-10540"/>
    <x v="192"/>
    <s v="Jamie"/>
    <x v="5"/>
    <x v="2"/>
    <x v="3"/>
    <x v="0"/>
    <x v="2"/>
    <n v="58"/>
    <n v="77"/>
    <n v="5609.22"/>
    <n v="466.38"/>
    <n v="98.47"/>
    <n v="367.90999999999997"/>
    <x v="0"/>
    <n v="1"/>
    <x v="0"/>
    <x v="1"/>
    <s v="No"/>
  </r>
  <r>
    <s v="TRX-10541"/>
    <x v="127"/>
    <s v="Jordan"/>
    <x v="5"/>
    <x v="1"/>
    <x v="1"/>
    <x v="3"/>
    <x v="0"/>
    <n v="47"/>
    <n v="113"/>
    <n v="29459.24"/>
    <n v="440.58"/>
    <n v="7.33"/>
    <n v="433.25"/>
    <x v="0"/>
    <n v="5"/>
    <x v="0"/>
    <x v="0"/>
    <s v="No"/>
  </r>
  <r>
    <s v="TRX-10542"/>
    <x v="215"/>
    <s v="Taylor"/>
    <x v="11"/>
    <x v="4"/>
    <x v="0"/>
    <x v="2"/>
    <x v="1"/>
    <n v="65"/>
    <n v="101"/>
    <n v="24682.85"/>
    <n v="274.86"/>
    <n v="58.72"/>
    <n v="216.14000000000001"/>
    <x v="0"/>
    <n v="5"/>
    <x v="0"/>
    <x v="0"/>
    <s v="Yes"/>
  </r>
  <r>
    <s v="TRX-10543"/>
    <x v="278"/>
    <s v="Jordan"/>
    <x v="13"/>
    <x v="1"/>
    <x v="0"/>
    <x v="4"/>
    <x v="3"/>
    <n v="63"/>
    <n v="43"/>
    <n v="26447.72"/>
    <n v="77.599999999999994"/>
    <n v="165.35"/>
    <n v="-87.75"/>
    <x v="0"/>
    <n v="4"/>
    <x v="0"/>
    <x v="0"/>
    <s v="Yes"/>
  </r>
  <r>
    <s v="TRX-10544"/>
    <x v="262"/>
    <s v="Alex"/>
    <x v="13"/>
    <x v="0"/>
    <x v="0"/>
    <x v="0"/>
    <x v="0"/>
    <n v="33"/>
    <n v="39"/>
    <n v="33513.300000000003"/>
    <n v="371.55"/>
    <n v="166.15"/>
    <n v="205.4"/>
    <x v="0"/>
    <n v="4"/>
    <x v="0"/>
    <x v="0"/>
    <s v="Yes"/>
  </r>
  <r>
    <s v="TRX-10545"/>
    <x v="279"/>
    <s v="Drew"/>
    <x v="4"/>
    <x v="1"/>
    <x v="2"/>
    <x v="1"/>
    <x v="3"/>
    <n v="33"/>
    <n v="61"/>
    <n v="13723.63"/>
    <n v="330.54"/>
    <n v="58.48"/>
    <n v="272.06"/>
    <x v="0"/>
    <n v="2"/>
    <x v="0"/>
    <x v="1"/>
    <s v="No"/>
  </r>
  <r>
    <s v="TRX-10546"/>
    <x v="203"/>
    <s v="Casey"/>
    <x v="5"/>
    <x v="1"/>
    <x v="0"/>
    <x v="0"/>
    <x v="3"/>
    <n v="42"/>
    <n v="42"/>
    <n v="45577.919999999998"/>
    <n v="486.75"/>
    <n v="174.98"/>
    <n v="311.77"/>
    <x v="1"/>
    <n v="4"/>
    <x v="0"/>
    <x v="2"/>
    <s v="Yes"/>
  </r>
  <r>
    <s v="TRX-10547"/>
    <x v="280"/>
    <s v="Morgan"/>
    <x v="13"/>
    <x v="1"/>
    <x v="3"/>
    <x v="4"/>
    <x v="3"/>
    <n v="48"/>
    <n v="81"/>
    <n v="22065.77"/>
    <n v="301.52999999999997"/>
    <n v="154.36000000000001"/>
    <n v="147.16999999999996"/>
    <x v="0"/>
    <n v="5"/>
    <x v="0"/>
    <x v="0"/>
    <s v="No"/>
  </r>
  <r>
    <s v="TRX-10548"/>
    <x v="250"/>
    <s v="Jordan"/>
    <x v="8"/>
    <x v="4"/>
    <x v="2"/>
    <x v="2"/>
    <x v="0"/>
    <n v="72"/>
    <n v="79"/>
    <n v="6889.77"/>
    <n v="201.38"/>
    <n v="83.58"/>
    <n v="117.8"/>
    <x v="0"/>
    <n v="4"/>
    <x v="0"/>
    <x v="1"/>
    <s v="No"/>
  </r>
  <r>
    <s v="TRX-10549"/>
    <x v="281"/>
    <s v="Jamie"/>
    <x v="11"/>
    <x v="1"/>
    <x v="4"/>
    <x v="4"/>
    <x v="2"/>
    <n v="67"/>
    <n v="18"/>
    <n v="37243.79"/>
    <n v="283.56"/>
    <n v="149.68"/>
    <n v="133.88"/>
    <x v="1"/>
    <n v="1"/>
    <x v="1"/>
    <x v="2"/>
    <s v="No"/>
  </r>
  <r>
    <s v="TRX-10550"/>
    <x v="269"/>
    <s v="Alex"/>
    <x v="12"/>
    <x v="4"/>
    <x v="0"/>
    <x v="1"/>
    <x v="0"/>
    <n v="73"/>
    <n v="23"/>
    <n v="32333.67"/>
    <n v="490.67"/>
    <n v="192.27"/>
    <n v="298.39999999999998"/>
    <x v="0"/>
    <n v="2"/>
    <x v="1"/>
    <x v="0"/>
    <s v="Yes"/>
  </r>
  <r>
    <s v="TRX-10551"/>
    <x v="258"/>
    <s v="Morgan"/>
    <x v="0"/>
    <x v="3"/>
    <x v="0"/>
    <x v="3"/>
    <x v="3"/>
    <n v="65"/>
    <n v="54"/>
    <n v="16129.3"/>
    <n v="363.36"/>
    <n v="91.79"/>
    <n v="271.57"/>
    <x v="0"/>
    <n v="2"/>
    <x v="0"/>
    <x v="0"/>
    <s v="Yes"/>
  </r>
  <r>
    <s v="TRX-10552"/>
    <x v="282"/>
    <s v="Casey"/>
    <x v="0"/>
    <x v="0"/>
    <x v="4"/>
    <x v="0"/>
    <x v="0"/>
    <n v="42"/>
    <n v="115"/>
    <n v="31265.18"/>
    <n v="352.39"/>
    <n v="47.69"/>
    <n v="304.7"/>
    <x v="0"/>
    <n v="5"/>
    <x v="0"/>
    <x v="0"/>
    <s v="No"/>
  </r>
  <r>
    <s v="TRX-10553"/>
    <x v="70"/>
    <s v="Morgan"/>
    <x v="12"/>
    <x v="4"/>
    <x v="0"/>
    <x v="2"/>
    <x v="1"/>
    <n v="63"/>
    <n v="30"/>
    <n v="11383.17"/>
    <n v="158.31"/>
    <n v="282.54000000000002"/>
    <n v="-124.23000000000002"/>
    <x v="0"/>
    <n v="4"/>
    <x v="0"/>
    <x v="1"/>
    <s v="Yes"/>
  </r>
  <r>
    <s v="TRX-10554"/>
    <x v="32"/>
    <s v="Alex"/>
    <x v="14"/>
    <x v="3"/>
    <x v="4"/>
    <x v="3"/>
    <x v="2"/>
    <n v="39"/>
    <n v="98"/>
    <n v="22519.55"/>
    <n v="384.62"/>
    <n v="120.75"/>
    <n v="263.87"/>
    <x v="0"/>
    <n v="1"/>
    <x v="1"/>
    <x v="0"/>
    <s v="No"/>
  </r>
  <r>
    <s v="TRX-10555"/>
    <x v="109"/>
    <s v="Drew"/>
    <x v="1"/>
    <x v="4"/>
    <x v="2"/>
    <x v="4"/>
    <x v="0"/>
    <n v="28"/>
    <n v="58"/>
    <n v="45020.92"/>
    <n v="387.62"/>
    <n v="21.05"/>
    <n v="366.57"/>
    <x v="1"/>
    <n v="4"/>
    <x v="0"/>
    <x v="2"/>
    <s v="Yes"/>
  </r>
  <r>
    <s v="TRX-10556"/>
    <x v="19"/>
    <s v="Drew"/>
    <x v="11"/>
    <x v="4"/>
    <x v="3"/>
    <x v="2"/>
    <x v="1"/>
    <n v="72"/>
    <n v="68"/>
    <n v="7109.94"/>
    <n v="192.78"/>
    <n v="171.81"/>
    <n v="20.97"/>
    <x v="0"/>
    <n v="3"/>
    <x v="0"/>
    <x v="1"/>
    <s v="No"/>
  </r>
  <r>
    <s v="TRX-10557"/>
    <x v="283"/>
    <s v="Sam"/>
    <x v="8"/>
    <x v="0"/>
    <x v="4"/>
    <x v="3"/>
    <x v="2"/>
    <n v="28"/>
    <n v="67"/>
    <n v="19641.47"/>
    <n v="267.67"/>
    <n v="100.12"/>
    <n v="167.55"/>
    <x v="0"/>
    <n v="4"/>
    <x v="0"/>
    <x v="0"/>
    <s v="No"/>
  </r>
  <r>
    <s v="TRX-10558"/>
    <x v="98"/>
    <s v="Drew"/>
    <x v="13"/>
    <x v="2"/>
    <x v="1"/>
    <x v="2"/>
    <x v="1"/>
    <n v="62"/>
    <n v="71"/>
    <n v="41146.550000000003"/>
    <n v="182.57"/>
    <n v="256.68"/>
    <n v="-74.110000000000014"/>
    <x v="1"/>
    <n v="5"/>
    <x v="0"/>
    <x v="2"/>
    <s v="Yes"/>
  </r>
  <r>
    <s v="TRX-10559"/>
    <x v="109"/>
    <s v="Sam"/>
    <x v="7"/>
    <x v="2"/>
    <x v="4"/>
    <x v="1"/>
    <x v="2"/>
    <n v="46"/>
    <n v="18"/>
    <n v="48489.8"/>
    <n v="166.42"/>
    <n v="106.14"/>
    <n v="60.279999999999987"/>
    <x v="1"/>
    <n v="4"/>
    <x v="0"/>
    <x v="2"/>
    <s v="Yes"/>
  </r>
  <r>
    <s v="TRX-10560"/>
    <x v="284"/>
    <s v="Morgan"/>
    <x v="11"/>
    <x v="4"/>
    <x v="0"/>
    <x v="1"/>
    <x v="0"/>
    <n v="68"/>
    <n v="106"/>
    <n v="22969.34"/>
    <n v="61.65"/>
    <n v="51.05"/>
    <n v="10.600000000000001"/>
    <x v="0"/>
    <n v="2"/>
    <x v="1"/>
    <x v="0"/>
    <s v="Yes"/>
  </r>
  <r>
    <s v="TRX-10561"/>
    <x v="26"/>
    <s v="Taylor"/>
    <x v="6"/>
    <x v="1"/>
    <x v="2"/>
    <x v="0"/>
    <x v="1"/>
    <n v="71"/>
    <n v="7"/>
    <n v="25596.48"/>
    <n v="178.35"/>
    <n v="202.7"/>
    <n v="-24.349999999999994"/>
    <x v="0"/>
    <n v="1"/>
    <x v="1"/>
    <x v="0"/>
    <s v="No"/>
  </r>
  <r>
    <s v="TRX-10562"/>
    <x v="134"/>
    <s v="Jamie"/>
    <x v="12"/>
    <x v="3"/>
    <x v="2"/>
    <x v="0"/>
    <x v="3"/>
    <n v="46"/>
    <n v="40"/>
    <n v="28822.51"/>
    <n v="299.29000000000002"/>
    <n v="108.52"/>
    <n v="190.77000000000004"/>
    <x v="0"/>
    <n v="5"/>
    <x v="0"/>
    <x v="0"/>
    <s v="No"/>
  </r>
  <r>
    <s v="TRX-10563"/>
    <x v="87"/>
    <s v="Jamie"/>
    <x v="8"/>
    <x v="1"/>
    <x v="4"/>
    <x v="1"/>
    <x v="1"/>
    <n v="43"/>
    <n v="70"/>
    <n v="46651.23"/>
    <n v="50.72"/>
    <n v="69.91"/>
    <n v="-19.189999999999998"/>
    <x v="1"/>
    <n v="3"/>
    <x v="1"/>
    <x v="2"/>
    <s v="Yes"/>
  </r>
  <r>
    <s v="TRX-10564"/>
    <x v="7"/>
    <s v="Morgan"/>
    <x v="10"/>
    <x v="1"/>
    <x v="3"/>
    <x v="2"/>
    <x v="2"/>
    <n v="63"/>
    <n v="86"/>
    <n v="42981.24"/>
    <n v="177.45"/>
    <n v="114.73"/>
    <n v="62.719999999999985"/>
    <x v="1"/>
    <n v="1"/>
    <x v="1"/>
    <x v="2"/>
    <s v="Yes"/>
  </r>
  <r>
    <s v="TRX-10565"/>
    <x v="71"/>
    <s v="Jordan"/>
    <x v="3"/>
    <x v="4"/>
    <x v="1"/>
    <x v="1"/>
    <x v="0"/>
    <n v="33"/>
    <n v="65"/>
    <n v="8944.76"/>
    <n v="446.63"/>
    <n v="164.31"/>
    <n v="282.32"/>
    <x v="0"/>
    <n v="1"/>
    <x v="0"/>
    <x v="1"/>
    <s v="No"/>
  </r>
  <r>
    <s v="TRX-10566"/>
    <x v="111"/>
    <s v="Jordan"/>
    <x v="2"/>
    <x v="4"/>
    <x v="2"/>
    <x v="0"/>
    <x v="2"/>
    <n v="48"/>
    <n v="68"/>
    <n v="22119.51"/>
    <n v="317.14"/>
    <n v="5.71"/>
    <n v="311.43"/>
    <x v="0"/>
    <n v="2"/>
    <x v="1"/>
    <x v="0"/>
    <s v="No"/>
  </r>
  <r>
    <s v="TRX-10567"/>
    <x v="55"/>
    <s v="Drew"/>
    <x v="1"/>
    <x v="4"/>
    <x v="0"/>
    <x v="1"/>
    <x v="1"/>
    <n v="29"/>
    <n v="110"/>
    <n v="23468.02"/>
    <n v="323.54000000000002"/>
    <n v="189.26"/>
    <n v="134.28000000000003"/>
    <x v="0"/>
    <n v="2"/>
    <x v="1"/>
    <x v="0"/>
    <s v="Yes"/>
  </r>
  <r>
    <s v="TRX-10568"/>
    <x v="11"/>
    <s v="Jamie"/>
    <x v="12"/>
    <x v="4"/>
    <x v="0"/>
    <x v="1"/>
    <x v="1"/>
    <n v="40"/>
    <n v="49"/>
    <n v="39560.26"/>
    <n v="231.51"/>
    <n v="104.88"/>
    <n v="126.63"/>
    <x v="1"/>
    <n v="2"/>
    <x v="1"/>
    <x v="2"/>
    <s v="Yes"/>
  </r>
  <r>
    <s v="TRX-10569"/>
    <x v="277"/>
    <s v="Jamie"/>
    <x v="7"/>
    <x v="2"/>
    <x v="3"/>
    <x v="2"/>
    <x v="3"/>
    <n v="39"/>
    <n v="52"/>
    <n v="30343.200000000001"/>
    <n v="354.41"/>
    <n v="58.53"/>
    <n v="295.88"/>
    <x v="0"/>
    <n v="5"/>
    <x v="0"/>
    <x v="0"/>
    <s v="No"/>
  </r>
  <r>
    <s v="TRX-10570"/>
    <x v="285"/>
    <s v="Sam"/>
    <x v="13"/>
    <x v="4"/>
    <x v="2"/>
    <x v="3"/>
    <x v="0"/>
    <n v="68"/>
    <n v="114"/>
    <n v="32883.910000000003"/>
    <n v="135.47"/>
    <n v="78.52"/>
    <n v="56.95"/>
    <x v="0"/>
    <n v="4"/>
    <x v="0"/>
    <x v="0"/>
    <s v="No"/>
  </r>
  <r>
    <s v="TRX-10571"/>
    <x v="88"/>
    <s v="Taylor"/>
    <x v="7"/>
    <x v="2"/>
    <x v="4"/>
    <x v="0"/>
    <x v="0"/>
    <n v="59"/>
    <n v="107"/>
    <n v="49910.9"/>
    <n v="418.44"/>
    <n v="68.400000000000006"/>
    <n v="350.03999999999996"/>
    <x v="1"/>
    <n v="1"/>
    <x v="1"/>
    <x v="2"/>
    <s v="Yes"/>
  </r>
  <r>
    <s v="TRX-10572"/>
    <x v="6"/>
    <s v="Alex"/>
    <x v="7"/>
    <x v="2"/>
    <x v="0"/>
    <x v="2"/>
    <x v="1"/>
    <n v="71"/>
    <n v="29"/>
    <n v="4210.5200000000004"/>
    <n v="102.51"/>
    <n v="249.68"/>
    <n v="-147.17000000000002"/>
    <x v="0"/>
    <n v="4"/>
    <x v="0"/>
    <x v="1"/>
    <s v="Yes"/>
  </r>
  <r>
    <s v="TRX-10573"/>
    <x v="286"/>
    <s v="Jordan"/>
    <x v="5"/>
    <x v="4"/>
    <x v="3"/>
    <x v="1"/>
    <x v="0"/>
    <n v="32"/>
    <n v="21"/>
    <n v="11538.99"/>
    <n v="345.2"/>
    <n v="54.96"/>
    <n v="290.24"/>
    <x v="0"/>
    <n v="4"/>
    <x v="0"/>
    <x v="1"/>
    <s v="No"/>
  </r>
  <r>
    <s v="TRX-10574"/>
    <x v="127"/>
    <s v="Jamie"/>
    <x v="5"/>
    <x v="0"/>
    <x v="2"/>
    <x v="1"/>
    <x v="3"/>
    <n v="35"/>
    <n v="90"/>
    <n v="20690.849999999999"/>
    <n v="203.52"/>
    <n v="146.63"/>
    <n v="56.890000000000015"/>
    <x v="0"/>
    <n v="2"/>
    <x v="1"/>
    <x v="0"/>
    <s v="No"/>
  </r>
  <r>
    <s v="TRX-10575"/>
    <x v="62"/>
    <s v="Sam"/>
    <x v="4"/>
    <x v="3"/>
    <x v="2"/>
    <x v="3"/>
    <x v="2"/>
    <n v="51"/>
    <n v="78"/>
    <n v="17715.23"/>
    <n v="386.38"/>
    <n v="18.809999999999999"/>
    <n v="367.57"/>
    <x v="0"/>
    <n v="4"/>
    <x v="0"/>
    <x v="0"/>
    <s v="No"/>
  </r>
  <r>
    <s v="TRX-10576"/>
    <x v="257"/>
    <s v="Casey"/>
    <x v="12"/>
    <x v="1"/>
    <x v="2"/>
    <x v="0"/>
    <x v="0"/>
    <n v="34"/>
    <n v="9"/>
    <n v="1571.46"/>
    <n v="297.39"/>
    <n v="190.28"/>
    <n v="107.10999999999999"/>
    <x v="0"/>
    <n v="1"/>
    <x v="0"/>
    <x v="1"/>
    <s v="No"/>
  </r>
  <r>
    <s v="TRX-10577"/>
    <x v="264"/>
    <s v="Sam"/>
    <x v="4"/>
    <x v="2"/>
    <x v="2"/>
    <x v="0"/>
    <x v="1"/>
    <n v="31"/>
    <n v="47"/>
    <n v="5042.99"/>
    <n v="253.56"/>
    <n v="186.69"/>
    <n v="66.87"/>
    <x v="0"/>
    <n v="1"/>
    <x v="0"/>
    <x v="1"/>
    <s v="No"/>
  </r>
  <r>
    <s v="TRX-10578"/>
    <x v="217"/>
    <s v="Jordan"/>
    <x v="12"/>
    <x v="3"/>
    <x v="2"/>
    <x v="4"/>
    <x v="2"/>
    <n v="46"/>
    <n v="76"/>
    <n v="34207.19"/>
    <n v="126.24"/>
    <n v="141.34"/>
    <n v="-15.100000000000009"/>
    <x v="0"/>
    <n v="3"/>
    <x v="1"/>
    <x v="0"/>
    <s v="No"/>
  </r>
  <r>
    <s v="TRX-10579"/>
    <x v="159"/>
    <s v="Jordan"/>
    <x v="1"/>
    <x v="0"/>
    <x v="0"/>
    <x v="0"/>
    <x v="2"/>
    <n v="62"/>
    <n v="42"/>
    <n v="44026.559999999998"/>
    <n v="336.57"/>
    <n v="59.61"/>
    <n v="276.95999999999998"/>
    <x v="1"/>
    <n v="5"/>
    <x v="0"/>
    <x v="2"/>
    <s v="Yes"/>
  </r>
  <r>
    <s v="TRX-10580"/>
    <x v="89"/>
    <s v="Sam"/>
    <x v="11"/>
    <x v="1"/>
    <x v="3"/>
    <x v="3"/>
    <x v="3"/>
    <n v="47"/>
    <n v="51"/>
    <n v="25954.240000000002"/>
    <n v="488.65"/>
    <n v="82.42"/>
    <n v="406.22999999999996"/>
    <x v="0"/>
    <n v="4"/>
    <x v="0"/>
    <x v="0"/>
    <s v="No"/>
  </r>
  <r>
    <s v="TRX-10581"/>
    <x v="179"/>
    <s v="Alex"/>
    <x v="2"/>
    <x v="1"/>
    <x v="2"/>
    <x v="4"/>
    <x v="1"/>
    <n v="31"/>
    <n v="56"/>
    <n v="27189.96"/>
    <n v="421.52"/>
    <n v="67.14"/>
    <n v="354.38"/>
    <x v="0"/>
    <n v="5"/>
    <x v="0"/>
    <x v="0"/>
    <s v="No"/>
  </r>
  <r>
    <s v="TRX-10582"/>
    <x v="287"/>
    <s v="Morgan"/>
    <x v="7"/>
    <x v="2"/>
    <x v="1"/>
    <x v="4"/>
    <x v="0"/>
    <n v="58"/>
    <n v="51"/>
    <n v="13127.12"/>
    <n v="77"/>
    <n v="186.51"/>
    <n v="-109.50999999999999"/>
    <x v="0"/>
    <n v="5"/>
    <x v="0"/>
    <x v="1"/>
    <s v="No"/>
  </r>
  <r>
    <s v="TRX-10583"/>
    <x v="61"/>
    <s v="Jordan"/>
    <x v="1"/>
    <x v="4"/>
    <x v="1"/>
    <x v="1"/>
    <x v="1"/>
    <n v="54"/>
    <n v="70"/>
    <n v="38509.879999999997"/>
    <n v="219.3"/>
    <n v="146.43"/>
    <n v="72.87"/>
    <x v="1"/>
    <n v="5"/>
    <x v="0"/>
    <x v="2"/>
    <s v="No"/>
  </r>
  <r>
    <s v="TRX-10584"/>
    <x v="200"/>
    <s v="Sam"/>
    <x v="11"/>
    <x v="0"/>
    <x v="3"/>
    <x v="1"/>
    <x v="2"/>
    <n v="63"/>
    <n v="20"/>
    <n v="37713.83"/>
    <n v="466.51"/>
    <n v="126.09"/>
    <n v="340.41999999999996"/>
    <x v="1"/>
    <n v="5"/>
    <x v="0"/>
    <x v="2"/>
    <s v="No"/>
  </r>
  <r>
    <s v="TRX-10585"/>
    <x v="112"/>
    <s v="Jamie"/>
    <x v="3"/>
    <x v="2"/>
    <x v="4"/>
    <x v="0"/>
    <x v="1"/>
    <n v="39"/>
    <n v="88"/>
    <n v="29624.1"/>
    <n v="276.37"/>
    <n v="220.27"/>
    <n v="56.099999999999994"/>
    <x v="0"/>
    <n v="1"/>
    <x v="1"/>
    <x v="0"/>
    <s v="No"/>
  </r>
  <r>
    <s v="TRX-10586"/>
    <x v="232"/>
    <s v="Sam"/>
    <x v="0"/>
    <x v="0"/>
    <x v="4"/>
    <x v="4"/>
    <x v="0"/>
    <n v="26"/>
    <n v="27"/>
    <n v="11026.88"/>
    <n v="347.95"/>
    <n v="74.22"/>
    <n v="273.73"/>
    <x v="0"/>
    <n v="4"/>
    <x v="0"/>
    <x v="1"/>
    <s v="No"/>
  </r>
  <r>
    <s v="TRX-10587"/>
    <x v="78"/>
    <s v="Taylor"/>
    <x v="9"/>
    <x v="4"/>
    <x v="4"/>
    <x v="1"/>
    <x v="0"/>
    <n v="66"/>
    <n v="38"/>
    <n v="5302.4"/>
    <n v="460.67"/>
    <n v="144.02000000000001"/>
    <n v="316.64999999999998"/>
    <x v="0"/>
    <n v="3"/>
    <x v="0"/>
    <x v="1"/>
    <s v="No"/>
  </r>
  <r>
    <s v="TRX-10588"/>
    <x v="53"/>
    <s v="Morgan"/>
    <x v="6"/>
    <x v="4"/>
    <x v="1"/>
    <x v="3"/>
    <x v="3"/>
    <n v="72"/>
    <n v="72"/>
    <n v="3679.81"/>
    <n v="443.21"/>
    <n v="135.19999999999999"/>
    <n v="308.01"/>
    <x v="0"/>
    <n v="5"/>
    <x v="0"/>
    <x v="1"/>
    <s v="No"/>
  </r>
  <r>
    <s v="TRX-10589"/>
    <x v="195"/>
    <s v="Casey"/>
    <x v="8"/>
    <x v="2"/>
    <x v="4"/>
    <x v="1"/>
    <x v="0"/>
    <n v="58"/>
    <n v="65"/>
    <n v="29838.46"/>
    <n v="275.82"/>
    <n v="141.13"/>
    <n v="134.69"/>
    <x v="0"/>
    <n v="3"/>
    <x v="1"/>
    <x v="0"/>
    <s v="No"/>
  </r>
  <r>
    <s v="TRX-10590"/>
    <x v="30"/>
    <s v="Alex"/>
    <x v="12"/>
    <x v="4"/>
    <x v="0"/>
    <x v="1"/>
    <x v="0"/>
    <n v="69"/>
    <n v="54"/>
    <n v="41339.25"/>
    <n v="246.94"/>
    <n v="97.85"/>
    <n v="149.09"/>
    <x v="1"/>
    <n v="1"/>
    <x v="1"/>
    <x v="2"/>
    <s v="Yes"/>
  </r>
  <r>
    <s v="TRX-10591"/>
    <x v="78"/>
    <s v="Drew"/>
    <x v="3"/>
    <x v="3"/>
    <x v="2"/>
    <x v="4"/>
    <x v="1"/>
    <n v="62"/>
    <n v="113"/>
    <n v="42987.360000000001"/>
    <n v="202.86"/>
    <n v="114.88"/>
    <n v="87.980000000000018"/>
    <x v="1"/>
    <n v="1"/>
    <x v="1"/>
    <x v="2"/>
    <s v="Yes"/>
  </r>
  <r>
    <s v="TRX-10592"/>
    <x v="146"/>
    <s v="Casey"/>
    <x v="0"/>
    <x v="1"/>
    <x v="1"/>
    <x v="4"/>
    <x v="1"/>
    <n v="48"/>
    <n v="113"/>
    <n v="23449.29"/>
    <n v="373.56"/>
    <n v="66.63"/>
    <n v="306.93"/>
    <x v="0"/>
    <n v="2"/>
    <x v="1"/>
    <x v="0"/>
    <s v="No"/>
  </r>
  <r>
    <s v="TRX-10593"/>
    <x v="288"/>
    <s v="Morgan"/>
    <x v="13"/>
    <x v="2"/>
    <x v="3"/>
    <x v="2"/>
    <x v="2"/>
    <n v="21"/>
    <n v="24"/>
    <n v="39321.43"/>
    <n v="179.14"/>
    <n v="164.93"/>
    <n v="14.20999999999998"/>
    <x v="1"/>
    <n v="5"/>
    <x v="0"/>
    <x v="2"/>
    <s v="No"/>
  </r>
  <r>
    <s v="TRX-10594"/>
    <x v="285"/>
    <s v="Morgan"/>
    <x v="14"/>
    <x v="0"/>
    <x v="3"/>
    <x v="3"/>
    <x v="3"/>
    <n v="55"/>
    <n v="47"/>
    <n v="47370.57"/>
    <n v="162.44999999999999"/>
    <n v="121.67"/>
    <n v="40.779999999999987"/>
    <x v="1"/>
    <n v="2"/>
    <x v="1"/>
    <x v="2"/>
    <s v="Yes"/>
  </r>
  <r>
    <s v="TRX-10595"/>
    <x v="243"/>
    <s v="Morgan"/>
    <x v="2"/>
    <x v="3"/>
    <x v="2"/>
    <x v="4"/>
    <x v="1"/>
    <n v="60"/>
    <n v="71"/>
    <n v="14120.92"/>
    <n v="210.31"/>
    <n v="133.30000000000001"/>
    <n v="77.009999999999991"/>
    <x v="0"/>
    <n v="3"/>
    <x v="0"/>
    <x v="1"/>
    <s v="No"/>
  </r>
  <r>
    <s v="TRX-10596"/>
    <x v="289"/>
    <s v="Casey"/>
    <x v="8"/>
    <x v="2"/>
    <x v="1"/>
    <x v="0"/>
    <x v="0"/>
    <n v="28"/>
    <n v="83"/>
    <n v="20199.04"/>
    <n v="129.75"/>
    <n v="188.8"/>
    <n v="-59.050000000000011"/>
    <x v="0"/>
    <n v="4"/>
    <x v="0"/>
    <x v="0"/>
    <s v="No"/>
  </r>
  <r>
    <s v="TRX-10597"/>
    <x v="53"/>
    <s v="Jamie"/>
    <x v="4"/>
    <x v="4"/>
    <x v="4"/>
    <x v="3"/>
    <x v="2"/>
    <n v="72"/>
    <n v="86"/>
    <n v="46608.21"/>
    <n v="362.8"/>
    <n v="9.57"/>
    <n v="353.23"/>
    <x v="1"/>
    <n v="2"/>
    <x v="1"/>
    <x v="2"/>
    <s v="Yes"/>
  </r>
  <r>
    <s v="TRX-10598"/>
    <x v="167"/>
    <s v="Morgan"/>
    <x v="4"/>
    <x v="4"/>
    <x v="4"/>
    <x v="3"/>
    <x v="1"/>
    <n v="74"/>
    <n v="63"/>
    <n v="17242.43"/>
    <n v="327.31"/>
    <n v="255.04"/>
    <n v="72.27000000000001"/>
    <x v="0"/>
    <n v="1"/>
    <x v="0"/>
    <x v="0"/>
    <s v="No"/>
  </r>
  <r>
    <s v="TRX-10599"/>
    <x v="276"/>
    <s v="Sam"/>
    <x v="11"/>
    <x v="4"/>
    <x v="0"/>
    <x v="4"/>
    <x v="3"/>
    <n v="67"/>
    <n v="57"/>
    <n v="45736.88"/>
    <n v="267.3"/>
    <n v="199.52"/>
    <n v="67.78"/>
    <x v="1"/>
    <n v="5"/>
    <x v="0"/>
    <x v="2"/>
    <s v="Yes"/>
  </r>
  <r>
    <s v="TRX-10600"/>
    <x v="185"/>
    <s v="Casey"/>
    <x v="8"/>
    <x v="4"/>
    <x v="0"/>
    <x v="3"/>
    <x v="3"/>
    <n v="27"/>
    <n v="55"/>
    <n v="49061.72"/>
    <n v="225.65"/>
    <n v="177.39"/>
    <n v="48.260000000000019"/>
    <x v="1"/>
    <n v="3"/>
    <x v="1"/>
    <x v="2"/>
    <s v="Yes"/>
  </r>
  <r>
    <s v="TRX-10601"/>
    <x v="290"/>
    <s v="Drew"/>
    <x v="5"/>
    <x v="0"/>
    <x v="4"/>
    <x v="4"/>
    <x v="2"/>
    <n v="31"/>
    <n v="60"/>
    <n v="33259.629999999997"/>
    <n v="459.08"/>
    <n v="162.09"/>
    <n v="296.99"/>
    <x v="0"/>
    <n v="1"/>
    <x v="1"/>
    <x v="0"/>
    <s v="No"/>
  </r>
  <r>
    <s v="TRX-10602"/>
    <x v="199"/>
    <s v="Morgan"/>
    <x v="0"/>
    <x v="3"/>
    <x v="3"/>
    <x v="1"/>
    <x v="2"/>
    <n v="59"/>
    <n v="99"/>
    <n v="40936.07"/>
    <n v="63.11"/>
    <n v="74.86"/>
    <n v="-11.75"/>
    <x v="1"/>
    <n v="4"/>
    <x v="0"/>
    <x v="2"/>
    <s v="Yes"/>
  </r>
  <r>
    <s v="TRX-10603"/>
    <x v="70"/>
    <s v="Sam"/>
    <x v="14"/>
    <x v="1"/>
    <x v="3"/>
    <x v="2"/>
    <x v="2"/>
    <n v="24"/>
    <n v="62"/>
    <n v="37602.51"/>
    <n v="396.1"/>
    <n v="46.26"/>
    <n v="349.84000000000003"/>
    <x v="1"/>
    <n v="5"/>
    <x v="0"/>
    <x v="2"/>
    <s v="No"/>
  </r>
  <r>
    <s v="TRX-10604"/>
    <x v="291"/>
    <s v="Jamie"/>
    <x v="3"/>
    <x v="0"/>
    <x v="0"/>
    <x v="1"/>
    <x v="2"/>
    <n v="45"/>
    <n v="30"/>
    <n v="35126.949999999997"/>
    <n v="455.86"/>
    <n v="146.97"/>
    <n v="308.89"/>
    <x v="1"/>
    <n v="4"/>
    <x v="0"/>
    <x v="2"/>
    <s v="Yes"/>
  </r>
  <r>
    <s v="TRX-10605"/>
    <x v="220"/>
    <s v="Taylor"/>
    <x v="2"/>
    <x v="0"/>
    <x v="2"/>
    <x v="4"/>
    <x v="2"/>
    <n v="32"/>
    <n v="93"/>
    <n v="15693.09"/>
    <n v="250.86"/>
    <n v="60.92"/>
    <n v="189.94"/>
    <x v="0"/>
    <n v="4"/>
    <x v="0"/>
    <x v="0"/>
    <s v="No"/>
  </r>
  <r>
    <s v="TRX-10606"/>
    <x v="292"/>
    <s v="Jamie"/>
    <x v="1"/>
    <x v="1"/>
    <x v="4"/>
    <x v="4"/>
    <x v="0"/>
    <n v="46"/>
    <n v="22"/>
    <n v="3326.17"/>
    <n v="297.81"/>
    <n v="35.21"/>
    <n v="262.60000000000002"/>
    <x v="0"/>
    <n v="5"/>
    <x v="0"/>
    <x v="1"/>
    <s v="No"/>
  </r>
  <r>
    <s v="TRX-10607"/>
    <x v="240"/>
    <s v="Drew"/>
    <x v="0"/>
    <x v="1"/>
    <x v="0"/>
    <x v="1"/>
    <x v="0"/>
    <n v="58"/>
    <n v="75"/>
    <n v="17481.060000000001"/>
    <n v="475.01"/>
    <n v="157.31"/>
    <n v="317.7"/>
    <x v="0"/>
    <n v="5"/>
    <x v="0"/>
    <x v="0"/>
    <s v="Yes"/>
  </r>
  <r>
    <s v="TRX-10608"/>
    <x v="293"/>
    <s v="Morgan"/>
    <x v="14"/>
    <x v="4"/>
    <x v="0"/>
    <x v="0"/>
    <x v="1"/>
    <n v="66"/>
    <n v="84"/>
    <n v="33513.33"/>
    <n v="145.52000000000001"/>
    <n v="93.76"/>
    <n v="51.760000000000005"/>
    <x v="0"/>
    <n v="4"/>
    <x v="0"/>
    <x v="0"/>
    <s v="Yes"/>
  </r>
  <r>
    <s v="TRX-10609"/>
    <x v="245"/>
    <s v="Drew"/>
    <x v="9"/>
    <x v="0"/>
    <x v="4"/>
    <x v="0"/>
    <x v="3"/>
    <n v="32"/>
    <n v="29"/>
    <n v="5575.2"/>
    <n v="284.06"/>
    <n v="182.89"/>
    <n v="101.17000000000002"/>
    <x v="0"/>
    <n v="3"/>
    <x v="0"/>
    <x v="1"/>
    <s v="No"/>
  </r>
  <r>
    <s v="TRX-10610"/>
    <x v="144"/>
    <s v="Casey"/>
    <x v="12"/>
    <x v="2"/>
    <x v="4"/>
    <x v="0"/>
    <x v="0"/>
    <n v="63"/>
    <n v="115"/>
    <n v="1089.94"/>
    <n v="263.62"/>
    <n v="168.13"/>
    <n v="95.490000000000009"/>
    <x v="0"/>
    <n v="5"/>
    <x v="0"/>
    <x v="1"/>
    <s v="No"/>
  </r>
  <r>
    <s v="TRX-10611"/>
    <x v="243"/>
    <s v="Jordan"/>
    <x v="1"/>
    <x v="1"/>
    <x v="3"/>
    <x v="4"/>
    <x v="0"/>
    <n v="71"/>
    <n v="41"/>
    <n v="7414.77"/>
    <n v="166.28"/>
    <n v="169.53"/>
    <n v="-3.25"/>
    <x v="0"/>
    <n v="1"/>
    <x v="0"/>
    <x v="1"/>
    <s v="No"/>
  </r>
  <r>
    <s v="TRX-10612"/>
    <x v="294"/>
    <s v="Morgan"/>
    <x v="4"/>
    <x v="1"/>
    <x v="2"/>
    <x v="3"/>
    <x v="0"/>
    <n v="73"/>
    <n v="42"/>
    <n v="35928.93"/>
    <n v="418.37"/>
    <n v="154.31"/>
    <n v="264.06"/>
    <x v="1"/>
    <n v="2"/>
    <x v="1"/>
    <x v="2"/>
    <s v="No"/>
  </r>
  <r>
    <s v="TRX-10613"/>
    <x v="35"/>
    <s v="Jordan"/>
    <x v="1"/>
    <x v="3"/>
    <x v="2"/>
    <x v="4"/>
    <x v="1"/>
    <n v="57"/>
    <n v="98"/>
    <n v="48653.29"/>
    <n v="454.82"/>
    <n v="264.27"/>
    <n v="190.55"/>
    <x v="1"/>
    <n v="3"/>
    <x v="1"/>
    <x v="2"/>
    <s v="Yes"/>
  </r>
  <r>
    <s v="TRX-10614"/>
    <x v="180"/>
    <s v="Sam"/>
    <x v="3"/>
    <x v="2"/>
    <x v="4"/>
    <x v="3"/>
    <x v="2"/>
    <n v="66"/>
    <n v="65"/>
    <n v="49161.7"/>
    <n v="401.87"/>
    <n v="161.15"/>
    <n v="240.72"/>
    <x v="1"/>
    <n v="5"/>
    <x v="0"/>
    <x v="2"/>
    <s v="Yes"/>
  </r>
  <r>
    <s v="TRX-10615"/>
    <x v="295"/>
    <s v="Taylor"/>
    <x v="4"/>
    <x v="2"/>
    <x v="1"/>
    <x v="1"/>
    <x v="1"/>
    <n v="73"/>
    <n v="31"/>
    <n v="24951.97"/>
    <n v="137.91"/>
    <n v="180.75"/>
    <n v="-42.84"/>
    <x v="0"/>
    <n v="5"/>
    <x v="0"/>
    <x v="0"/>
    <s v="No"/>
  </r>
  <r>
    <s v="TRX-10616"/>
    <x v="296"/>
    <s v="Alex"/>
    <x v="3"/>
    <x v="1"/>
    <x v="0"/>
    <x v="2"/>
    <x v="3"/>
    <n v="44"/>
    <n v="30"/>
    <n v="43532.94"/>
    <n v="89.04"/>
    <n v="59.16"/>
    <n v="29.88000000000001"/>
    <x v="1"/>
    <n v="3"/>
    <x v="1"/>
    <x v="2"/>
    <s v="Yes"/>
  </r>
  <r>
    <s v="TRX-10617"/>
    <x v="161"/>
    <s v="Drew"/>
    <x v="11"/>
    <x v="4"/>
    <x v="0"/>
    <x v="3"/>
    <x v="3"/>
    <n v="36"/>
    <n v="112"/>
    <n v="36972.910000000003"/>
    <n v="322.45"/>
    <n v="177.64"/>
    <n v="144.81"/>
    <x v="1"/>
    <n v="2"/>
    <x v="1"/>
    <x v="2"/>
    <s v="Yes"/>
  </r>
  <r>
    <s v="TRX-10618"/>
    <x v="207"/>
    <s v="Jamie"/>
    <x v="5"/>
    <x v="3"/>
    <x v="4"/>
    <x v="0"/>
    <x v="3"/>
    <n v="33"/>
    <n v="18"/>
    <n v="25301.49"/>
    <n v="75.69"/>
    <n v="168.12"/>
    <n v="-92.43"/>
    <x v="0"/>
    <n v="4"/>
    <x v="0"/>
    <x v="0"/>
    <s v="No"/>
  </r>
  <r>
    <s v="TRX-10619"/>
    <x v="57"/>
    <s v="Taylor"/>
    <x v="3"/>
    <x v="2"/>
    <x v="1"/>
    <x v="4"/>
    <x v="3"/>
    <n v="45"/>
    <n v="119"/>
    <n v="28851.65"/>
    <n v="352.77"/>
    <n v="94.58"/>
    <n v="258.19"/>
    <x v="0"/>
    <n v="1"/>
    <x v="1"/>
    <x v="0"/>
    <s v="No"/>
  </r>
  <r>
    <s v="TRX-10620"/>
    <x v="209"/>
    <s v="Morgan"/>
    <x v="4"/>
    <x v="1"/>
    <x v="3"/>
    <x v="1"/>
    <x v="0"/>
    <n v="74"/>
    <n v="17"/>
    <n v="7292.74"/>
    <n v="288.69"/>
    <n v="7.82"/>
    <n v="280.87"/>
    <x v="0"/>
    <n v="5"/>
    <x v="0"/>
    <x v="1"/>
    <s v="No"/>
  </r>
  <r>
    <s v="TRX-10621"/>
    <x v="245"/>
    <s v="Jordan"/>
    <x v="11"/>
    <x v="2"/>
    <x v="4"/>
    <x v="0"/>
    <x v="0"/>
    <n v="74"/>
    <n v="38"/>
    <n v="46914.239999999998"/>
    <n v="348.25"/>
    <n v="127.71"/>
    <n v="220.54000000000002"/>
    <x v="1"/>
    <n v="2"/>
    <x v="1"/>
    <x v="2"/>
    <s v="Yes"/>
  </r>
  <r>
    <s v="TRX-10622"/>
    <x v="166"/>
    <s v="Jamie"/>
    <x v="3"/>
    <x v="3"/>
    <x v="4"/>
    <x v="1"/>
    <x v="1"/>
    <n v="72"/>
    <n v="14"/>
    <n v="17920.52"/>
    <n v="315.58"/>
    <n v="15.18"/>
    <n v="300.39999999999998"/>
    <x v="0"/>
    <n v="1"/>
    <x v="0"/>
    <x v="0"/>
    <s v="No"/>
  </r>
  <r>
    <s v="TRX-10623"/>
    <x v="292"/>
    <s v="Jordan"/>
    <x v="9"/>
    <x v="3"/>
    <x v="0"/>
    <x v="2"/>
    <x v="2"/>
    <n v="74"/>
    <n v="87"/>
    <n v="22584.39"/>
    <n v="240.22"/>
    <n v="185.26"/>
    <n v="54.960000000000008"/>
    <x v="0"/>
    <n v="3"/>
    <x v="1"/>
    <x v="0"/>
    <s v="Yes"/>
  </r>
  <r>
    <s v="TRX-10624"/>
    <x v="50"/>
    <s v="Casey"/>
    <x v="1"/>
    <x v="0"/>
    <x v="4"/>
    <x v="4"/>
    <x v="3"/>
    <n v="24"/>
    <n v="89"/>
    <n v="33747.18"/>
    <n v="140.38999999999999"/>
    <n v="192.33"/>
    <n v="-51.940000000000026"/>
    <x v="0"/>
    <n v="5"/>
    <x v="0"/>
    <x v="0"/>
    <s v="No"/>
  </r>
  <r>
    <s v="TRX-10625"/>
    <x v="16"/>
    <s v="Jordan"/>
    <x v="5"/>
    <x v="1"/>
    <x v="4"/>
    <x v="4"/>
    <x v="1"/>
    <n v="31"/>
    <n v="79"/>
    <n v="17028.169999999998"/>
    <n v="187.57"/>
    <n v="56.85"/>
    <n v="130.72"/>
    <x v="0"/>
    <n v="4"/>
    <x v="0"/>
    <x v="0"/>
    <s v="No"/>
  </r>
  <r>
    <s v="TRX-10626"/>
    <x v="132"/>
    <s v="Casey"/>
    <x v="3"/>
    <x v="3"/>
    <x v="4"/>
    <x v="2"/>
    <x v="0"/>
    <n v="52"/>
    <n v="110"/>
    <n v="13085.83"/>
    <n v="286.02999999999997"/>
    <n v="135.28"/>
    <n v="150.74999999999997"/>
    <x v="0"/>
    <n v="3"/>
    <x v="0"/>
    <x v="1"/>
    <s v="No"/>
  </r>
  <r>
    <s v="TRX-10627"/>
    <x v="64"/>
    <s v="Sam"/>
    <x v="11"/>
    <x v="0"/>
    <x v="0"/>
    <x v="4"/>
    <x v="0"/>
    <n v="69"/>
    <n v="56"/>
    <n v="31736.94"/>
    <n v="343.34"/>
    <n v="18.45"/>
    <n v="324.89"/>
    <x v="0"/>
    <n v="5"/>
    <x v="0"/>
    <x v="0"/>
    <s v="Yes"/>
  </r>
  <r>
    <s v="TRX-10628"/>
    <x v="91"/>
    <s v="Jamie"/>
    <x v="13"/>
    <x v="0"/>
    <x v="3"/>
    <x v="3"/>
    <x v="2"/>
    <n v="27"/>
    <n v="22"/>
    <n v="1736.71"/>
    <n v="400.77"/>
    <n v="145.9"/>
    <n v="254.86999999999998"/>
    <x v="0"/>
    <n v="2"/>
    <x v="0"/>
    <x v="1"/>
    <s v="No"/>
  </r>
  <r>
    <s v="TRX-10629"/>
    <x v="107"/>
    <s v="Jamie"/>
    <x v="0"/>
    <x v="2"/>
    <x v="3"/>
    <x v="1"/>
    <x v="2"/>
    <n v="66"/>
    <n v="67"/>
    <n v="36175.89"/>
    <n v="395.23"/>
    <n v="69.459999999999994"/>
    <n v="325.77000000000004"/>
    <x v="1"/>
    <n v="1"/>
    <x v="1"/>
    <x v="2"/>
    <s v="No"/>
  </r>
  <r>
    <s v="TRX-10630"/>
    <x v="235"/>
    <s v="Alex"/>
    <x v="10"/>
    <x v="2"/>
    <x v="4"/>
    <x v="0"/>
    <x v="2"/>
    <n v="31"/>
    <n v="56"/>
    <n v="25944.16"/>
    <n v="487.71"/>
    <n v="136.21"/>
    <n v="351.5"/>
    <x v="0"/>
    <n v="1"/>
    <x v="1"/>
    <x v="0"/>
    <s v="No"/>
  </r>
  <r>
    <s v="TRX-10631"/>
    <x v="87"/>
    <s v="Morgan"/>
    <x v="14"/>
    <x v="0"/>
    <x v="0"/>
    <x v="2"/>
    <x v="1"/>
    <n v="48"/>
    <n v="119"/>
    <n v="30484.81"/>
    <n v="178.63"/>
    <n v="111.87"/>
    <n v="66.759999999999991"/>
    <x v="0"/>
    <n v="5"/>
    <x v="0"/>
    <x v="0"/>
    <s v="Yes"/>
  </r>
  <r>
    <s v="TRX-10632"/>
    <x v="171"/>
    <s v="Casey"/>
    <x v="10"/>
    <x v="2"/>
    <x v="3"/>
    <x v="3"/>
    <x v="0"/>
    <n v="74"/>
    <n v="19"/>
    <n v="31778.07"/>
    <n v="82"/>
    <n v="29.11"/>
    <n v="52.89"/>
    <x v="0"/>
    <n v="3"/>
    <x v="1"/>
    <x v="0"/>
    <s v="No"/>
  </r>
  <r>
    <s v="TRX-10633"/>
    <x v="186"/>
    <s v="Alex"/>
    <x v="13"/>
    <x v="3"/>
    <x v="3"/>
    <x v="0"/>
    <x v="0"/>
    <n v="61"/>
    <n v="57"/>
    <n v="26588.98"/>
    <n v="205.55"/>
    <n v="81.22"/>
    <n v="124.33000000000001"/>
    <x v="0"/>
    <n v="4"/>
    <x v="0"/>
    <x v="0"/>
    <s v="No"/>
  </r>
  <r>
    <s v="TRX-10634"/>
    <x v="160"/>
    <s v="Jordan"/>
    <x v="10"/>
    <x v="4"/>
    <x v="3"/>
    <x v="0"/>
    <x v="2"/>
    <n v="43"/>
    <n v="44"/>
    <n v="29335.42"/>
    <n v="384.48"/>
    <n v="22.53"/>
    <n v="361.95000000000005"/>
    <x v="0"/>
    <n v="2"/>
    <x v="1"/>
    <x v="0"/>
    <s v="No"/>
  </r>
  <r>
    <s v="TRX-10635"/>
    <x v="179"/>
    <s v="Jordan"/>
    <x v="13"/>
    <x v="3"/>
    <x v="0"/>
    <x v="2"/>
    <x v="3"/>
    <n v="65"/>
    <n v="98"/>
    <n v="34347.519999999997"/>
    <n v="247.15"/>
    <n v="115.38"/>
    <n v="131.77000000000001"/>
    <x v="0"/>
    <n v="5"/>
    <x v="0"/>
    <x v="0"/>
    <s v="Yes"/>
  </r>
  <r>
    <s v="TRX-10636"/>
    <x v="92"/>
    <s v="Alex"/>
    <x v="2"/>
    <x v="0"/>
    <x v="0"/>
    <x v="3"/>
    <x v="2"/>
    <n v="43"/>
    <n v="35"/>
    <n v="37779.379999999997"/>
    <n v="418"/>
    <n v="8.19"/>
    <n v="409.81"/>
    <x v="1"/>
    <n v="2"/>
    <x v="1"/>
    <x v="2"/>
    <s v="Yes"/>
  </r>
  <r>
    <s v="TRX-10637"/>
    <x v="183"/>
    <s v="Jamie"/>
    <x v="13"/>
    <x v="0"/>
    <x v="4"/>
    <x v="0"/>
    <x v="1"/>
    <n v="70"/>
    <n v="114"/>
    <n v="36508.89"/>
    <n v="297.2"/>
    <n v="158.19"/>
    <n v="139.01"/>
    <x v="1"/>
    <n v="1"/>
    <x v="1"/>
    <x v="2"/>
    <s v="No"/>
  </r>
  <r>
    <s v="TRX-10638"/>
    <x v="80"/>
    <s v="Jordan"/>
    <x v="13"/>
    <x v="3"/>
    <x v="2"/>
    <x v="0"/>
    <x v="2"/>
    <n v="48"/>
    <n v="1"/>
    <n v="43546.01"/>
    <n v="468.41"/>
    <n v="177.27"/>
    <n v="291.14"/>
    <x v="1"/>
    <n v="4"/>
    <x v="0"/>
    <x v="2"/>
    <s v="Yes"/>
  </r>
  <r>
    <s v="TRX-10639"/>
    <x v="289"/>
    <s v="Drew"/>
    <x v="7"/>
    <x v="2"/>
    <x v="3"/>
    <x v="3"/>
    <x v="2"/>
    <n v="63"/>
    <n v="52"/>
    <n v="9877.4500000000007"/>
    <n v="476.54"/>
    <n v="167.57"/>
    <n v="308.97000000000003"/>
    <x v="0"/>
    <n v="2"/>
    <x v="0"/>
    <x v="1"/>
    <s v="No"/>
  </r>
  <r>
    <s v="TRX-10640"/>
    <x v="202"/>
    <s v="Sam"/>
    <x v="13"/>
    <x v="2"/>
    <x v="2"/>
    <x v="4"/>
    <x v="1"/>
    <n v="67"/>
    <n v="85"/>
    <n v="20356.82"/>
    <n v="81.19"/>
    <n v="264.83999999999997"/>
    <n v="-183.64999999999998"/>
    <x v="0"/>
    <n v="5"/>
    <x v="0"/>
    <x v="0"/>
    <s v="No"/>
  </r>
  <r>
    <s v="TRX-10641"/>
    <x v="297"/>
    <s v="Sam"/>
    <x v="9"/>
    <x v="0"/>
    <x v="0"/>
    <x v="0"/>
    <x v="2"/>
    <n v="46"/>
    <n v="93"/>
    <n v="47415.91"/>
    <n v="255.39"/>
    <n v="184.41"/>
    <n v="70.97999999999999"/>
    <x v="1"/>
    <n v="4"/>
    <x v="0"/>
    <x v="2"/>
    <s v="Yes"/>
  </r>
  <r>
    <s v="TRX-10642"/>
    <x v="282"/>
    <s v="Drew"/>
    <x v="0"/>
    <x v="1"/>
    <x v="0"/>
    <x v="1"/>
    <x v="0"/>
    <n v="45"/>
    <n v="70"/>
    <n v="20131.23"/>
    <n v="324.36"/>
    <n v="20.91"/>
    <n v="303.45"/>
    <x v="0"/>
    <n v="3"/>
    <x v="1"/>
    <x v="0"/>
    <s v="Yes"/>
  </r>
  <r>
    <s v="TRX-10643"/>
    <x v="298"/>
    <s v="Alex"/>
    <x v="12"/>
    <x v="2"/>
    <x v="0"/>
    <x v="3"/>
    <x v="3"/>
    <n v="74"/>
    <n v="37"/>
    <n v="6681.07"/>
    <n v="165.14"/>
    <n v="25.75"/>
    <n v="139.38999999999999"/>
    <x v="0"/>
    <n v="5"/>
    <x v="0"/>
    <x v="1"/>
    <s v="Yes"/>
  </r>
  <r>
    <s v="TRX-10644"/>
    <x v="272"/>
    <s v="Drew"/>
    <x v="3"/>
    <x v="3"/>
    <x v="2"/>
    <x v="0"/>
    <x v="2"/>
    <n v="49"/>
    <n v="65"/>
    <n v="26509.53"/>
    <n v="233.18"/>
    <n v="111.4"/>
    <n v="121.78"/>
    <x v="0"/>
    <n v="2"/>
    <x v="1"/>
    <x v="0"/>
    <s v="No"/>
  </r>
  <r>
    <s v="TRX-10645"/>
    <x v="99"/>
    <s v="Casey"/>
    <x v="14"/>
    <x v="2"/>
    <x v="0"/>
    <x v="2"/>
    <x v="1"/>
    <n v="39"/>
    <n v="51"/>
    <n v="5919.8"/>
    <n v="354.96"/>
    <n v="268.18"/>
    <n v="86.779999999999973"/>
    <x v="0"/>
    <n v="4"/>
    <x v="0"/>
    <x v="1"/>
    <s v="Yes"/>
  </r>
  <r>
    <s v="TRX-10646"/>
    <x v="70"/>
    <s v="Casey"/>
    <x v="5"/>
    <x v="3"/>
    <x v="4"/>
    <x v="1"/>
    <x v="3"/>
    <n v="53"/>
    <n v="1"/>
    <n v="10541.24"/>
    <n v="152.03"/>
    <n v="194.87"/>
    <n v="-42.84"/>
    <x v="0"/>
    <n v="5"/>
    <x v="0"/>
    <x v="1"/>
    <s v="No"/>
  </r>
  <r>
    <s v="TRX-10647"/>
    <x v="232"/>
    <s v="Alex"/>
    <x v="0"/>
    <x v="0"/>
    <x v="0"/>
    <x v="0"/>
    <x v="1"/>
    <n v="56"/>
    <n v="91"/>
    <n v="49916.78"/>
    <n v="320.89"/>
    <n v="13.88"/>
    <n v="307.01"/>
    <x v="1"/>
    <n v="4"/>
    <x v="0"/>
    <x v="2"/>
    <s v="Yes"/>
  </r>
  <r>
    <s v="TRX-10648"/>
    <x v="299"/>
    <s v="Drew"/>
    <x v="4"/>
    <x v="2"/>
    <x v="1"/>
    <x v="1"/>
    <x v="3"/>
    <n v="34"/>
    <n v="21"/>
    <n v="27297.45"/>
    <n v="363.85"/>
    <n v="71.150000000000006"/>
    <n v="292.70000000000005"/>
    <x v="0"/>
    <n v="4"/>
    <x v="0"/>
    <x v="0"/>
    <s v="No"/>
  </r>
  <r>
    <s v="TRX-10649"/>
    <x v="268"/>
    <s v="Casey"/>
    <x v="12"/>
    <x v="3"/>
    <x v="2"/>
    <x v="1"/>
    <x v="3"/>
    <n v="34"/>
    <n v="53"/>
    <n v="14560.89"/>
    <n v="90.72"/>
    <n v="42.58"/>
    <n v="48.14"/>
    <x v="0"/>
    <n v="4"/>
    <x v="0"/>
    <x v="1"/>
    <s v="No"/>
  </r>
  <r>
    <s v="TRX-10650"/>
    <x v="300"/>
    <s v="Jamie"/>
    <x v="2"/>
    <x v="0"/>
    <x v="1"/>
    <x v="4"/>
    <x v="2"/>
    <n v="55"/>
    <n v="16"/>
    <n v="49741.36"/>
    <n v="273.89"/>
    <n v="151.19"/>
    <n v="122.69999999999999"/>
    <x v="1"/>
    <n v="2"/>
    <x v="1"/>
    <x v="2"/>
    <s v="Yes"/>
  </r>
  <r>
    <s v="TRX-10651"/>
    <x v="164"/>
    <s v="Drew"/>
    <x v="2"/>
    <x v="1"/>
    <x v="0"/>
    <x v="1"/>
    <x v="0"/>
    <n v="50"/>
    <n v="108"/>
    <n v="48344.67"/>
    <n v="168.39"/>
    <n v="128.04"/>
    <n v="40.349999999999994"/>
    <x v="1"/>
    <n v="5"/>
    <x v="0"/>
    <x v="2"/>
    <s v="Yes"/>
  </r>
  <r>
    <s v="TRX-10652"/>
    <x v="290"/>
    <s v="Jamie"/>
    <x v="6"/>
    <x v="3"/>
    <x v="4"/>
    <x v="4"/>
    <x v="2"/>
    <n v="48"/>
    <n v="61"/>
    <n v="22316.58"/>
    <n v="375.97"/>
    <n v="23.98"/>
    <n v="351.99"/>
    <x v="0"/>
    <n v="1"/>
    <x v="1"/>
    <x v="0"/>
    <s v="No"/>
  </r>
  <r>
    <s v="TRX-10653"/>
    <x v="221"/>
    <s v="Casey"/>
    <x v="1"/>
    <x v="1"/>
    <x v="3"/>
    <x v="3"/>
    <x v="1"/>
    <n v="37"/>
    <n v="54"/>
    <n v="13389.95"/>
    <n v="135.30000000000001"/>
    <n v="145.05000000000001"/>
    <n v="-9.75"/>
    <x v="0"/>
    <n v="1"/>
    <x v="0"/>
    <x v="1"/>
    <s v="No"/>
  </r>
  <r>
    <s v="TRX-10654"/>
    <x v="112"/>
    <s v="Sam"/>
    <x v="13"/>
    <x v="1"/>
    <x v="0"/>
    <x v="4"/>
    <x v="1"/>
    <n v="23"/>
    <n v="40"/>
    <n v="42000.78"/>
    <n v="451.51"/>
    <n v="205.64"/>
    <n v="245.87"/>
    <x v="1"/>
    <n v="2"/>
    <x v="1"/>
    <x v="2"/>
    <s v="Yes"/>
  </r>
  <r>
    <s v="TRX-10655"/>
    <x v="301"/>
    <s v="Casey"/>
    <x v="0"/>
    <x v="4"/>
    <x v="4"/>
    <x v="2"/>
    <x v="3"/>
    <n v="36"/>
    <n v="26"/>
    <n v="35923.230000000003"/>
    <n v="243.92"/>
    <n v="155.80000000000001"/>
    <n v="88.119999999999976"/>
    <x v="1"/>
    <n v="2"/>
    <x v="1"/>
    <x v="2"/>
    <s v="No"/>
  </r>
  <r>
    <s v="TRX-10656"/>
    <x v="177"/>
    <s v="Jamie"/>
    <x v="11"/>
    <x v="2"/>
    <x v="2"/>
    <x v="0"/>
    <x v="3"/>
    <n v="66"/>
    <n v="80"/>
    <n v="34503.599999999999"/>
    <n v="139.1"/>
    <n v="4.01"/>
    <n v="135.09"/>
    <x v="0"/>
    <n v="4"/>
    <x v="0"/>
    <x v="0"/>
    <s v="No"/>
  </r>
  <r>
    <s v="TRX-10657"/>
    <x v="120"/>
    <s v="Taylor"/>
    <x v="7"/>
    <x v="3"/>
    <x v="1"/>
    <x v="3"/>
    <x v="0"/>
    <n v="50"/>
    <n v="92"/>
    <n v="44709.13"/>
    <n v="247.11"/>
    <n v="178.09"/>
    <n v="69.02000000000001"/>
    <x v="1"/>
    <n v="5"/>
    <x v="0"/>
    <x v="2"/>
    <s v="Yes"/>
  </r>
  <r>
    <s v="TRX-10658"/>
    <x v="41"/>
    <s v="Morgan"/>
    <x v="10"/>
    <x v="1"/>
    <x v="1"/>
    <x v="3"/>
    <x v="2"/>
    <n v="72"/>
    <n v="65"/>
    <n v="34626.15"/>
    <n v="233.93"/>
    <n v="113.86"/>
    <n v="120.07000000000001"/>
    <x v="0"/>
    <n v="5"/>
    <x v="0"/>
    <x v="0"/>
    <s v="No"/>
  </r>
  <r>
    <s v="TRX-10659"/>
    <x v="64"/>
    <s v="Jordan"/>
    <x v="4"/>
    <x v="4"/>
    <x v="1"/>
    <x v="2"/>
    <x v="1"/>
    <n v="49"/>
    <n v="100"/>
    <n v="14548"/>
    <n v="243.01"/>
    <n v="243.57"/>
    <n v="-0.56000000000000227"/>
    <x v="0"/>
    <n v="3"/>
    <x v="0"/>
    <x v="1"/>
    <s v="No"/>
  </r>
  <r>
    <s v="TRX-10660"/>
    <x v="62"/>
    <s v="Drew"/>
    <x v="2"/>
    <x v="0"/>
    <x v="2"/>
    <x v="4"/>
    <x v="3"/>
    <n v="65"/>
    <n v="74"/>
    <n v="34846.230000000003"/>
    <n v="313.5"/>
    <n v="161.59"/>
    <n v="151.91"/>
    <x v="0"/>
    <n v="3"/>
    <x v="1"/>
    <x v="0"/>
    <s v="No"/>
  </r>
  <r>
    <s v="TRX-10661"/>
    <x v="128"/>
    <s v="Taylor"/>
    <x v="14"/>
    <x v="3"/>
    <x v="4"/>
    <x v="0"/>
    <x v="0"/>
    <n v="35"/>
    <n v="64"/>
    <n v="15637.77"/>
    <n v="284.52999999999997"/>
    <n v="37.97"/>
    <n v="246.55999999999997"/>
    <x v="0"/>
    <n v="1"/>
    <x v="0"/>
    <x v="0"/>
    <s v="No"/>
  </r>
  <r>
    <s v="TRX-10662"/>
    <x v="302"/>
    <s v="Casey"/>
    <x v="2"/>
    <x v="1"/>
    <x v="2"/>
    <x v="4"/>
    <x v="1"/>
    <n v="66"/>
    <n v="43"/>
    <n v="38082.33"/>
    <n v="117.4"/>
    <n v="33.04"/>
    <n v="84.360000000000014"/>
    <x v="1"/>
    <n v="3"/>
    <x v="1"/>
    <x v="2"/>
    <s v="No"/>
  </r>
  <r>
    <s v="TRX-10663"/>
    <x v="188"/>
    <s v="Sam"/>
    <x v="5"/>
    <x v="2"/>
    <x v="1"/>
    <x v="1"/>
    <x v="3"/>
    <n v="45"/>
    <n v="17"/>
    <n v="31177.52"/>
    <n v="79.510000000000005"/>
    <n v="144.26"/>
    <n v="-64.749999999999986"/>
    <x v="0"/>
    <n v="3"/>
    <x v="1"/>
    <x v="0"/>
    <s v="No"/>
  </r>
  <r>
    <s v="TRX-10664"/>
    <x v="14"/>
    <s v="Alex"/>
    <x v="3"/>
    <x v="4"/>
    <x v="0"/>
    <x v="4"/>
    <x v="1"/>
    <n v="71"/>
    <n v="59"/>
    <n v="4331.87"/>
    <n v="378.24"/>
    <n v="46.94"/>
    <n v="331.3"/>
    <x v="0"/>
    <n v="1"/>
    <x v="0"/>
    <x v="1"/>
    <s v="Yes"/>
  </r>
  <r>
    <s v="TRX-10665"/>
    <x v="120"/>
    <s v="Casey"/>
    <x v="2"/>
    <x v="1"/>
    <x v="3"/>
    <x v="3"/>
    <x v="0"/>
    <n v="58"/>
    <n v="23"/>
    <n v="25885.35"/>
    <n v="301.87"/>
    <n v="169.99"/>
    <n v="131.88"/>
    <x v="0"/>
    <n v="1"/>
    <x v="1"/>
    <x v="0"/>
    <s v="No"/>
  </r>
  <r>
    <s v="TRX-10666"/>
    <x v="279"/>
    <s v="Sam"/>
    <x v="5"/>
    <x v="2"/>
    <x v="2"/>
    <x v="0"/>
    <x v="0"/>
    <n v="62"/>
    <n v="7"/>
    <n v="17493.400000000001"/>
    <n v="211.55"/>
    <n v="145.24"/>
    <n v="66.31"/>
    <x v="0"/>
    <n v="3"/>
    <x v="0"/>
    <x v="0"/>
    <s v="No"/>
  </r>
  <r>
    <s v="TRX-10667"/>
    <x v="4"/>
    <s v="Morgan"/>
    <x v="0"/>
    <x v="1"/>
    <x v="2"/>
    <x v="4"/>
    <x v="1"/>
    <n v="67"/>
    <n v="44"/>
    <n v="16764.25"/>
    <n v="413.76"/>
    <n v="252.56"/>
    <n v="161.19999999999999"/>
    <x v="0"/>
    <n v="5"/>
    <x v="0"/>
    <x v="0"/>
    <s v="No"/>
  </r>
  <r>
    <s v="TRX-10668"/>
    <x v="99"/>
    <s v="Casey"/>
    <x v="0"/>
    <x v="3"/>
    <x v="4"/>
    <x v="0"/>
    <x v="2"/>
    <n v="73"/>
    <n v="53"/>
    <n v="30311.69"/>
    <n v="224.63"/>
    <n v="59.8"/>
    <n v="164.82999999999998"/>
    <x v="0"/>
    <n v="3"/>
    <x v="1"/>
    <x v="0"/>
    <s v="No"/>
  </r>
  <r>
    <s v="TRX-10669"/>
    <x v="136"/>
    <s v="Jamie"/>
    <x v="7"/>
    <x v="3"/>
    <x v="4"/>
    <x v="0"/>
    <x v="1"/>
    <n v="74"/>
    <n v="71"/>
    <n v="16455.080000000002"/>
    <n v="408.18"/>
    <n v="94.98"/>
    <n v="313.2"/>
    <x v="0"/>
    <n v="4"/>
    <x v="0"/>
    <x v="0"/>
    <s v="No"/>
  </r>
  <r>
    <s v="TRX-10670"/>
    <x v="268"/>
    <s v="Alex"/>
    <x v="1"/>
    <x v="3"/>
    <x v="2"/>
    <x v="1"/>
    <x v="3"/>
    <n v="72"/>
    <n v="108"/>
    <n v="38956.239999999998"/>
    <n v="187.59"/>
    <n v="134.24"/>
    <n v="53.349999999999994"/>
    <x v="1"/>
    <n v="4"/>
    <x v="0"/>
    <x v="2"/>
    <s v="No"/>
  </r>
  <r>
    <s v="TRX-10671"/>
    <x v="179"/>
    <s v="Sam"/>
    <x v="6"/>
    <x v="4"/>
    <x v="1"/>
    <x v="1"/>
    <x v="2"/>
    <n v="58"/>
    <n v="79"/>
    <n v="4004.18"/>
    <n v="82.78"/>
    <n v="6.29"/>
    <n v="76.489999999999995"/>
    <x v="0"/>
    <n v="4"/>
    <x v="0"/>
    <x v="1"/>
    <s v="No"/>
  </r>
  <r>
    <s v="TRX-10672"/>
    <x v="208"/>
    <s v="Sam"/>
    <x v="12"/>
    <x v="3"/>
    <x v="3"/>
    <x v="3"/>
    <x v="3"/>
    <n v="43"/>
    <n v="34"/>
    <n v="33189.22"/>
    <n v="469.69"/>
    <n v="145.30000000000001"/>
    <n v="324.39"/>
    <x v="0"/>
    <n v="2"/>
    <x v="1"/>
    <x v="0"/>
    <s v="No"/>
  </r>
  <r>
    <s v="TRX-10673"/>
    <x v="303"/>
    <s v="Sam"/>
    <x v="2"/>
    <x v="2"/>
    <x v="4"/>
    <x v="2"/>
    <x v="1"/>
    <n v="45"/>
    <n v="46"/>
    <n v="40555.14"/>
    <n v="227.55"/>
    <n v="250.74"/>
    <n v="-23.189999999999998"/>
    <x v="1"/>
    <n v="4"/>
    <x v="0"/>
    <x v="2"/>
    <s v="Yes"/>
  </r>
  <r>
    <s v="TRX-10674"/>
    <x v="197"/>
    <s v="Morgan"/>
    <x v="14"/>
    <x v="1"/>
    <x v="1"/>
    <x v="0"/>
    <x v="2"/>
    <n v="62"/>
    <n v="109"/>
    <n v="33805.17"/>
    <n v="406.71"/>
    <n v="83.03"/>
    <n v="323.67999999999995"/>
    <x v="0"/>
    <n v="5"/>
    <x v="0"/>
    <x v="0"/>
    <s v="No"/>
  </r>
  <r>
    <s v="TRX-10675"/>
    <x v="304"/>
    <s v="Casey"/>
    <x v="2"/>
    <x v="0"/>
    <x v="0"/>
    <x v="2"/>
    <x v="3"/>
    <n v="27"/>
    <n v="68"/>
    <n v="25112.85"/>
    <n v="175.61"/>
    <n v="152.97999999999999"/>
    <n v="22.630000000000024"/>
    <x v="0"/>
    <n v="2"/>
    <x v="1"/>
    <x v="0"/>
    <s v="Yes"/>
  </r>
  <r>
    <s v="TRX-10676"/>
    <x v="118"/>
    <s v="Morgan"/>
    <x v="6"/>
    <x v="2"/>
    <x v="4"/>
    <x v="3"/>
    <x v="1"/>
    <n v="42"/>
    <n v="78"/>
    <n v="47540.2"/>
    <n v="340.86"/>
    <n v="52.38"/>
    <n v="288.48"/>
    <x v="1"/>
    <n v="2"/>
    <x v="1"/>
    <x v="2"/>
    <s v="Yes"/>
  </r>
  <r>
    <s v="TRX-10677"/>
    <x v="130"/>
    <s v="Drew"/>
    <x v="8"/>
    <x v="2"/>
    <x v="1"/>
    <x v="0"/>
    <x v="1"/>
    <n v="37"/>
    <n v="78"/>
    <n v="15346.96"/>
    <n v="442.99"/>
    <n v="96.68"/>
    <n v="346.31"/>
    <x v="0"/>
    <n v="4"/>
    <x v="0"/>
    <x v="0"/>
    <s v="No"/>
  </r>
  <r>
    <s v="TRX-10678"/>
    <x v="305"/>
    <s v="Jordan"/>
    <x v="14"/>
    <x v="3"/>
    <x v="1"/>
    <x v="0"/>
    <x v="2"/>
    <n v="38"/>
    <n v="16"/>
    <n v="1448.81"/>
    <n v="68.739999999999995"/>
    <n v="194.86"/>
    <n v="-126.12000000000002"/>
    <x v="0"/>
    <n v="3"/>
    <x v="0"/>
    <x v="1"/>
    <s v="No"/>
  </r>
  <r>
    <s v="TRX-10679"/>
    <x v="238"/>
    <s v="Jordan"/>
    <x v="9"/>
    <x v="4"/>
    <x v="3"/>
    <x v="2"/>
    <x v="1"/>
    <n v="69"/>
    <n v="71"/>
    <n v="21883.47"/>
    <n v="423.79"/>
    <n v="295.91000000000003"/>
    <n v="127.88"/>
    <x v="0"/>
    <n v="1"/>
    <x v="1"/>
    <x v="0"/>
    <s v="No"/>
  </r>
  <r>
    <s v="TRX-10680"/>
    <x v="96"/>
    <s v="Drew"/>
    <x v="13"/>
    <x v="1"/>
    <x v="3"/>
    <x v="4"/>
    <x v="0"/>
    <n v="61"/>
    <n v="96"/>
    <n v="2134.09"/>
    <n v="307.10000000000002"/>
    <n v="102.52"/>
    <n v="204.58000000000004"/>
    <x v="0"/>
    <n v="3"/>
    <x v="0"/>
    <x v="1"/>
    <s v="No"/>
  </r>
  <r>
    <s v="TRX-10681"/>
    <x v="65"/>
    <s v="Casey"/>
    <x v="12"/>
    <x v="4"/>
    <x v="0"/>
    <x v="1"/>
    <x v="3"/>
    <n v="30"/>
    <n v="19"/>
    <n v="47719.87"/>
    <n v="323.36"/>
    <n v="186.85"/>
    <n v="136.51000000000002"/>
    <x v="1"/>
    <n v="3"/>
    <x v="1"/>
    <x v="2"/>
    <s v="Yes"/>
  </r>
  <r>
    <s v="TRX-10682"/>
    <x v="234"/>
    <s v="Jamie"/>
    <x v="9"/>
    <x v="1"/>
    <x v="1"/>
    <x v="4"/>
    <x v="3"/>
    <n v="30"/>
    <n v="2"/>
    <n v="10890.94"/>
    <n v="285.42"/>
    <n v="104.55"/>
    <n v="180.87"/>
    <x v="0"/>
    <n v="2"/>
    <x v="0"/>
    <x v="1"/>
    <s v="No"/>
  </r>
  <r>
    <s v="TRX-10683"/>
    <x v="113"/>
    <s v="Morgan"/>
    <x v="8"/>
    <x v="1"/>
    <x v="1"/>
    <x v="2"/>
    <x v="1"/>
    <n v="27"/>
    <n v="10"/>
    <n v="39551.89"/>
    <n v="443.51"/>
    <n v="87.48"/>
    <n v="356.03"/>
    <x v="1"/>
    <n v="2"/>
    <x v="1"/>
    <x v="2"/>
    <s v="No"/>
  </r>
  <r>
    <s v="TRX-10684"/>
    <x v="164"/>
    <s v="Alex"/>
    <x v="8"/>
    <x v="4"/>
    <x v="3"/>
    <x v="1"/>
    <x v="1"/>
    <n v="68"/>
    <n v="50"/>
    <n v="38841.32"/>
    <n v="69.55"/>
    <n v="80.069999999999993"/>
    <n v="-10.519999999999996"/>
    <x v="1"/>
    <n v="2"/>
    <x v="1"/>
    <x v="2"/>
    <s v="No"/>
  </r>
  <r>
    <s v="TRX-10685"/>
    <x v="130"/>
    <s v="Sam"/>
    <x v="6"/>
    <x v="2"/>
    <x v="4"/>
    <x v="4"/>
    <x v="0"/>
    <n v="70"/>
    <n v="81"/>
    <n v="11277.58"/>
    <n v="167.46"/>
    <n v="185.9"/>
    <n v="-18.439999999999998"/>
    <x v="0"/>
    <n v="5"/>
    <x v="0"/>
    <x v="1"/>
    <s v="No"/>
  </r>
  <r>
    <s v="TRX-10686"/>
    <x v="35"/>
    <s v="Sam"/>
    <x v="2"/>
    <x v="1"/>
    <x v="4"/>
    <x v="1"/>
    <x v="2"/>
    <n v="58"/>
    <n v="101"/>
    <n v="31250.71"/>
    <n v="444.09"/>
    <n v="34.49"/>
    <n v="409.59999999999997"/>
    <x v="0"/>
    <n v="5"/>
    <x v="0"/>
    <x v="0"/>
    <s v="No"/>
  </r>
  <r>
    <s v="TRX-10687"/>
    <x v="15"/>
    <s v="Casey"/>
    <x v="6"/>
    <x v="4"/>
    <x v="2"/>
    <x v="0"/>
    <x v="1"/>
    <n v="47"/>
    <n v="12"/>
    <n v="2879.91"/>
    <n v="388.56"/>
    <n v="173.9"/>
    <n v="214.66"/>
    <x v="0"/>
    <n v="1"/>
    <x v="0"/>
    <x v="1"/>
    <s v="No"/>
  </r>
  <r>
    <s v="TRX-10688"/>
    <x v="211"/>
    <s v="Jamie"/>
    <x v="6"/>
    <x v="1"/>
    <x v="3"/>
    <x v="4"/>
    <x v="1"/>
    <n v="72"/>
    <n v="70"/>
    <n v="24436.94"/>
    <n v="57.94"/>
    <n v="166.66"/>
    <n v="-108.72"/>
    <x v="0"/>
    <n v="2"/>
    <x v="1"/>
    <x v="0"/>
    <s v="No"/>
  </r>
  <r>
    <s v="TRX-10689"/>
    <x v="298"/>
    <s v="Jordan"/>
    <x v="8"/>
    <x v="0"/>
    <x v="2"/>
    <x v="1"/>
    <x v="1"/>
    <n v="53"/>
    <n v="22"/>
    <n v="1225.03"/>
    <n v="282.64999999999998"/>
    <n v="221.88"/>
    <n v="60.769999999999982"/>
    <x v="0"/>
    <n v="4"/>
    <x v="0"/>
    <x v="1"/>
    <s v="No"/>
  </r>
  <r>
    <s v="TRX-10690"/>
    <x v="236"/>
    <s v="Jordan"/>
    <x v="12"/>
    <x v="2"/>
    <x v="3"/>
    <x v="1"/>
    <x v="1"/>
    <n v="21"/>
    <n v="32"/>
    <n v="46096.62"/>
    <n v="288.31"/>
    <n v="149.77000000000001"/>
    <n v="138.54"/>
    <x v="1"/>
    <n v="2"/>
    <x v="1"/>
    <x v="2"/>
    <s v="Yes"/>
  </r>
  <r>
    <s v="TRX-10691"/>
    <x v="213"/>
    <s v="Sam"/>
    <x v="9"/>
    <x v="3"/>
    <x v="0"/>
    <x v="1"/>
    <x v="3"/>
    <n v="64"/>
    <n v="105"/>
    <n v="48816.26"/>
    <n v="230.4"/>
    <n v="54.46"/>
    <n v="175.94"/>
    <x v="1"/>
    <n v="5"/>
    <x v="0"/>
    <x v="2"/>
    <s v="Yes"/>
  </r>
  <r>
    <s v="TRX-10692"/>
    <x v="306"/>
    <s v="Casey"/>
    <x v="10"/>
    <x v="1"/>
    <x v="1"/>
    <x v="4"/>
    <x v="1"/>
    <n v="73"/>
    <n v="84"/>
    <n v="11503"/>
    <n v="183.83"/>
    <n v="50.82"/>
    <n v="133.01000000000002"/>
    <x v="0"/>
    <n v="2"/>
    <x v="0"/>
    <x v="1"/>
    <s v="No"/>
  </r>
  <r>
    <s v="TRX-10693"/>
    <x v="249"/>
    <s v="Morgan"/>
    <x v="2"/>
    <x v="0"/>
    <x v="0"/>
    <x v="3"/>
    <x v="3"/>
    <n v="54"/>
    <n v="1"/>
    <n v="10801.25"/>
    <n v="356.78"/>
    <n v="124.16"/>
    <n v="232.61999999999998"/>
    <x v="0"/>
    <n v="5"/>
    <x v="0"/>
    <x v="1"/>
    <s v="Yes"/>
  </r>
  <r>
    <s v="TRX-10694"/>
    <x v="31"/>
    <s v="Jordan"/>
    <x v="8"/>
    <x v="3"/>
    <x v="3"/>
    <x v="4"/>
    <x v="1"/>
    <n v="24"/>
    <n v="54"/>
    <n v="37809.15"/>
    <n v="143.51"/>
    <n v="215.7"/>
    <n v="-72.19"/>
    <x v="1"/>
    <n v="2"/>
    <x v="1"/>
    <x v="2"/>
    <s v="No"/>
  </r>
  <r>
    <s v="TRX-10695"/>
    <x v="66"/>
    <s v="Morgan"/>
    <x v="9"/>
    <x v="3"/>
    <x v="1"/>
    <x v="2"/>
    <x v="2"/>
    <n v="37"/>
    <n v="111"/>
    <n v="13042.28"/>
    <n v="409.53"/>
    <n v="113.9"/>
    <n v="295.63"/>
    <x v="0"/>
    <n v="4"/>
    <x v="0"/>
    <x v="1"/>
    <s v="No"/>
  </r>
  <r>
    <s v="TRX-10696"/>
    <x v="69"/>
    <s v="Jamie"/>
    <x v="1"/>
    <x v="1"/>
    <x v="4"/>
    <x v="4"/>
    <x v="0"/>
    <n v="24"/>
    <n v="117"/>
    <n v="44806.29"/>
    <n v="411.37"/>
    <n v="147.66999999999999"/>
    <n v="263.70000000000005"/>
    <x v="1"/>
    <n v="1"/>
    <x v="1"/>
    <x v="2"/>
    <s v="Yes"/>
  </r>
  <r>
    <s v="TRX-10697"/>
    <x v="156"/>
    <s v="Jordan"/>
    <x v="10"/>
    <x v="4"/>
    <x v="4"/>
    <x v="1"/>
    <x v="2"/>
    <n v="63"/>
    <n v="58"/>
    <n v="28909.49"/>
    <n v="236.87"/>
    <n v="28.3"/>
    <n v="208.57"/>
    <x v="0"/>
    <n v="4"/>
    <x v="0"/>
    <x v="0"/>
    <s v="No"/>
  </r>
  <r>
    <s v="TRX-10698"/>
    <x v="215"/>
    <s v="Jordan"/>
    <x v="10"/>
    <x v="1"/>
    <x v="2"/>
    <x v="0"/>
    <x v="1"/>
    <n v="74"/>
    <n v="70"/>
    <n v="17863.490000000002"/>
    <n v="177.6"/>
    <n v="264.74"/>
    <n v="-87.140000000000015"/>
    <x v="0"/>
    <n v="5"/>
    <x v="0"/>
    <x v="0"/>
    <s v="No"/>
  </r>
  <r>
    <s v="TRX-10699"/>
    <x v="240"/>
    <s v="Taylor"/>
    <x v="0"/>
    <x v="0"/>
    <x v="3"/>
    <x v="4"/>
    <x v="1"/>
    <n v="46"/>
    <n v="83"/>
    <n v="41718.339999999997"/>
    <n v="177.75"/>
    <n v="174.72"/>
    <n v="3.0300000000000011"/>
    <x v="1"/>
    <n v="3"/>
    <x v="1"/>
    <x v="2"/>
    <s v="Yes"/>
  </r>
  <r>
    <s v="TRX-10700"/>
    <x v="284"/>
    <s v="Jordan"/>
    <x v="7"/>
    <x v="3"/>
    <x v="3"/>
    <x v="4"/>
    <x v="1"/>
    <n v="24"/>
    <n v="18"/>
    <n v="24923.63"/>
    <n v="267.02999999999997"/>
    <n v="38.06"/>
    <n v="228.96999999999997"/>
    <x v="0"/>
    <n v="4"/>
    <x v="0"/>
    <x v="0"/>
    <s v="No"/>
  </r>
  <r>
    <s v="TRX-10701"/>
    <x v="264"/>
    <s v="Drew"/>
    <x v="2"/>
    <x v="1"/>
    <x v="4"/>
    <x v="1"/>
    <x v="2"/>
    <n v="21"/>
    <n v="6"/>
    <n v="45625.83"/>
    <n v="373.81"/>
    <n v="92.39"/>
    <n v="281.42"/>
    <x v="1"/>
    <n v="2"/>
    <x v="1"/>
    <x v="2"/>
    <s v="Yes"/>
  </r>
  <r>
    <s v="TRX-10702"/>
    <x v="124"/>
    <s v="Alex"/>
    <x v="10"/>
    <x v="4"/>
    <x v="0"/>
    <x v="0"/>
    <x v="1"/>
    <n v="27"/>
    <n v="45"/>
    <n v="46436.7"/>
    <n v="211.49"/>
    <n v="253.44"/>
    <n v="-41.949999999999989"/>
    <x v="1"/>
    <n v="1"/>
    <x v="1"/>
    <x v="2"/>
    <s v="Yes"/>
  </r>
  <r>
    <s v="TRX-10703"/>
    <x v="72"/>
    <s v="Drew"/>
    <x v="8"/>
    <x v="1"/>
    <x v="1"/>
    <x v="0"/>
    <x v="2"/>
    <n v="50"/>
    <n v="97"/>
    <n v="8688.2999999999993"/>
    <n v="324.52"/>
    <n v="179.51"/>
    <n v="145.01"/>
    <x v="0"/>
    <n v="2"/>
    <x v="0"/>
    <x v="1"/>
    <s v="No"/>
  </r>
  <r>
    <s v="TRX-10704"/>
    <x v="133"/>
    <s v="Casey"/>
    <x v="0"/>
    <x v="2"/>
    <x v="0"/>
    <x v="2"/>
    <x v="3"/>
    <n v="70"/>
    <n v="23"/>
    <n v="615.01"/>
    <n v="222.12"/>
    <n v="52.93"/>
    <n v="169.19"/>
    <x v="0"/>
    <n v="2"/>
    <x v="0"/>
    <x v="1"/>
    <s v="Yes"/>
  </r>
  <r>
    <s v="TRX-10705"/>
    <x v="176"/>
    <s v="Casey"/>
    <x v="9"/>
    <x v="4"/>
    <x v="0"/>
    <x v="4"/>
    <x v="0"/>
    <n v="29"/>
    <n v="23"/>
    <n v="49204.58"/>
    <n v="187.04"/>
    <n v="142.25"/>
    <n v="44.789999999999992"/>
    <x v="1"/>
    <n v="4"/>
    <x v="0"/>
    <x v="2"/>
    <s v="Yes"/>
  </r>
  <r>
    <s v="TRX-10706"/>
    <x v="307"/>
    <s v="Morgan"/>
    <x v="1"/>
    <x v="0"/>
    <x v="4"/>
    <x v="0"/>
    <x v="0"/>
    <n v="55"/>
    <n v="26"/>
    <n v="45353.81"/>
    <n v="61.19"/>
    <n v="20"/>
    <n v="41.19"/>
    <x v="1"/>
    <n v="1"/>
    <x v="1"/>
    <x v="2"/>
    <s v="Yes"/>
  </r>
  <r>
    <s v="TRX-10707"/>
    <x v="308"/>
    <s v="Drew"/>
    <x v="5"/>
    <x v="3"/>
    <x v="4"/>
    <x v="0"/>
    <x v="2"/>
    <n v="28"/>
    <n v="77"/>
    <n v="3244.54"/>
    <n v="51.76"/>
    <n v="6.71"/>
    <n v="45.05"/>
    <x v="0"/>
    <n v="3"/>
    <x v="0"/>
    <x v="1"/>
    <s v="No"/>
  </r>
  <r>
    <s v="TRX-10708"/>
    <x v="293"/>
    <s v="Drew"/>
    <x v="2"/>
    <x v="1"/>
    <x v="4"/>
    <x v="3"/>
    <x v="3"/>
    <n v="44"/>
    <n v="7"/>
    <n v="41735.199999999997"/>
    <n v="152.24"/>
    <n v="112.08"/>
    <n v="40.160000000000011"/>
    <x v="1"/>
    <n v="2"/>
    <x v="1"/>
    <x v="2"/>
    <s v="Yes"/>
  </r>
  <r>
    <s v="TRX-10709"/>
    <x v="179"/>
    <s v="Drew"/>
    <x v="12"/>
    <x v="4"/>
    <x v="2"/>
    <x v="3"/>
    <x v="2"/>
    <n v="39"/>
    <n v="79"/>
    <n v="23161.34"/>
    <n v="232.88"/>
    <n v="138.97"/>
    <n v="93.91"/>
    <x v="0"/>
    <n v="1"/>
    <x v="1"/>
    <x v="0"/>
    <s v="No"/>
  </r>
  <r>
    <s v="TRX-10710"/>
    <x v="11"/>
    <s v="Jamie"/>
    <x v="6"/>
    <x v="2"/>
    <x v="0"/>
    <x v="0"/>
    <x v="3"/>
    <n v="56"/>
    <n v="44"/>
    <n v="13318.6"/>
    <n v="433.07"/>
    <n v="159.16"/>
    <n v="273.90999999999997"/>
    <x v="0"/>
    <n v="3"/>
    <x v="0"/>
    <x v="1"/>
    <s v="Yes"/>
  </r>
  <r>
    <s v="TRX-10711"/>
    <x v="15"/>
    <s v="Jordan"/>
    <x v="14"/>
    <x v="4"/>
    <x v="3"/>
    <x v="2"/>
    <x v="1"/>
    <n v="70"/>
    <n v="27"/>
    <n v="43997.95"/>
    <n v="409.32"/>
    <n v="102.06"/>
    <n v="307.26"/>
    <x v="1"/>
    <n v="2"/>
    <x v="1"/>
    <x v="2"/>
    <s v="Yes"/>
  </r>
  <r>
    <s v="TRX-10712"/>
    <x v="86"/>
    <s v="Alex"/>
    <x v="14"/>
    <x v="2"/>
    <x v="1"/>
    <x v="0"/>
    <x v="3"/>
    <n v="72"/>
    <n v="26"/>
    <n v="10235.030000000001"/>
    <n v="170.22"/>
    <n v="1.31"/>
    <n v="168.91"/>
    <x v="0"/>
    <n v="1"/>
    <x v="0"/>
    <x v="1"/>
    <s v="No"/>
  </r>
  <r>
    <s v="TRX-10713"/>
    <x v="1"/>
    <s v="Morgan"/>
    <x v="9"/>
    <x v="0"/>
    <x v="2"/>
    <x v="1"/>
    <x v="3"/>
    <n v="63"/>
    <n v="97"/>
    <n v="47391.35"/>
    <n v="160.04"/>
    <n v="95.9"/>
    <n v="64.139999999999986"/>
    <x v="1"/>
    <n v="4"/>
    <x v="0"/>
    <x v="2"/>
    <s v="Yes"/>
  </r>
  <r>
    <s v="TRX-10714"/>
    <x v="180"/>
    <s v="Drew"/>
    <x v="11"/>
    <x v="3"/>
    <x v="3"/>
    <x v="4"/>
    <x v="3"/>
    <n v="47"/>
    <n v="79"/>
    <n v="10678.26"/>
    <n v="152.29"/>
    <n v="3.17"/>
    <n v="149.12"/>
    <x v="0"/>
    <n v="2"/>
    <x v="0"/>
    <x v="1"/>
    <s v="No"/>
  </r>
  <r>
    <s v="TRX-10715"/>
    <x v="110"/>
    <s v="Drew"/>
    <x v="11"/>
    <x v="0"/>
    <x v="0"/>
    <x v="2"/>
    <x v="0"/>
    <n v="52"/>
    <n v="36"/>
    <n v="30877.32"/>
    <n v="202.66"/>
    <n v="18.399999999999999"/>
    <n v="184.26"/>
    <x v="0"/>
    <n v="2"/>
    <x v="1"/>
    <x v="0"/>
    <s v="Yes"/>
  </r>
  <r>
    <s v="TRX-10716"/>
    <x v="37"/>
    <s v="Taylor"/>
    <x v="9"/>
    <x v="1"/>
    <x v="4"/>
    <x v="1"/>
    <x v="3"/>
    <n v="34"/>
    <n v="109"/>
    <n v="11542.77"/>
    <n v="274.19"/>
    <n v="65.34"/>
    <n v="208.85"/>
    <x v="0"/>
    <n v="1"/>
    <x v="0"/>
    <x v="1"/>
    <s v="No"/>
  </r>
  <r>
    <s v="TRX-10717"/>
    <x v="173"/>
    <s v="Morgan"/>
    <x v="8"/>
    <x v="4"/>
    <x v="0"/>
    <x v="2"/>
    <x v="1"/>
    <n v="38"/>
    <n v="55"/>
    <n v="27510.6"/>
    <n v="247.4"/>
    <n v="131.15"/>
    <n v="116.25"/>
    <x v="0"/>
    <n v="2"/>
    <x v="1"/>
    <x v="0"/>
    <s v="Yes"/>
  </r>
  <r>
    <s v="TRX-10718"/>
    <x v="139"/>
    <s v="Drew"/>
    <x v="10"/>
    <x v="2"/>
    <x v="1"/>
    <x v="1"/>
    <x v="1"/>
    <n v="48"/>
    <n v="64"/>
    <n v="34356.769999999997"/>
    <n v="148.22"/>
    <n v="83.84"/>
    <n v="64.38"/>
    <x v="0"/>
    <n v="3"/>
    <x v="1"/>
    <x v="0"/>
    <s v="No"/>
  </r>
  <r>
    <s v="TRX-10719"/>
    <x v="309"/>
    <s v="Morgan"/>
    <x v="7"/>
    <x v="2"/>
    <x v="2"/>
    <x v="4"/>
    <x v="1"/>
    <n v="49"/>
    <n v="91"/>
    <n v="9916.2800000000007"/>
    <n v="108.7"/>
    <n v="174.56"/>
    <n v="-65.86"/>
    <x v="0"/>
    <n v="2"/>
    <x v="0"/>
    <x v="1"/>
    <s v="No"/>
  </r>
  <r>
    <s v="TRX-10720"/>
    <x v="310"/>
    <s v="Jordan"/>
    <x v="2"/>
    <x v="4"/>
    <x v="2"/>
    <x v="4"/>
    <x v="3"/>
    <n v="36"/>
    <n v="57"/>
    <n v="26283.85"/>
    <n v="55.66"/>
    <n v="11.07"/>
    <n v="44.589999999999996"/>
    <x v="0"/>
    <n v="5"/>
    <x v="0"/>
    <x v="0"/>
    <s v="No"/>
  </r>
  <r>
    <s v="TRX-10721"/>
    <x v="46"/>
    <s v="Taylor"/>
    <x v="14"/>
    <x v="4"/>
    <x v="1"/>
    <x v="3"/>
    <x v="2"/>
    <n v="55"/>
    <n v="69"/>
    <n v="23718.46"/>
    <n v="119.28"/>
    <n v="28.92"/>
    <n v="90.36"/>
    <x v="0"/>
    <n v="3"/>
    <x v="1"/>
    <x v="0"/>
    <s v="No"/>
  </r>
  <r>
    <s v="TRX-10722"/>
    <x v="205"/>
    <s v="Morgan"/>
    <x v="14"/>
    <x v="1"/>
    <x v="3"/>
    <x v="1"/>
    <x v="2"/>
    <n v="67"/>
    <n v="61"/>
    <n v="4016.35"/>
    <n v="367.41"/>
    <n v="139.05000000000001"/>
    <n v="228.36"/>
    <x v="0"/>
    <n v="1"/>
    <x v="0"/>
    <x v="1"/>
    <s v="No"/>
  </r>
  <r>
    <s v="TRX-10723"/>
    <x v="227"/>
    <s v="Alex"/>
    <x v="7"/>
    <x v="0"/>
    <x v="3"/>
    <x v="3"/>
    <x v="1"/>
    <n v="51"/>
    <n v="2"/>
    <n v="41006.239999999998"/>
    <n v="159.63999999999999"/>
    <n v="42.64"/>
    <n v="116.99999999999999"/>
    <x v="1"/>
    <n v="3"/>
    <x v="1"/>
    <x v="2"/>
    <s v="Yes"/>
  </r>
  <r>
    <s v="TRX-10724"/>
    <x v="174"/>
    <s v="Alex"/>
    <x v="10"/>
    <x v="2"/>
    <x v="2"/>
    <x v="1"/>
    <x v="0"/>
    <n v="24"/>
    <n v="55"/>
    <n v="17116.28"/>
    <n v="260.87"/>
    <n v="127.96"/>
    <n v="132.91000000000003"/>
    <x v="0"/>
    <n v="5"/>
    <x v="0"/>
    <x v="0"/>
    <s v="No"/>
  </r>
  <r>
    <s v="TRX-10725"/>
    <x v="0"/>
    <s v="Casey"/>
    <x v="14"/>
    <x v="1"/>
    <x v="2"/>
    <x v="3"/>
    <x v="2"/>
    <n v="57"/>
    <n v="97"/>
    <n v="28941.82"/>
    <n v="316.08999999999997"/>
    <n v="10.94"/>
    <n v="305.14999999999998"/>
    <x v="0"/>
    <n v="5"/>
    <x v="0"/>
    <x v="0"/>
    <s v="No"/>
  </r>
  <r>
    <s v="TRX-10726"/>
    <x v="262"/>
    <s v="Taylor"/>
    <x v="6"/>
    <x v="0"/>
    <x v="4"/>
    <x v="4"/>
    <x v="3"/>
    <n v="37"/>
    <n v="80"/>
    <n v="25981.82"/>
    <n v="449.08"/>
    <n v="81.48"/>
    <n v="367.59999999999997"/>
    <x v="0"/>
    <n v="2"/>
    <x v="1"/>
    <x v="0"/>
    <s v="No"/>
  </r>
  <r>
    <s v="TRX-10727"/>
    <x v="94"/>
    <s v="Taylor"/>
    <x v="12"/>
    <x v="1"/>
    <x v="3"/>
    <x v="2"/>
    <x v="2"/>
    <n v="59"/>
    <n v="87"/>
    <n v="25906.39"/>
    <n v="449.98"/>
    <n v="35.479999999999997"/>
    <n v="414.5"/>
    <x v="0"/>
    <n v="2"/>
    <x v="1"/>
    <x v="0"/>
    <s v="No"/>
  </r>
  <r>
    <s v="TRX-10728"/>
    <x v="174"/>
    <s v="Casey"/>
    <x v="2"/>
    <x v="2"/>
    <x v="1"/>
    <x v="3"/>
    <x v="1"/>
    <n v="68"/>
    <n v="38"/>
    <n v="5807.51"/>
    <n v="385.58"/>
    <n v="32.89"/>
    <n v="352.69"/>
    <x v="0"/>
    <n v="4"/>
    <x v="0"/>
    <x v="1"/>
    <s v="No"/>
  </r>
  <r>
    <s v="TRX-10729"/>
    <x v="52"/>
    <s v="Morgan"/>
    <x v="3"/>
    <x v="4"/>
    <x v="3"/>
    <x v="1"/>
    <x v="0"/>
    <n v="66"/>
    <n v="119"/>
    <n v="21462.36"/>
    <n v="65.819999999999993"/>
    <n v="113.41"/>
    <n v="-47.59"/>
    <x v="0"/>
    <n v="3"/>
    <x v="1"/>
    <x v="0"/>
    <s v="No"/>
  </r>
  <r>
    <s v="TRX-10730"/>
    <x v="311"/>
    <s v="Taylor"/>
    <x v="14"/>
    <x v="4"/>
    <x v="4"/>
    <x v="1"/>
    <x v="2"/>
    <n v="46"/>
    <n v="80"/>
    <n v="22892.15"/>
    <n v="308.77999999999997"/>
    <n v="185.67"/>
    <n v="123.10999999999999"/>
    <x v="0"/>
    <n v="4"/>
    <x v="0"/>
    <x v="0"/>
    <s v="No"/>
  </r>
  <r>
    <s v="TRX-10731"/>
    <x v="122"/>
    <s v="Alex"/>
    <x v="9"/>
    <x v="0"/>
    <x v="2"/>
    <x v="4"/>
    <x v="2"/>
    <n v="68"/>
    <n v="78"/>
    <n v="36815.32"/>
    <n v="403.96"/>
    <n v="10.96"/>
    <n v="393"/>
    <x v="1"/>
    <n v="5"/>
    <x v="0"/>
    <x v="2"/>
    <s v="No"/>
  </r>
  <r>
    <s v="TRX-10732"/>
    <x v="168"/>
    <s v="Alex"/>
    <x v="12"/>
    <x v="3"/>
    <x v="2"/>
    <x v="1"/>
    <x v="1"/>
    <n v="59"/>
    <n v="29"/>
    <n v="42080.93"/>
    <n v="57.78"/>
    <n v="126.46"/>
    <n v="-68.679999999999993"/>
    <x v="1"/>
    <n v="2"/>
    <x v="1"/>
    <x v="2"/>
    <s v="Yes"/>
  </r>
  <r>
    <s v="TRX-10733"/>
    <x v="301"/>
    <s v="Drew"/>
    <x v="14"/>
    <x v="0"/>
    <x v="4"/>
    <x v="0"/>
    <x v="0"/>
    <n v="61"/>
    <n v="26"/>
    <n v="27476.62"/>
    <n v="297.36"/>
    <n v="141.51"/>
    <n v="155.85000000000002"/>
    <x v="0"/>
    <n v="2"/>
    <x v="1"/>
    <x v="0"/>
    <s v="No"/>
  </r>
  <r>
    <s v="TRX-10734"/>
    <x v="60"/>
    <s v="Jordan"/>
    <x v="13"/>
    <x v="3"/>
    <x v="1"/>
    <x v="2"/>
    <x v="0"/>
    <n v="24"/>
    <n v="35"/>
    <n v="4795.76"/>
    <n v="435.99"/>
    <n v="92.54"/>
    <n v="343.45"/>
    <x v="0"/>
    <n v="2"/>
    <x v="0"/>
    <x v="1"/>
    <s v="No"/>
  </r>
  <r>
    <s v="TRX-10735"/>
    <x v="278"/>
    <s v="Taylor"/>
    <x v="1"/>
    <x v="1"/>
    <x v="2"/>
    <x v="3"/>
    <x v="1"/>
    <n v="50"/>
    <n v="79"/>
    <n v="12224.05"/>
    <n v="263.35000000000002"/>
    <n v="241.95"/>
    <n v="21.400000000000034"/>
    <x v="0"/>
    <n v="1"/>
    <x v="0"/>
    <x v="1"/>
    <s v="No"/>
  </r>
  <r>
    <s v="TRX-10736"/>
    <x v="39"/>
    <s v="Morgan"/>
    <x v="6"/>
    <x v="1"/>
    <x v="0"/>
    <x v="2"/>
    <x v="3"/>
    <n v="50"/>
    <n v="67"/>
    <n v="8664.23"/>
    <n v="51.85"/>
    <n v="35.93"/>
    <n v="15.920000000000002"/>
    <x v="0"/>
    <n v="5"/>
    <x v="0"/>
    <x v="1"/>
    <s v="Yes"/>
  </r>
  <r>
    <s v="TRX-10737"/>
    <x v="21"/>
    <s v="Casey"/>
    <x v="12"/>
    <x v="2"/>
    <x v="2"/>
    <x v="4"/>
    <x v="2"/>
    <n v="42"/>
    <n v="87"/>
    <n v="6668.45"/>
    <n v="54.96"/>
    <n v="191.92"/>
    <n v="-136.95999999999998"/>
    <x v="0"/>
    <n v="2"/>
    <x v="0"/>
    <x v="1"/>
    <s v="No"/>
  </r>
  <r>
    <s v="TRX-10738"/>
    <x v="158"/>
    <s v="Casey"/>
    <x v="0"/>
    <x v="3"/>
    <x v="0"/>
    <x v="3"/>
    <x v="3"/>
    <n v="31"/>
    <n v="29"/>
    <n v="18612.02"/>
    <n v="237.49"/>
    <n v="77.03"/>
    <n v="160.46"/>
    <x v="0"/>
    <n v="5"/>
    <x v="0"/>
    <x v="0"/>
    <s v="Yes"/>
  </r>
  <r>
    <s v="TRX-10739"/>
    <x v="234"/>
    <s v="Morgan"/>
    <x v="3"/>
    <x v="2"/>
    <x v="4"/>
    <x v="3"/>
    <x v="2"/>
    <n v="22"/>
    <n v="34"/>
    <n v="11854.98"/>
    <n v="119.75"/>
    <n v="68.31"/>
    <n v="51.44"/>
    <x v="0"/>
    <n v="2"/>
    <x v="0"/>
    <x v="1"/>
    <s v="No"/>
  </r>
  <r>
    <s v="TRX-10740"/>
    <x v="65"/>
    <s v="Jamie"/>
    <x v="1"/>
    <x v="4"/>
    <x v="4"/>
    <x v="0"/>
    <x v="2"/>
    <n v="64"/>
    <n v="97"/>
    <n v="11306"/>
    <n v="349"/>
    <n v="174.92"/>
    <n v="174.08"/>
    <x v="0"/>
    <n v="3"/>
    <x v="0"/>
    <x v="1"/>
    <s v="No"/>
  </r>
  <r>
    <s v="TRX-10741"/>
    <x v="155"/>
    <s v="Sam"/>
    <x v="4"/>
    <x v="3"/>
    <x v="2"/>
    <x v="4"/>
    <x v="3"/>
    <n v="32"/>
    <n v="41"/>
    <n v="3207.31"/>
    <n v="368.96"/>
    <n v="112.77"/>
    <n v="256.19"/>
    <x v="0"/>
    <n v="5"/>
    <x v="0"/>
    <x v="1"/>
    <s v="No"/>
  </r>
  <r>
    <s v="TRX-10742"/>
    <x v="98"/>
    <s v="Jordan"/>
    <x v="9"/>
    <x v="0"/>
    <x v="3"/>
    <x v="1"/>
    <x v="1"/>
    <n v="50"/>
    <n v="41"/>
    <n v="1374.67"/>
    <n v="130.05000000000001"/>
    <n v="154.94"/>
    <n v="-24.889999999999986"/>
    <x v="0"/>
    <n v="4"/>
    <x v="0"/>
    <x v="1"/>
    <s v="No"/>
  </r>
  <r>
    <s v="TRX-10743"/>
    <x v="312"/>
    <s v="Casey"/>
    <x v="9"/>
    <x v="4"/>
    <x v="0"/>
    <x v="0"/>
    <x v="1"/>
    <n v="56"/>
    <n v="23"/>
    <n v="5587.03"/>
    <n v="449.84"/>
    <n v="218.1"/>
    <n v="231.73999999999998"/>
    <x v="0"/>
    <n v="1"/>
    <x v="0"/>
    <x v="1"/>
    <s v="Yes"/>
  </r>
  <r>
    <s v="TRX-10744"/>
    <x v="313"/>
    <s v="Taylor"/>
    <x v="2"/>
    <x v="4"/>
    <x v="1"/>
    <x v="0"/>
    <x v="2"/>
    <n v="38"/>
    <n v="71"/>
    <n v="9023.7800000000007"/>
    <n v="248.86"/>
    <n v="115.97"/>
    <n v="132.89000000000001"/>
    <x v="0"/>
    <n v="4"/>
    <x v="0"/>
    <x v="1"/>
    <s v="No"/>
  </r>
  <r>
    <s v="TRX-10745"/>
    <x v="286"/>
    <s v="Jordan"/>
    <x v="7"/>
    <x v="0"/>
    <x v="2"/>
    <x v="2"/>
    <x v="1"/>
    <n v="46"/>
    <n v="3"/>
    <n v="21833.69"/>
    <n v="114.28"/>
    <n v="48.75"/>
    <n v="65.53"/>
    <x v="0"/>
    <n v="5"/>
    <x v="0"/>
    <x v="0"/>
    <s v="No"/>
  </r>
  <r>
    <s v="TRX-10746"/>
    <x v="133"/>
    <s v="Taylor"/>
    <x v="1"/>
    <x v="4"/>
    <x v="1"/>
    <x v="2"/>
    <x v="2"/>
    <n v="73"/>
    <n v="58"/>
    <n v="25770.75"/>
    <n v="393.91"/>
    <n v="134.84"/>
    <n v="259.07000000000005"/>
    <x v="0"/>
    <n v="2"/>
    <x v="1"/>
    <x v="0"/>
    <s v="No"/>
  </r>
  <r>
    <s v="TRX-10747"/>
    <x v="112"/>
    <s v="Jamie"/>
    <x v="12"/>
    <x v="3"/>
    <x v="2"/>
    <x v="2"/>
    <x v="1"/>
    <n v="27"/>
    <n v="32"/>
    <n v="7459.3"/>
    <n v="405.49"/>
    <n v="40.04"/>
    <n v="365.45"/>
    <x v="0"/>
    <n v="5"/>
    <x v="0"/>
    <x v="1"/>
    <s v="No"/>
  </r>
  <r>
    <s v="TRX-10748"/>
    <x v="236"/>
    <s v="Alex"/>
    <x v="10"/>
    <x v="2"/>
    <x v="3"/>
    <x v="0"/>
    <x v="2"/>
    <n v="21"/>
    <n v="31"/>
    <n v="21526.78"/>
    <n v="337.68"/>
    <n v="161.16999999999999"/>
    <n v="176.51000000000002"/>
    <x v="0"/>
    <n v="1"/>
    <x v="1"/>
    <x v="0"/>
    <s v="No"/>
  </r>
  <r>
    <s v="TRX-10749"/>
    <x v="314"/>
    <s v="Jordan"/>
    <x v="9"/>
    <x v="4"/>
    <x v="3"/>
    <x v="1"/>
    <x v="1"/>
    <n v="46"/>
    <n v="82"/>
    <n v="17416.57"/>
    <n v="434.06"/>
    <n v="296.92"/>
    <n v="137.13999999999999"/>
    <x v="0"/>
    <n v="5"/>
    <x v="0"/>
    <x v="0"/>
    <s v="No"/>
  </r>
  <r>
    <s v="TRX-10750"/>
    <x v="315"/>
    <s v="Drew"/>
    <x v="12"/>
    <x v="3"/>
    <x v="3"/>
    <x v="3"/>
    <x v="0"/>
    <n v="43"/>
    <n v="43"/>
    <n v="9579.4699999999993"/>
    <n v="381.82"/>
    <n v="75.48"/>
    <n v="306.33999999999997"/>
    <x v="0"/>
    <n v="2"/>
    <x v="0"/>
    <x v="1"/>
    <s v="No"/>
  </r>
  <r>
    <s v="TRX-10751"/>
    <x v="316"/>
    <s v="Casey"/>
    <x v="8"/>
    <x v="1"/>
    <x v="3"/>
    <x v="2"/>
    <x v="3"/>
    <n v="46"/>
    <n v="7"/>
    <n v="838.62"/>
    <n v="446.99"/>
    <n v="88.95"/>
    <n v="358.04"/>
    <x v="0"/>
    <n v="4"/>
    <x v="0"/>
    <x v="1"/>
    <s v="No"/>
  </r>
  <r>
    <s v="TRX-10752"/>
    <x v="64"/>
    <s v="Jordan"/>
    <x v="12"/>
    <x v="3"/>
    <x v="4"/>
    <x v="1"/>
    <x v="0"/>
    <n v="65"/>
    <n v="105"/>
    <n v="23617.38"/>
    <n v="245.25"/>
    <n v="9.2899999999999991"/>
    <n v="235.96"/>
    <x v="0"/>
    <n v="3"/>
    <x v="1"/>
    <x v="0"/>
    <s v="No"/>
  </r>
  <r>
    <s v="TRX-10753"/>
    <x v="135"/>
    <s v="Jordan"/>
    <x v="8"/>
    <x v="2"/>
    <x v="4"/>
    <x v="4"/>
    <x v="3"/>
    <n v="26"/>
    <n v="1"/>
    <n v="34439.760000000002"/>
    <n v="386.42"/>
    <n v="2.75"/>
    <n v="383.67"/>
    <x v="0"/>
    <n v="4"/>
    <x v="0"/>
    <x v="0"/>
    <s v="No"/>
  </r>
  <r>
    <s v="TRX-10754"/>
    <x v="173"/>
    <s v="Jordan"/>
    <x v="13"/>
    <x v="3"/>
    <x v="0"/>
    <x v="2"/>
    <x v="3"/>
    <n v="26"/>
    <n v="61"/>
    <n v="11700.73"/>
    <n v="499.89"/>
    <n v="184.28"/>
    <n v="315.61"/>
    <x v="0"/>
    <n v="2"/>
    <x v="0"/>
    <x v="1"/>
    <s v="Yes"/>
  </r>
  <r>
    <s v="TRX-10755"/>
    <x v="15"/>
    <s v="Sam"/>
    <x v="5"/>
    <x v="0"/>
    <x v="1"/>
    <x v="3"/>
    <x v="2"/>
    <n v="64"/>
    <n v="14"/>
    <n v="7024.44"/>
    <n v="376.22"/>
    <n v="25.72"/>
    <n v="350.5"/>
    <x v="0"/>
    <n v="2"/>
    <x v="0"/>
    <x v="1"/>
    <s v="No"/>
  </r>
  <r>
    <s v="TRX-10756"/>
    <x v="255"/>
    <s v="Jordan"/>
    <x v="5"/>
    <x v="2"/>
    <x v="2"/>
    <x v="4"/>
    <x v="3"/>
    <n v="28"/>
    <n v="52"/>
    <n v="44408.62"/>
    <n v="101.38"/>
    <n v="89.16"/>
    <n v="12.219999999999999"/>
    <x v="1"/>
    <n v="1"/>
    <x v="1"/>
    <x v="2"/>
    <s v="Yes"/>
  </r>
  <r>
    <s v="TRX-10757"/>
    <x v="317"/>
    <s v="Taylor"/>
    <x v="4"/>
    <x v="1"/>
    <x v="2"/>
    <x v="4"/>
    <x v="0"/>
    <n v="44"/>
    <n v="96"/>
    <n v="14113.73"/>
    <n v="283.24"/>
    <n v="163.07"/>
    <n v="120.17000000000002"/>
    <x v="0"/>
    <n v="5"/>
    <x v="0"/>
    <x v="1"/>
    <s v="No"/>
  </r>
  <r>
    <s v="TRX-10758"/>
    <x v="296"/>
    <s v="Alex"/>
    <x v="0"/>
    <x v="0"/>
    <x v="4"/>
    <x v="3"/>
    <x v="0"/>
    <n v="42"/>
    <n v="6"/>
    <n v="11568.82"/>
    <n v="314.31"/>
    <n v="177.86"/>
    <n v="136.44999999999999"/>
    <x v="0"/>
    <n v="5"/>
    <x v="0"/>
    <x v="1"/>
    <s v="No"/>
  </r>
  <r>
    <s v="TRX-10759"/>
    <x v="25"/>
    <s v="Jamie"/>
    <x v="4"/>
    <x v="3"/>
    <x v="2"/>
    <x v="2"/>
    <x v="1"/>
    <n v="39"/>
    <n v="103"/>
    <n v="42926.3"/>
    <n v="128.38999999999999"/>
    <n v="155.82"/>
    <n v="-27.430000000000007"/>
    <x v="1"/>
    <n v="4"/>
    <x v="0"/>
    <x v="2"/>
    <s v="Yes"/>
  </r>
  <r>
    <s v="TRX-10760"/>
    <x v="112"/>
    <s v="Morgan"/>
    <x v="8"/>
    <x v="2"/>
    <x v="4"/>
    <x v="0"/>
    <x v="0"/>
    <n v="57"/>
    <n v="10"/>
    <n v="40946.800000000003"/>
    <n v="483.3"/>
    <n v="113.01"/>
    <n v="370.29"/>
    <x v="1"/>
    <n v="3"/>
    <x v="1"/>
    <x v="2"/>
    <s v="Yes"/>
  </r>
  <r>
    <s v="TRX-10761"/>
    <x v="232"/>
    <s v="Jordan"/>
    <x v="1"/>
    <x v="1"/>
    <x v="0"/>
    <x v="3"/>
    <x v="1"/>
    <n v="38"/>
    <n v="71"/>
    <n v="22693.15"/>
    <n v="129.01"/>
    <n v="200.91"/>
    <n v="-71.900000000000006"/>
    <x v="0"/>
    <n v="3"/>
    <x v="1"/>
    <x v="0"/>
    <s v="Yes"/>
  </r>
  <r>
    <s v="TRX-10762"/>
    <x v="197"/>
    <s v="Casey"/>
    <x v="14"/>
    <x v="0"/>
    <x v="1"/>
    <x v="3"/>
    <x v="3"/>
    <n v="51"/>
    <n v="90"/>
    <n v="24717.32"/>
    <n v="129.9"/>
    <n v="192.28"/>
    <n v="-62.379999999999995"/>
    <x v="0"/>
    <n v="1"/>
    <x v="1"/>
    <x v="0"/>
    <s v="No"/>
  </r>
  <r>
    <s v="TRX-10763"/>
    <x v="103"/>
    <s v="Jordan"/>
    <x v="10"/>
    <x v="1"/>
    <x v="0"/>
    <x v="3"/>
    <x v="0"/>
    <n v="57"/>
    <n v="98"/>
    <n v="11278.56"/>
    <n v="461.83"/>
    <n v="120.53"/>
    <n v="341.29999999999995"/>
    <x v="0"/>
    <n v="2"/>
    <x v="0"/>
    <x v="1"/>
    <s v="Yes"/>
  </r>
  <r>
    <s v="TRX-10764"/>
    <x v="302"/>
    <s v="Casey"/>
    <x v="14"/>
    <x v="3"/>
    <x v="3"/>
    <x v="4"/>
    <x v="3"/>
    <n v="50"/>
    <n v="30"/>
    <n v="4375.93"/>
    <n v="259.33999999999997"/>
    <n v="111.9"/>
    <n v="147.43999999999997"/>
    <x v="0"/>
    <n v="1"/>
    <x v="0"/>
    <x v="1"/>
    <s v="No"/>
  </r>
  <r>
    <s v="TRX-10765"/>
    <x v="83"/>
    <s v="Taylor"/>
    <x v="11"/>
    <x v="1"/>
    <x v="3"/>
    <x v="1"/>
    <x v="0"/>
    <n v="62"/>
    <n v="100"/>
    <n v="28884.880000000001"/>
    <n v="78.430000000000007"/>
    <n v="2.91"/>
    <n v="75.52000000000001"/>
    <x v="0"/>
    <n v="5"/>
    <x v="0"/>
    <x v="0"/>
    <s v="No"/>
  </r>
  <r>
    <s v="TRX-10766"/>
    <x v="318"/>
    <s v="Casey"/>
    <x v="14"/>
    <x v="4"/>
    <x v="3"/>
    <x v="0"/>
    <x v="0"/>
    <n v="53"/>
    <n v="21"/>
    <n v="5368.07"/>
    <n v="319.18"/>
    <n v="16.190000000000001"/>
    <n v="302.99"/>
    <x v="0"/>
    <n v="2"/>
    <x v="0"/>
    <x v="1"/>
    <s v="No"/>
  </r>
  <r>
    <s v="TRX-10767"/>
    <x v="36"/>
    <s v="Drew"/>
    <x v="2"/>
    <x v="0"/>
    <x v="0"/>
    <x v="2"/>
    <x v="1"/>
    <n v="30"/>
    <n v="60"/>
    <n v="22739.09"/>
    <n v="320.82"/>
    <n v="173.14"/>
    <n v="147.68"/>
    <x v="0"/>
    <n v="1"/>
    <x v="1"/>
    <x v="0"/>
    <s v="Yes"/>
  </r>
  <r>
    <s v="TRX-10768"/>
    <x v="316"/>
    <s v="Morgan"/>
    <x v="14"/>
    <x v="1"/>
    <x v="2"/>
    <x v="2"/>
    <x v="3"/>
    <n v="57"/>
    <n v="81"/>
    <n v="47054.61"/>
    <n v="79.03"/>
    <n v="187.25"/>
    <n v="-108.22"/>
    <x v="1"/>
    <n v="4"/>
    <x v="0"/>
    <x v="2"/>
    <s v="Yes"/>
  </r>
  <r>
    <s v="TRX-10769"/>
    <x v="221"/>
    <s v="Alex"/>
    <x v="4"/>
    <x v="3"/>
    <x v="1"/>
    <x v="1"/>
    <x v="0"/>
    <n v="32"/>
    <n v="97"/>
    <n v="47665.3"/>
    <n v="487.64"/>
    <n v="173.34"/>
    <n v="314.29999999999995"/>
    <x v="1"/>
    <n v="5"/>
    <x v="0"/>
    <x v="2"/>
    <s v="Yes"/>
  </r>
  <r>
    <s v="TRX-10770"/>
    <x v="319"/>
    <s v="Casey"/>
    <x v="9"/>
    <x v="3"/>
    <x v="3"/>
    <x v="3"/>
    <x v="2"/>
    <n v="74"/>
    <n v="74"/>
    <n v="12346.95"/>
    <n v="294.81"/>
    <n v="196.52"/>
    <n v="98.289999999999992"/>
    <x v="0"/>
    <n v="3"/>
    <x v="0"/>
    <x v="1"/>
    <s v="No"/>
  </r>
  <r>
    <s v="TRX-10771"/>
    <x v="320"/>
    <s v="Casey"/>
    <x v="6"/>
    <x v="1"/>
    <x v="3"/>
    <x v="0"/>
    <x v="3"/>
    <n v="50"/>
    <n v="115"/>
    <n v="31393.61"/>
    <n v="301.91000000000003"/>
    <n v="105.57"/>
    <n v="196.34000000000003"/>
    <x v="0"/>
    <n v="1"/>
    <x v="1"/>
    <x v="0"/>
    <s v="No"/>
  </r>
  <r>
    <s v="TRX-10772"/>
    <x v="321"/>
    <s v="Alex"/>
    <x v="9"/>
    <x v="3"/>
    <x v="3"/>
    <x v="2"/>
    <x v="3"/>
    <n v="47"/>
    <n v="63"/>
    <n v="23966.78"/>
    <n v="284.05"/>
    <n v="157.59"/>
    <n v="126.46000000000001"/>
    <x v="0"/>
    <n v="5"/>
    <x v="0"/>
    <x v="0"/>
    <s v="No"/>
  </r>
  <r>
    <s v="TRX-10773"/>
    <x v="293"/>
    <s v="Morgan"/>
    <x v="5"/>
    <x v="2"/>
    <x v="1"/>
    <x v="2"/>
    <x v="3"/>
    <n v="59"/>
    <n v="111"/>
    <n v="43846.41"/>
    <n v="324.83"/>
    <n v="168.08"/>
    <n v="156.74999999999997"/>
    <x v="1"/>
    <n v="5"/>
    <x v="0"/>
    <x v="2"/>
    <s v="Yes"/>
  </r>
  <r>
    <s v="TRX-10774"/>
    <x v="278"/>
    <s v="Jordan"/>
    <x v="6"/>
    <x v="2"/>
    <x v="3"/>
    <x v="3"/>
    <x v="1"/>
    <n v="29"/>
    <n v="42"/>
    <n v="13935.83"/>
    <n v="168.93"/>
    <n v="194.42"/>
    <n v="-25.489999999999981"/>
    <x v="0"/>
    <n v="3"/>
    <x v="0"/>
    <x v="1"/>
    <s v="No"/>
  </r>
  <r>
    <s v="TRX-10775"/>
    <x v="320"/>
    <s v="Casey"/>
    <x v="7"/>
    <x v="2"/>
    <x v="1"/>
    <x v="1"/>
    <x v="2"/>
    <n v="74"/>
    <n v="51"/>
    <n v="683.27"/>
    <n v="179.26"/>
    <n v="67.75"/>
    <n v="111.50999999999999"/>
    <x v="0"/>
    <n v="3"/>
    <x v="0"/>
    <x v="1"/>
    <s v="No"/>
  </r>
  <r>
    <s v="TRX-10776"/>
    <x v="31"/>
    <s v="Alex"/>
    <x v="10"/>
    <x v="4"/>
    <x v="3"/>
    <x v="0"/>
    <x v="3"/>
    <n v="41"/>
    <n v="64"/>
    <n v="8546.7800000000007"/>
    <n v="280.10000000000002"/>
    <n v="94"/>
    <n v="186.10000000000002"/>
    <x v="0"/>
    <n v="3"/>
    <x v="0"/>
    <x v="1"/>
    <s v="No"/>
  </r>
  <r>
    <s v="TRX-10777"/>
    <x v="101"/>
    <s v="Drew"/>
    <x v="10"/>
    <x v="1"/>
    <x v="0"/>
    <x v="1"/>
    <x v="0"/>
    <n v="32"/>
    <n v="76"/>
    <n v="17801.38"/>
    <n v="413.01"/>
    <n v="171.58"/>
    <n v="241.42999999999998"/>
    <x v="0"/>
    <n v="1"/>
    <x v="0"/>
    <x v="0"/>
    <s v="Yes"/>
  </r>
  <r>
    <s v="TRX-10778"/>
    <x v="101"/>
    <s v="Drew"/>
    <x v="2"/>
    <x v="4"/>
    <x v="0"/>
    <x v="1"/>
    <x v="0"/>
    <n v="49"/>
    <n v="56"/>
    <n v="16128.2"/>
    <n v="72.44"/>
    <n v="59.71"/>
    <n v="12.729999999999997"/>
    <x v="0"/>
    <n v="3"/>
    <x v="0"/>
    <x v="0"/>
    <s v="Yes"/>
  </r>
  <r>
    <s v="TRX-10779"/>
    <x v="28"/>
    <s v="Taylor"/>
    <x v="1"/>
    <x v="3"/>
    <x v="1"/>
    <x v="0"/>
    <x v="1"/>
    <n v="53"/>
    <n v="80"/>
    <n v="39672.46"/>
    <n v="321.52999999999997"/>
    <n v="277.12"/>
    <n v="44.409999999999968"/>
    <x v="1"/>
    <n v="4"/>
    <x v="0"/>
    <x v="2"/>
    <s v="No"/>
  </r>
  <r>
    <s v="TRX-10780"/>
    <x v="167"/>
    <s v="Alex"/>
    <x v="4"/>
    <x v="4"/>
    <x v="0"/>
    <x v="0"/>
    <x v="0"/>
    <n v="63"/>
    <n v="41"/>
    <n v="34187.75"/>
    <n v="413.05"/>
    <n v="45.96"/>
    <n v="367.09000000000003"/>
    <x v="0"/>
    <n v="5"/>
    <x v="0"/>
    <x v="0"/>
    <s v="Yes"/>
  </r>
  <r>
    <s v="TRX-10781"/>
    <x v="37"/>
    <s v="Taylor"/>
    <x v="5"/>
    <x v="3"/>
    <x v="1"/>
    <x v="2"/>
    <x v="3"/>
    <n v="73"/>
    <n v="32"/>
    <n v="15328.04"/>
    <n v="120.61"/>
    <n v="149.9"/>
    <n v="-29.290000000000006"/>
    <x v="0"/>
    <n v="3"/>
    <x v="0"/>
    <x v="0"/>
    <s v="No"/>
  </r>
  <r>
    <s v="TRX-10782"/>
    <x v="214"/>
    <s v="Drew"/>
    <x v="13"/>
    <x v="3"/>
    <x v="0"/>
    <x v="2"/>
    <x v="0"/>
    <n v="35"/>
    <n v="15"/>
    <n v="23158.32"/>
    <n v="56.76"/>
    <n v="126.11"/>
    <n v="-69.349999999999994"/>
    <x v="0"/>
    <n v="5"/>
    <x v="0"/>
    <x v="0"/>
    <s v="Yes"/>
  </r>
  <r>
    <s v="TRX-10783"/>
    <x v="144"/>
    <s v="Morgan"/>
    <x v="11"/>
    <x v="0"/>
    <x v="0"/>
    <x v="0"/>
    <x v="3"/>
    <n v="22"/>
    <n v="62"/>
    <n v="5230.18"/>
    <n v="190.72"/>
    <n v="149.91999999999999"/>
    <n v="40.800000000000011"/>
    <x v="0"/>
    <n v="2"/>
    <x v="0"/>
    <x v="1"/>
    <s v="Yes"/>
  </r>
  <r>
    <s v="TRX-10784"/>
    <x v="322"/>
    <s v="Jordan"/>
    <x v="1"/>
    <x v="2"/>
    <x v="1"/>
    <x v="4"/>
    <x v="0"/>
    <n v="72"/>
    <n v="27"/>
    <n v="44958.25"/>
    <n v="314.66000000000003"/>
    <n v="87.47"/>
    <n v="227.19000000000003"/>
    <x v="1"/>
    <n v="2"/>
    <x v="1"/>
    <x v="2"/>
    <s v="Yes"/>
  </r>
  <r>
    <s v="TRX-10785"/>
    <x v="184"/>
    <s v="Alex"/>
    <x v="10"/>
    <x v="3"/>
    <x v="2"/>
    <x v="2"/>
    <x v="2"/>
    <n v="59"/>
    <n v="28"/>
    <n v="46803.53"/>
    <n v="112.23"/>
    <n v="186.53"/>
    <n v="-74.3"/>
    <x v="1"/>
    <n v="3"/>
    <x v="1"/>
    <x v="2"/>
    <s v="Yes"/>
  </r>
  <r>
    <s v="TRX-10786"/>
    <x v="114"/>
    <s v="Jamie"/>
    <x v="9"/>
    <x v="0"/>
    <x v="0"/>
    <x v="4"/>
    <x v="1"/>
    <n v="73"/>
    <n v="81"/>
    <n v="49000.28"/>
    <n v="241.76"/>
    <n v="189.74"/>
    <n v="52.019999999999982"/>
    <x v="1"/>
    <n v="5"/>
    <x v="0"/>
    <x v="2"/>
    <s v="Yes"/>
  </r>
  <r>
    <s v="TRX-10787"/>
    <x v="207"/>
    <s v="Drew"/>
    <x v="14"/>
    <x v="2"/>
    <x v="3"/>
    <x v="0"/>
    <x v="1"/>
    <n v="64"/>
    <n v="64"/>
    <n v="43493.37"/>
    <n v="298.54000000000002"/>
    <n v="86.49"/>
    <n v="212.05"/>
    <x v="1"/>
    <n v="2"/>
    <x v="1"/>
    <x v="2"/>
    <s v="Yes"/>
  </r>
  <r>
    <s v="TRX-10788"/>
    <x v="132"/>
    <s v="Drew"/>
    <x v="14"/>
    <x v="3"/>
    <x v="2"/>
    <x v="2"/>
    <x v="2"/>
    <n v="74"/>
    <n v="110"/>
    <n v="9111.06"/>
    <n v="319.5"/>
    <n v="127.69"/>
    <n v="191.81"/>
    <x v="0"/>
    <n v="3"/>
    <x v="0"/>
    <x v="1"/>
    <s v="No"/>
  </r>
  <r>
    <s v="TRX-10789"/>
    <x v="114"/>
    <s v="Jamie"/>
    <x v="7"/>
    <x v="3"/>
    <x v="1"/>
    <x v="1"/>
    <x v="2"/>
    <n v="38"/>
    <n v="59"/>
    <n v="2786.73"/>
    <n v="173.49"/>
    <n v="57.36"/>
    <n v="116.13000000000001"/>
    <x v="0"/>
    <n v="5"/>
    <x v="0"/>
    <x v="1"/>
    <s v="No"/>
  </r>
  <r>
    <s v="TRX-10790"/>
    <x v="276"/>
    <s v="Sam"/>
    <x v="5"/>
    <x v="4"/>
    <x v="2"/>
    <x v="0"/>
    <x v="1"/>
    <n v="23"/>
    <n v="114"/>
    <n v="29190.04"/>
    <n v="230.01"/>
    <n v="88.1"/>
    <n v="141.91"/>
    <x v="0"/>
    <n v="3"/>
    <x v="1"/>
    <x v="0"/>
    <s v="No"/>
  </r>
  <r>
    <s v="TRX-10791"/>
    <x v="117"/>
    <s v="Drew"/>
    <x v="4"/>
    <x v="4"/>
    <x v="4"/>
    <x v="3"/>
    <x v="2"/>
    <n v="27"/>
    <n v="58"/>
    <n v="45673.95"/>
    <n v="400.25"/>
    <n v="79.92"/>
    <n v="320.33"/>
    <x v="1"/>
    <n v="5"/>
    <x v="0"/>
    <x v="2"/>
    <s v="Yes"/>
  </r>
  <r>
    <s v="TRX-10792"/>
    <x v="49"/>
    <s v="Casey"/>
    <x v="4"/>
    <x v="2"/>
    <x v="4"/>
    <x v="4"/>
    <x v="3"/>
    <n v="63"/>
    <n v="2"/>
    <n v="9278.89"/>
    <n v="473.55"/>
    <n v="170.49"/>
    <n v="303.06"/>
    <x v="0"/>
    <n v="2"/>
    <x v="0"/>
    <x v="1"/>
    <s v="No"/>
  </r>
  <r>
    <s v="TRX-10793"/>
    <x v="213"/>
    <s v="Morgan"/>
    <x v="0"/>
    <x v="3"/>
    <x v="0"/>
    <x v="0"/>
    <x v="0"/>
    <n v="38"/>
    <n v="36"/>
    <n v="848.62"/>
    <n v="437.85"/>
    <n v="100.06"/>
    <n v="337.79"/>
    <x v="0"/>
    <n v="3"/>
    <x v="0"/>
    <x v="1"/>
    <s v="Yes"/>
  </r>
  <r>
    <s v="TRX-10794"/>
    <x v="134"/>
    <s v="Alex"/>
    <x v="8"/>
    <x v="1"/>
    <x v="0"/>
    <x v="0"/>
    <x v="1"/>
    <n v="64"/>
    <n v="114"/>
    <n v="40372.050000000003"/>
    <n v="303.93"/>
    <n v="203.67"/>
    <n v="100.26000000000002"/>
    <x v="1"/>
    <n v="2"/>
    <x v="1"/>
    <x v="2"/>
    <s v="Yes"/>
  </r>
  <r>
    <s v="TRX-10795"/>
    <x v="323"/>
    <s v="Jamie"/>
    <x v="3"/>
    <x v="4"/>
    <x v="3"/>
    <x v="2"/>
    <x v="2"/>
    <n v="58"/>
    <n v="71"/>
    <n v="4301.3900000000003"/>
    <n v="234.63"/>
    <n v="78.39"/>
    <n v="156.24"/>
    <x v="0"/>
    <n v="3"/>
    <x v="0"/>
    <x v="1"/>
    <s v="No"/>
  </r>
  <r>
    <s v="TRX-10796"/>
    <x v="128"/>
    <s v="Casey"/>
    <x v="10"/>
    <x v="2"/>
    <x v="2"/>
    <x v="2"/>
    <x v="3"/>
    <n v="57"/>
    <n v="13"/>
    <n v="20978.45"/>
    <n v="199.83"/>
    <n v="52.72"/>
    <n v="147.11000000000001"/>
    <x v="0"/>
    <n v="1"/>
    <x v="1"/>
    <x v="0"/>
    <s v="No"/>
  </r>
  <r>
    <s v="TRX-10797"/>
    <x v="225"/>
    <s v="Jamie"/>
    <x v="4"/>
    <x v="3"/>
    <x v="4"/>
    <x v="2"/>
    <x v="1"/>
    <n v="53"/>
    <n v="15"/>
    <n v="34104.92"/>
    <n v="106.23"/>
    <n v="286.39999999999998"/>
    <n v="-180.16999999999996"/>
    <x v="0"/>
    <n v="2"/>
    <x v="1"/>
    <x v="0"/>
    <s v="No"/>
  </r>
  <r>
    <s v="TRX-10798"/>
    <x v="315"/>
    <s v="Alex"/>
    <x v="7"/>
    <x v="3"/>
    <x v="0"/>
    <x v="3"/>
    <x v="2"/>
    <n v="64"/>
    <n v="89"/>
    <n v="12221.48"/>
    <n v="97.95"/>
    <n v="120.72"/>
    <n v="-22.769999999999996"/>
    <x v="0"/>
    <n v="2"/>
    <x v="0"/>
    <x v="1"/>
    <s v="Yes"/>
  </r>
  <r>
    <s v="TRX-10799"/>
    <x v="229"/>
    <s v="Taylor"/>
    <x v="9"/>
    <x v="1"/>
    <x v="2"/>
    <x v="2"/>
    <x v="1"/>
    <n v="51"/>
    <n v="87"/>
    <n v="4656.1499999999996"/>
    <n v="359.76"/>
    <n v="280.18"/>
    <n v="79.579999999999984"/>
    <x v="0"/>
    <n v="4"/>
    <x v="0"/>
    <x v="1"/>
    <s v="No"/>
  </r>
  <r>
    <s v="TRX-10800"/>
    <x v="257"/>
    <s v="Alex"/>
    <x v="5"/>
    <x v="2"/>
    <x v="0"/>
    <x v="0"/>
    <x v="2"/>
    <n v="31"/>
    <n v="60"/>
    <n v="38616.050000000003"/>
    <n v="166.91"/>
    <n v="40.68"/>
    <n v="126.22999999999999"/>
    <x v="1"/>
    <n v="2"/>
    <x v="1"/>
    <x v="2"/>
    <s v="Yes"/>
  </r>
  <r>
    <s v="TRX-10801"/>
    <x v="103"/>
    <s v="Sam"/>
    <x v="11"/>
    <x v="3"/>
    <x v="0"/>
    <x v="2"/>
    <x v="1"/>
    <n v="24"/>
    <n v="22"/>
    <n v="31693.67"/>
    <n v="164.6"/>
    <n v="44.07"/>
    <n v="120.53"/>
    <x v="0"/>
    <n v="5"/>
    <x v="0"/>
    <x v="0"/>
    <s v="Yes"/>
  </r>
  <r>
    <s v="TRX-10802"/>
    <x v="162"/>
    <s v="Alex"/>
    <x v="0"/>
    <x v="4"/>
    <x v="4"/>
    <x v="1"/>
    <x v="3"/>
    <n v="38"/>
    <n v="63"/>
    <n v="49430.28"/>
    <n v="499.19"/>
    <n v="171.16"/>
    <n v="328.03"/>
    <x v="1"/>
    <n v="3"/>
    <x v="1"/>
    <x v="2"/>
    <s v="Yes"/>
  </r>
  <r>
    <s v="TRX-10803"/>
    <x v="34"/>
    <s v="Alex"/>
    <x v="7"/>
    <x v="1"/>
    <x v="4"/>
    <x v="2"/>
    <x v="3"/>
    <n v="24"/>
    <n v="90"/>
    <n v="17543.25"/>
    <n v="134.57"/>
    <n v="136.18"/>
    <n v="-1.6100000000000136"/>
    <x v="0"/>
    <n v="1"/>
    <x v="0"/>
    <x v="0"/>
    <s v="No"/>
  </r>
  <r>
    <s v="TRX-10804"/>
    <x v="226"/>
    <s v="Sam"/>
    <x v="12"/>
    <x v="2"/>
    <x v="0"/>
    <x v="3"/>
    <x v="0"/>
    <n v="69"/>
    <n v="97"/>
    <n v="3557.24"/>
    <n v="116.63"/>
    <n v="37.32"/>
    <n v="79.31"/>
    <x v="0"/>
    <n v="5"/>
    <x v="0"/>
    <x v="1"/>
    <s v="Yes"/>
  </r>
  <r>
    <s v="TRX-10805"/>
    <x v="288"/>
    <s v="Morgan"/>
    <x v="2"/>
    <x v="1"/>
    <x v="1"/>
    <x v="1"/>
    <x v="1"/>
    <n v="54"/>
    <n v="75"/>
    <n v="36850.33"/>
    <n v="94.41"/>
    <n v="80.8"/>
    <n v="13.61"/>
    <x v="1"/>
    <n v="5"/>
    <x v="0"/>
    <x v="2"/>
    <s v="No"/>
  </r>
  <r>
    <s v="TRX-10806"/>
    <x v="205"/>
    <s v="Drew"/>
    <x v="11"/>
    <x v="4"/>
    <x v="0"/>
    <x v="0"/>
    <x v="0"/>
    <n v="49"/>
    <n v="74"/>
    <n v="26325.8"/>
    <n v="310.91000000000003"/>
    <n v="160.13"/>
    <n v="150.78000000000003"/>
    <x v="0"/>
    <n v="5"/>
    <x v="0"/>
    <x v="0"/>
    <s v="Yes"/>
  </r>
  <r>
    <s v="TRX-10807"/>
    <x v="26"/>
    <s v="Alex"/>
    <x v="8"/>
    <x v="2"/>
    <x v="0"/>
    <x v="0"/>
    <x v="1"/>
    <n v="44"/>
    <n v="25"/>
    <n v="11053.59"/>
    <n v="332.54"/>
    <n v="136.16"/>
    <n v="196.38000000000002"/>
    <x v="0"/>
    <n v="5"/>
    <x v="0"/>
    <x v="1"/>
    <s v="Yes"/>
  </r>
  <r>
    <s v="TRX-10808"/>
    <x v="185"/>
    <s v="Sam"/>
    <x v="12"/>
    <x v="1"/>
    <x v="3"/>
    <x v="4"/>
    <x v="2"/>
    <n v="42"/>
    <n v="101"/>
    <n v="39195.58"/>
    <n v="214.35"/>
    <n v="134.11000000000001"/>
    <n v="80.239999999999981"/>
    <x v="1"/>
    <n v="1"/>
    <x v="1"/>
    <x v="2"/>
    <s v="No"/>
  </r>
  <r>
    <s v="TRX-10809"/>
    <x v="262"/>
    <s v="Casey"/>
    <x v="13"/>
    <x v="0"/>
    <x v="3"/>
    <x v="1"/>
    <x v="2"/>
    <n v="22"/>
    <n v="48"/>
    <n v="10585.9"/>
    <n v="290.94"/>
    <n v="63.67"/>
    <n v="227.26999999999998"/>
    <x v="0"/>
    <n v="4"/>
    <x v="0"/>
    <x v="1"/>
    <s v="No"/>
  </r>
  <r>
    <s v="TRX-10810"/>
    <x v="1"/>
    <s v="Taylor"/>
    <x v="8"/>
    <x v="4"/>
    <x v="3"/>
    <x v="4"/>
    <x v="0"/>
    <n v="64"/>
    <n v="43"/>
    <n v="13402.75"/>
    <n v="404.78"/>
    <n v="76.25"/>
    <n v="328.53"/>
    <x v="0"/>
    <n v="2"/>
    <x v="0"/>
    <x v="1"/>
    <s v="No"/>
  </r>
  <r>
    <s v="TRX-10811"/>
    <x v="38"/>
    <s v="Taylor"/>
    <x v="14"/>
    <x v="4"/>
    <x v="1"/>
    <x v="1"/>
    <x v="1"/>
    <n v="26"/>
    <n v="117"/>
    <n v="5080.16"/>
    <n v="418.15"/>
    <n v="297.20999999999998"/>
    <n v="120.94"/>
    <x v="0"/>
    <n v="5"/>
    <x v="0"/>
    <x v="1"/>
    <s v="No"/>
  </r>
  <r>
    <s v="TRX-10812"/>
    <x v="138"/>
    <s v="Alex"/>
    <x v="2"/>
    <x v="4"/>
    <x v="1"/>
    <x v="1"/>
    <x v="0"/>
    <n v="62"/>
    <n v="38"/>
    <n v="20271.900000000001"/>
    <n v="481.06"/>
    <n v="49.52"/>
    <n v="431.54"/>
    <x v="0"/>
    <n v="2"/>
    <x v="1"/>
    <x v="0"/>
    <s v="No"/>
  </r>
  <r>
    <s v="TRX-10813"/>
    <x v="239"/>
    <s v="Morgan"/>
    <x v="10"/>
    <x v="0"/>
    <x v="0"/>
    <x v="3"/>
    <x v="3"/>
    <n v="45"/>
    <n v="41"/>
    <n v="21237"/>
    <n v="420.92"/>
    <n v="101.29"/>
    <n v="319.63"/>
    <x v="0"/>
    <n v="2"/>
    <x v="1"/>
    <x v="0"/>
    <s v="Yes"/>
  </r>
  <r>
    <s v="TRX-10814"/>
    <x v="324"/>
    <s v="Morgan"/>
    <x v="9"/>
    <x v="0"/>
    <x v="3"/>
    <x v="4"/>
    <x v="0"/>
    <n v="41"/>
    <n v="45"/>
    <n v="25970.81"/>
    <n v="304.18"/>
    <n v="168.88"/>
    <n v="135.30000000000001"/>
    <x v="0"/>
    <n v="5"/>
    <x v="0"/>
    <x v="0"/>
    <s v="No"/>
  </r>
  <r>
    <s v="TRX-10815"/>
    <x v="185"/>
    <s v="Casey"/>
    <x v="2"/>
    <x v="3"/>
    <x v="1"/>
    <x v="3"/>
    <x v="0"/>
    <n v="36"/>
    <n v="88"/>
    <n v="35593.730000000003"/>
    <n v="130.85"/>
    <n v="47.84"/>
    <n v="83.009999999999991"/>
    <x v="1"/>
    <n v="4"/>
    <x v="0"/>
    <x v="2"/>
    <s v="No"/>
  </r>
  <r>
    <s v="TRX-10816"/>
    <x v="1"/>
    <s v="Alex"/>
    <x v="8"/>
    <x v="1"/>
    <x v="4"/>
    <x v="1"/>
    <x v="2"/>
    <n v="51"/>
    <n v="40"/>
    <n v="45352"/>
    <n v="94.89"/>
    <n v="83.04"/>
    <n v="11.849999999999994"/>
    <x v="1"/>
    <n v="2"/>
    <x v="1"/>
    <x v="2"/>
    <s v="Yes"/>
  </r>
  <r>
    <s v="TRX-10817"/>
    <x v="229"/>
    <s v="Taylor"/>
    <x v="3"/>
    <x v="3"/>
    <x v="0"/>
    <x v="0"/>
    <x v="0"/>
    <n v="34"/>
    <n v="110"/>
    <n v="7317.84"/>
    <n v="74.53"/>
    <n v="123.02"/>
    <n v="-48.489999999999995"/>
    <x v="0"/>
    <n v="3"/>
    <x v="0"/>
    <x v="1"/>
    <s v="Yes"/>
  </r>
  <r>
    <s v="TRX-10818"/>
    <x v="282"/>
    <s v="Morgan"/>
    <x v="12"/>
    <x v="1"/>
    <x v="2"/>
    <x v="1"/>
    <x v="1"/>
    <n v="59"/>
    <n v="97"/>
    <n v="3190.23"/>
    <n v="349.94"/>
    <n v="144.36000000000001"/>
    <n v="205.57999999999998"/>
    <x v="0"/>
    <n v="2"/>
    <x v="0"/>
    <x v="1"/>
    <s v="No"/>
  </r>
  <r>
    <s v="TRX-10819"/>
    <x v="229"/>
    <s v="Alex"/>
    <x v="10"/>
    <x v="0"/>
    <x v="0"/>
    <x v="3"/>
    <x v="2"/>
    <n v="48"/>
    <n v="17"/>
    <n v="1417.3"/>
    <n v="413.39"/>
    <n v="91.9"/>
    <n v="321.49"/>
    <x v="0"/>
    <n v="5"/>
    <x v="0"/>
    <x v="1"/>
    <s v="Yes"/>
  </r>
  <r>
    <s v="TRX-10820"/>
    <x v="309"/>
    <s v="Jamie"/>
    <x v="6"/>
    <x v="0"/>
    <x v="2"/>
    <x v="4"/>
    <x v="0"/>
    <n v="52"/>
    <n v="88"/>
    <n v="7609.26"/>
    <n v="278.91000000000003"/>
    <n v="72.5"/>
    <n v="206.41000000000003"/>
    <x v="0"/>
    <n v="1"/>
    <x v="0"/>
    <x v="1"/>
    <s v="No"/>
  </r>
  <r>
    <s v="TRX-10821"/>
    <x v="294"/>
    <s v="Morgan"/>
    <x v="3"/>
    <x v="3"/>
    <x v="3"/>
    <x v="4"/>
    <x v="3"/>
    <n v="48"/>
    <n v="101"/>
    <n v="33068.5"/>
    <n v="74.62"/>
    <n v="117.33"/>
    <n v="-42.709999999999994"/>
    <x v="0"/>
    <n v="2"/>
    <x v="1"/>
    <x v="0"/>
    <s v="No"/>
  </r>
  <r>
    <s v="TRX-10822"/>
    <x v="215"/>
    <s v="Sam"/>
    <x v="14"/>
    <x v="2"/>
    <x v="2"/>
    <x v="3"/>
    <x v="0"/>
    <n v="71"/>
    <n v="57"/>
    <n v="36510.120000000003"/>
    <n v="290.95999999999998"/>
    <n v="124.87"/>
    <n v="166.08999999999997"/>
    <x v="1"/>
    <n v="4"/>
    <x v="0"/>
    <x v="2"/>
    <s v="No"/>
  </r>
  <r>
    <s v="TRX-10823"/>
    <x v="325"/>
    <s v="Jamie"/>
    <x v="3"/>
    <x v="3"/>
    <x v="3"/>
    <x v="4"/>
    <x v="0"/>
    <n v="69"/>
    <n v="2"/>
    <n v="39432.03"/>
    <n v="471.09"/>
    <n v="130.66"/>
    <n v="340.42999999999995"/>
    <x v="1"/>
    <n v="3"/>
    <x v="1"/>
    <x v="2"/>
    <s v="No"/>
  </r>
  <r>
    <s v="TRX-10824"/>
    <x v="326"/>
    <s v="Drew"/>
    <x v="0"/>
    <x v="1"/>
    <x v="4"/>
    <x v="2"/>
    <x v="0"/>
    <n v="29"/>
    <n v="96"/>
    <n v="12563.56"/>
    <n v="318.93"/>
    <n v="14.07"/>
    <n v="304.86"/>
    <x v="0"/>
    <n v="3"/>
    <x v="0"/>
    <x v="1"/>
    <s v="No"/>
  </r>
  <r>
    <s v="TRX-10825"/>
    <x v="58"/>
    <s v="Morgan"/>
    <x v="0"/>
    <x v="3"/>
    <x v="2"/>
    <x v="0"/>
    <x v="2"/>
    <n v="65"/>
    <n v="62"/>
    <n v="15641.79"/>
    <n v="414.24"/>
    <n v="126.21"/>
    <n v="288.03000000000003"/>
    <x v="0"/>
    <n v="1"/>
    <x v="0"/>
    <x v="0"/>
    <s v="No"/>
  </r>
  <r>
    <s v="TRX-10826"/>
    <x v="128"/>
    <s v="Taylor"/>
    <x v="13"/>
    <x v="4"/>
    <x v="0"/>
    <x v="0"/>
    <x v="1"/>
    <n v="42"/>
    <n v="88"/>
    <n v="24415.16"/>
    <n v="410.07"/>
    <n v="285.98"/>
    <n v="124.08999999999997"/>
    <x v="0"/>
    <n v="1"/>
    <x v="1"/>
    <x v="0"/>
    <s v="Yes"/>
  </r>
  <r>
    <s v="TRX-10827"/>
    <x v="240"/>
    <s v="Jordan"/>
    <x v="8"/>
    <x v="1"/>
    <x v="3"/>
    <x v="0"/>
    <x v="3"/>
    <n v="52"/>
    <n v="9"/>
    <n v="3627.56"/>
    <n v="469.46"/>
    <n v="108.2"/>
    <n v="361.26"/>
    <x v="0"/>
    <n v="2"/>
    <x v="0"/>
    <x v="1"/>
    <s v="No"/>
  </r>
  <r>
    <s v="TRX-10828"/>
    <x v="126"/>
    <s v="Jamie"/>
    <x v="5"/>
    <x v="1"/>
    <x v="0"/>
    <x v="4"/>
    <x v="0"/>
    <n v="25"/>
    <n v="68"/>
    <n v="30751.51"/>
    <n v="396.6"/>
    <n v="143.05000000000001"/>
    <n v="253.55"/>
    <x v="0"/>
    <n v="5"/>
    <x v="0"/>
    <x v="0"/>
    <s v="Yes"/>
  </r>
  <r>
    <s v="TRX-10829"/>
    <x v="173"/>
    <s v="Drew"/>
    <x v="11"/>
    <x v="2"/>
    <x v="1"/>
    <x v="4"/>
    <x v="1"/>
    <n v="43"/>
    <n v="81"/>
    <n v="49194.879999999997"/>
    <n v="386.47"/>
    <n v="167.02"/>
    <n v="219.45000000000002"/>
    <x v="1"/>
    <n v="4"/>
    <x v="0"/>
    <x v="2"/>
    <s v="Yes"/>
  </r>
  <r>
    <s v="TRX-10830"/>
    <x v="327"/>
    <s v="Casey"/>
    <x v="11"/>
    <x v="0"/>
    <x v="3"/>
    <x v="1"/>
    <x v="1"/>
    <n v="25"/>
    <n v="17"/>
    <n v="18359.91"/>
    <n v="155.35"/>
    <n v="256.42"/>
    <n v="-101.07000000000002"/>
    <x v="0"/>
    <n v="3"/>
    <x v="0"/>
    <x v="0"/>
    <s v="No"/>
  </r>
  <r>
    <s v="TRX-10831"/>
    <x v="33"/>
    <s v="Casey"/>
    <x v="6"/>
    <x v="1"/>
    <x v="2"/>
    <x v="1"/>
    <x v="2"/>
    <n v="62"/>
    <n v="117"/>
    <n v="37765.949999999997"/>
    <n v="76.97"/>
    <n v="185.92"/>
    <n v="-108.94999999999999"/>
    <x v="1"/>
    <n v="1"/>
    <x v="1"/>
    <x v="2"/>
    <s v="No"/>
  </r>
  <r>
    <s v="TRX-10832"/>
    <x v="328"/>
    <s v="Taylor"/>
    <x v="6"/>
    <x v="0"/>
    <x v="3"/>
    <x v="0"/>
    <x v="3"/>
    <n v="73"/>
    <n v="50"/>
    <n v="25251.68"/>
    <n v="282.92"/>
    <n v="36.840000000000003"/>
    <n v="246.08"/>
    <x v="0"/>
    <n v="4"/>
    <x v="0"/>
    <x v="0"/>
    <s v="No"/>
  </r>
  <r>
    <s v="TRX-10833"/>
    <x v="314"/>
    <s v="Morgan"/>
    <x v="10"/>
    <x v="3"/>
    <x v="0"/>
    <x v="2"/>
    <x v="2"/>
    <n v="52"/>
    <n v="112"/>
    <n v="6826.69"/>
    <n v="106"/>
    <n v="87.37"/>
    <n v="18.629999999999995"/>
    <x v="0"/>
    <n v="5"/>
    <x v="0"/>
    <x v="1"/>
    <s v="Yes"/>
  </r>
  <r>
    <s v="TRX-10834"/>
    <x v="325"/>
    <s v="Alex"/>
    <x v="14"/>
    <x v="4"/>
    <x v="4"/>
    <x v="1"/>
    <x v="1"/>
    <n v="30"/>
    <n v="94"/>
    <n v="29320.75"/>
    <n v="482.99"/>
    <n v="117.72"/>
    <n v="365.27"/>
    <x v="0"/>
    <n v="3"/>
    <x v="1"/>
    <x v="0"/>
    <s v="No"/>
  </r>
  <r>
    <s v="TRX-10835"/>
    <x v="14"/>
    <s v="Morgan"/>
    <x v="4"/>
    <x v="2"/>
    <x v="3"/>
    <x v="1"/>
    <x v="1"/>
    <n v="59"/>
    <n v="40"/>
    <n v="15343.78"/>
    <n v="180.47"/>
    <n v="121.56"/>
    <n v="58.91"/>
    <x v="0"/>
    <n v="3"/>
    <x v="0"/>
    <x v="0"/>
    <s v="No"/>
  </r>
  <r>
    <s v="TRX-10836"/>
    <x v="246"/>
    <s v="Taylor"/>
    <x v="13"/>
    <x v="0"/>
    <x v="2"/>
    <x v="4"/>
    <x v="1"/>
    <n v="35"/>
    <n v="58"/>
    <n v="2202.96"/>
    <n v="433.82"/>
    <n v="37.65"/>
    <n v="396.17"/>
    <x v="0"/>
    <n v="5"/>
    <x v="0"/>
    <x v="1"/>
    <s v="No"/>
  </r>
  <r>
    <s v="TRX-10837"/>
    <x v="217"/>
    <s v="Casey"/>
    <x v="0"/>
    <x v="1"/>
    <x v="1"/>
    <x v="2"/>
    <x v="2"/>
    <n v="27"/>
    <n v="75"/>
    <n v="31929.02"/>
    <n v="224.43"/>
    <n v="162.72"/>
    <n v="61.710000000000008"/>
    <x v="0"/>
    <n v="3"/>
    <x v="1"/>
    <x v="0"/>
    <s v="No"/>
  </r>
  <r>
    <s v="TRX-10838"/>
    <x v="299"/>
    <s v="Morgan"/>
    <x v="10"/>
    <x v="0"/>
    <x v="4"/>
    <x v="0"/>
    <x v="3"/>
    <n v="49"/>
    <n v="85"/>
    <n v="43017.15"/>
    <n v="195.44"/>
    <n v="7.15"/>
    <n v="188.29"/>
    <x v="1"/>
    <n v="5"/>
    <x v="0"/>
    <x v="2"/>
    <s v="Yes"/>
  </r>
  <r>
    <s v="TRX-10839"/>
    <x v="265"/>
    <s v="Casey"/>
    <x v="4"/>
    <x v="1"/>
    <x v="1"/>
    <x v="1"/>
    <x v="0"/>
    <n v="67"/>
    <n v="21"/>
    <n v="17566.099999999999"/>
    <n v="470.82"/>
    <n v="105.65"/>
    <n v="365.16999999999996"/>
    <x v="0"/>
    <n v="3"/>
    <x v="0"/>
    <x v="0"/>
    <s v="No"/>
  </r>
  <r>
    <s v="TRX-10840"/>
    <x v="329"/>
    <s v="Jamie"/>
    <x v="11"/>
    <x v="0"/>
    <x v="3"/>
    <x v="2"/>
    <x v="2"/>
    <n v="23"/>
    <n v="18"/>
    <n v="19819.63"/>
    <n v="213.5"/>
    <n v="132.38"/>
    <n v="81.12"/>
    <x v="0"/>
    <n v="2"/>
    <x v="0"/>
    <x v="0"/>
    <s v="No"/>
  </r>
  <r>
    <s v="TRX-10841"/>
    <x v="107"/>
    <s v="Drew"/>
    <x v="5"/>
    <x v="1"/>
    <x v="0"/>
    <x v="2"/>
    <x v="1"/>
    <n v="39"/>
    <n v="55"/>
    <n v="44605.57"/>
    <n v="225.63"/>
    <n v="62.24"/>
    <n v="163.38999999999999"/>
    <x v="1"/>
    <n v="5"/>
    <x v="0"/>
    <x v="2"/>
    <s v="Yes"/>
  </r>
  <r>
    <s v="TRX-10842"/>
    <x v="136"/>
    <s v="Alex"/>
    <x v="3"/>
    <x v="3"/>
    <x v="0"/>
    <x v="0"/>
    <x v="2"/>
    <n v="30"/>
    <n v="29"/>
    <n v="40773.64"/>
    <n v="97.74"/>
    <n v="181.17"/>
    <n v="-83.429999999999993"/>
    <x v="1"/>
    <n v="4"/>
    <x v="0"/>
    <x v="2"/>
    <s v="Yes"/>
  </r>
  <r>
    <s v="TRX-10843"/>
    <x v="116"/>
    <s v="Jamie"/>
    <x v="0"/>
    <x v="1"/>
    <x v="2"/>
    <x v="2"/>
    <x v="1"/>
    <n v="48"/>
    <n v="24"/>
    <n v="35890.160000000003"/>
    <n v="351.7"/>
    <n v="251.56"/>
    <n v="100.13999999999999"/>
    <x v="1"/>
    <n v="2"/>
    <x v="1"/>
    <x v="2"/>
    <s v="No"/>
  </r>
  <r>
    <s v="TRX-10844"/>
    <x v="330"/>
    <s v="Casey"/>
    <x v="10"/>
    <x v="1"/>
    <x v="0"/>
    <x v="2"/>
    <x v="0"/>
    <n v="49"/>
    <n v="74"/>
    <n v="12815.45"/>
    <n v="179.98"/>
    <n v="94.22"/>
    <n v="85.759999999999991"/>
    <x v="0"/>
    <n v="4"/>
    <x v="0"/>
    <x v="1"/>
    <s v="Yes"/>
  </r>
  <r>
    <s v="TRX-10845"/>
    <x v="152"/>
    <s v="Casey"/>
    <x v="2"/>
    <x v="4"/>
    <x v="4"/>
    <x v="2"/>
    <x v="0"/>
    <n v="35"/>
    <n v="109"/>
    <n v="45555.72"/>
    <n v="313.52"/>
    <n v="82.23"/>
    <n v="231.28999999999996"/>
    <x v="1"/>
    <n v="3"/>
    <x v="1"/>
    <x v="2"/>
    <s v="Yes"/>
  </r>
  <r>
    <s v="TRX-10846"/>
    <x v="118"/>
    <s v="Jordan"/>
    <x v="4"/>
    <x v="1"/>
    <x v="0"/>
    <x v="1"/>
    <x v="3"/>
    <n v="55"/>
    <n v="17"/>
    <n v="8143.58"/>
    <n v="316.11"/>
    <n v="47.31"/>
    <n v="268.8"/>
    <x v="0"/>
    <n v="4"/>
    <x v="0"/>
    <x v="1"/>
    <s v="Yes"/>
  </r>
  <r>
    <s v="TRX-10847"/>
    <x v="130"/>
    <s v="Jordan"/>
    <x v="3"/>
    <x v="4"/>
    <x v="2"/>
    <x v="0"/>
    <x v="1"/>
    <n v="26"/>
    <n v="18"/>
    <n v="31525.14"/>
    <n v="373.64"/>
    <n v="219"/>
    <n v="154.63999999999999"/>
    <x v="0"/>
    <n v="2"/>
    <x v="1"/>
    <x v="0"/>
    <s v="No"/>
  </r>
  <r>
    <s v="TRX-10848"/>
    <x v="35"/>
    <s v="Jamie"/>
    <x v="0"/>
    <x v="2"/>
    <x v="3"/>
    <x v="2"/>
    <x v="3"/>
    <n v="32"/>
    <n v="42"/>
    <n v="1925.66"/>
    <n v="385.36"/>
    <n v="26.35"/>
    <n v="359.01"/>
    <x v="0"/>
    <n v="5"/>
    <x v="0"/>
    <x v="1"/>
    <s v="No"/>
  </r>
  <r>
    <s v="TRX-10849"/>
    <x v="203"/>
    <s v="Sam"/>
    <x v="11"/>
    <x v="4"/>
    <x v="3"/>
    <x v="2"/>
    <x v="3"/>
    <n v="67"/>
    <n v="112"/>
    <n v="32364.13"/>
    <n v="281.5"/>
    <n v="136.05000000000001"/>
    <n v="145.44999999999999"/>
    <x v="0"/>
    <n v="1"/>
    <x v="1"/>
    <x v="0"/>
    <s v="No"/>
  </r>
  <r>
    <s v="TRX-10850"/>
    <x v="331"/>
    <s v="Jamie"/>
    <x v="7"/>
    <x v="3"/>
    <x v="0"/>
    <x v="1"/>
    <x v="0"/>
    <n v="58"/>
    <n v="84"/>
    <n v="14218.65"/>
    <n v="198.95"/>
    <n v="168.49"/>
    <n v="30.45999999999998"/>
    <x v="0"/>
    <n v="4"/>
    <x v="0"/>
    <x v="1"/>
    <s v="Yes"/>
  </r>
  <r>
    <s v="TRX-10851"/>
    <x v="332"/>
    <s v="Jordan"/>
    <x v="14"/>
    <x v="4"/>
    <x v="1"/>
    <x v="0"/>
    <x v="2"/>
    <n v="33"/>
    <n v="101"/>
    <n v="22759.01"/>
    <n v="426.85"/>
    <n v="45.69"/>
    <n v="381.16"/>
    <x v="0"/>
    <n v="1"/>
    <x v="1"/>
    <x v="0"/>
    <s v="No"/>
  </r>
  <r>
    <s v="TRX-10852"/>
    <x v="231"/>
    <s v="Casey"/>
    <x v="4"/>
    <x v="2"/>
    <x v="3"/>
    <x v="4"/>
    <x v="2"/>
    <n v="49"/>
    <n v="45"/>
    <n v="17590.599999999999"/>
    <n v="189.44"/>
    <n v="173.29"/>
    <n v="16.150000000000006"/>
    <x v="0"/>
    <n v="4"/>
    <x v="0"/>
    <x v="0"/>
    <s v="No"/>
  </r>
  <r>
    <s v="TRX-10853"/>
    <x v="28"/>
    <s v="Taylor"/>
    <x v="11"/>
    <x v="3"/>
    <x v="0"/>
    <x v="1"/>
    <x v="3"/>
    <n v="39"/>
    <n v="82"/>
    <n v="9051.4599999999991"/>
    <n v="278.38"/>
    <n v="6.66"/>
    <n v="271.71999999999997"/>
    <x v="0"/>
    <n v="4"/>
    <x v="0"/>
    <x v="1"/>
    <s v="Yes"/>
  </r>
  <r>
    <s v="TRX-10854"/>
    <x v="212"/>
    <s v="Jamie"/>
    <x v="0"/>
    <x v="0"/>
    <x v="2"/>
    <x v="0"/>
    <x v="0"/>
    <n v="23"/>
    <n v="17"/>
    <n v="31288.05"/>
    <n v="230.56"/>
    <n v="182.56"/>
    <n v="48"/>
    <x v="0"/>
    <n v="5"/>
    <x v="0"/>
    <x v="0"/>
    <s v="No"/>
  </r>
  <r>
    <s v="TRX-10855"/>
    <x v="25"/>
    <s v="Casey"/>
    <x v="4"/>
    <x v="0"/>
    <x v="0"/>
    <x v="2"/>
    <x v="1"/>
    <n v="28"/>
    <n v="73"/>
    <n v="44157.79"/>
    <n v="434.79"/>
    <n v="35.51"/>
    <n v="399.28000000000003"/>
    <x v="1"/>
    <n v="3"/>
    <x v="1"/>
    <x v="2"/>
    <s v="Yes"/>
  </r>
  <r>
    <s v="TRX-10856"/>
    <x v="330"/>
    <s v="Taylor"/>
    <x v="13"/>
    <x v="4"/>
    <x v="3"/>
    <x v="0"/>
    <x v="2"/>
    <n v="28"/>
    <n v="14"/>
    <n v="47974.67"/>
    <n v="244.36"/>
    <n v="129.15"/>
    <n v="115.21000000000001"/>
    <x v="1"/>
    <n v="2"/>
    <x v="1"/>
    <x v="2"/>
    <s v="Yes"/>
  </r>
  <r>
    <s v="TRX-10857"/>
    <x v="132"/>
    <s v="Taylor"/>
    <x v="3"/>
    <x v="4"/>
    <x v="2"/>
    <x v="0"/>
    <x v="3"/>
    <n v="40"/>
    <n v="49"/>
    <n v="10021.14"/>
    <n v="223.74"/>
    <n v="50.02"/>
    <n v="173.72"/>
    <x v="0"/>
    <n v="2"/>
    <x v="0"/>
    <x v="1"/>
    <s v="No"/>
  </r>
  <r>
    <s v="TRX-10858"/>
    <x v="333"/>
    <s v="Jordan"/>
    <x v="1"/>
    <x v="2"/>
    <x v="0"/>
    <x v="0"/>
    <x v="2"/>
    <n v="67"/>
    <n v="29"/>
    <n v="36009.949999999997"/>
    <n v="360.42"/>
    <n v="167.31"/>
    <n v="193.11"/>
    <x v="1"/>
    <n v="2"/>
    <x v="1"/>
    <x v="2"/>
    <s v="Yes"/>
  </r>
  <r>
    <s v="TRX-10859"/>
    <x v="334"/>
    <s v="Jamie"/>
    <x v="0"/>
    <x v="2"/>
    <x v="4"/>
    <x v="4"/>
    <x v="2"/>
    <n v="24"/>
    <n v="95"/>
    <n v="33384.800000000003"/>
    <n v="321.10000000000002"/>
    <n v="102.46"/>
    <n v="218.64000000000004"/>
    <x v="0"/>
    <n v="3"/>
    <x v="1"/>
    <x v="0"/>
    <s v="No"/>
  </r>
  <r>
    <s v="TRX-10860"/>
    <x v="94"/>
    <s v="Morgan"/>
    <x v="13"/>
    <x v="1"/>
    <x v="2"/>
    <x v="0"/>
    <x v="1"/>
    <n v="71"/>
    <n v="4"/>
    <n v="17497.2"/>
    <n v="98.26"/>
    <n v="40.58"/>
    <n v="57.680000000000007"/>
    <x v="0"/>
    <n v="1"/>
    <x v="0"/>
    <x v="0"/>
    <s v="No"/>
  </r>
  <r>
    <s v="TRX-10861"/>
    <x v="230"/>
    <s v="Alex"/>
    <x v="12"/>
    <x v="2"/>
    <x v="4"/>
    <x v="4"/>
    <x v="0"/>
    <n v="41"/>
    <n v="82"/>
    <n v="1445.41"/>
    <n v="278.68"/>
    <n v="114.2"/>
    <n v="164.48000000000002"/>
    <x v="0"/>
    <n v="2"/>
    <x v="0"/>
    <x v="1"/>
    <s v="No"/>
  </r>
  <r>
    <s v="TRX-10862"/>
    <x v="154"/>
    <s v="Jordan"/>
    <x v="10"/>
    <x v="1"/>
    <x v="1"/>
    <x v="2"/>
    <x v="1"/>
    <n v="23"/>
    <n v="20"/>
    <n v="34644.67"/>
    <n v="380.97"/>
    <n v="122.37"/>
    <n v="258.60000000000002"/>
    <x v="0"/>
    <n v="1"/>
    <x v="1"/>
    <x v="0"/>
    <s v="No"/>
  </r>
  <r>
    <s v="TRX-10863"/>
    <x v="154"/>
    <s v="Jordan"/>
    <x v="7"/>
    <x v="3"/>
    <x v="2"/>
    <x v="4"/>
    <x v="0"/>
    <n v="65"/>
    <n v="47"/>
    <n v="47302"/>
    <n v="496.43"/>
    <n v="132.29"/>
    <n v="364.14"/>
    <x v="1"/>
    <n v="3"/>
    <x v="1"/>
    <x v="2"/>
    <s v="Yes"/>
  </r>
  <r>
    <s v="TRX-10864"/>
    <x v="324"/>
    <s v="Morgan"/>
    <x v="6"/>
    <x v="4"/>
    <x v="4"/>
    <x v="2"/>
    <x v="2"/>
    <n v="28"/>
    <n v="107"/>
    <n v="31789.95"/>
    <n v="333.12"/>
    <n v="176.38"/>
    <n v="156.74"/>
    <x v="0"/>
    <n v="3"/>
    <x v="1"/>
    <x v="0"/>
    <s v="No"/>
  </r>
  <r>
    <s v="TRX-10865"/>
    <x v="78"/>
    <s v="Alex"/>
    <x v="3"/>
    <x v="3"/>
    <x v="3"/>
    <x v="2"/>
    <x v="3"/>
    <n v="43"/>
    <n v="108"/>
    <n v="22046.99"/>
    <n v="216.63"/>
    <n v="81.88"/>
    <n v="134.75"/>
    <x v="0"/>
    <n v="5"/>
    <x v="0"/>
    <x v="0"/>
    <s v="No"/>
  </r>
  <r>
    <s v="TRX-10866"/>
    <x v="160"/>
    <s v="Casey"/>
    <x v="4"/>
    <x v="2"/>
    <x v="3"/>
    <x v="4"/>
    <x v="1"/>
    <n v="36"/>
    <n v="9"/>
    <n v="26495.119999999999"/>
    <n v="151.77000000000001"/>
    <n v="86.97"/>
    <n v="64.800000000000011"/>
    <x v="0"/>
    <n v="2"/>
    <x v="1"/>
    <x v="0"/>
    <s v="No"/>
  </r>
  <r>
    <s v="TRX-10867"/>
    <x v="59"/>
    <s v="Sam"/>
    <x v="14"/>
    <x v="3"/>
    <x v="1"/>
    <x v="1"/>
    <x v="0"/>
    <n v="33"/>
    <n v="77"/>
    <n v="10381.629999999999"/>
    <n v="442.77"/>
    <n v="2.9"/>
    <n v="439.87"/>
    <x v="0"/>
    <n v="5"/>
    <x v="0"/>
    <x v="1"/>
    <s v="No"/>
  </r>
  <r>
    <s v="TRX-10868"/>
    <x v="92"/>
    <s v="Jamie"/>
    <x v="11"/>
    <x v="3"/>
    <x v="2"/>
    <x v="3"/>
    <x v="2"/>
    <n v="23"/>
    <n v="79"/>
    <n v="37651.94"/>
    <n v="416.55"/>
    <n v="114.97"/>
    <n v="301.58000000000004"/>
    <x v="1"/>
    <n v="2"/>
    <x v="1"/>
    <x v="2"/>
    <s v="No"/>
  </r>
  <r>
    <s v="TRX-10869"/>
    <x v="63"/>
    <s v="Sam"/>
    <x v="6"/>
    <x v="3"/>
    <x v="2"/>
    <x v="0"/>
    <x v="0"/>
    <n v="68"/>
    <n v="27"/>
    <n v="37447.78"/>
    <n v="155.27000000000001"/>
    <n v="80.45"/>
    <n v="74.820000000000007"/>
    <x v="1"/>
    <n v="3"/>
    <x v="1"/>
    <x v="2"/>
    <s v="No"/>
  </r>
  <r>
    <s v="TRX-10870"/>
    <x v="148"/>
    <s v="Casey"/>
    <x v="2"/>
    <x v="2"/>
    <x v="2"/>
    <x v="3"/>
    <x v="0"/>
    <n v="29"/>
    <n v="15"/>
    <n v="7703.11"/>
    <n v="140.28"/>
    <n v="74.930000000000007"/>
    <n v="65.349999999999994"/>
    <x v="0"/>
    <n v="3"/>
    <x v="0"/>
    <x v="1"/>
    <s v="No"/>
  </r>
  <r>
    <s v="TRX-10871"/>
    <x v="89"/>
    <s v="Drew"/>
    <x v="11"/>
    <x v="3"/>
    <x v="1"/>
    <x v="0"/>
    <x v="0"/>
    <n v="34"/>
    <n v="92"/>
    <n v="43959.93"/>
    <n v="371.81"/>
    <n v="36.590000000000003"/>
    <n v="335.22"/>
    <x v="1"/>
    <n v="4"/>
    <x v="0"/>
    <x v="2"/>
    <s v="Yes"/>
  </r>
  <r>
    <s v="TRX-10872"/>
    <x v="64"/>
    <s v="Jordan"/>
    <x v="4"/>
    <x v="1"/>
    <x v="2"/>
    <x v="0"/>
    <x v="2"/>
    <n v="33"/>
    <n v="101"/>
    <n v="13824.89"/>
    <n v="191.73"/>
    <n v="86.01"/>
    <n v="105.71999999999998"/>
    <x v="0"/>
    <n v="4"/>
    <x v="0"/>
    <x v="1"/>
    <s v="No"/>
  </r>
  <r>
    <s v="TRX-10873"/>
    <x v="19"/>
    <s v="Alex"/>
    <x v="7"/>
    <x v="2"/>
    <x v="3"/>
    <x v="2"/>
    <x v="3"/>
    <n v="73"/>
    <n v="119"/>
    <n v="49121.68"/>
    <n v="187.88"/>
    <n v="196.89"/>
    <n v="-9.0099999999999909"/>
    <x v="1"/>
    <n v="3"/>
    <x v="1"/>
    <x v="2"/>
    <s v="Yes"/>
  </r>
  <r>
    <s v="TRX-10874"/>
    <x v="296"/>
    <s v="Jordan"/>
    <x v="8"/>
    <x v="3"/>
    <x v="4"/>
    <x v="0"/>
    <x v="3"/>
    <n v="27"/>
    <n v="19"/>
    <n v="19453.7"/>
    <n v="118.53"/>
    <n v="59.55"/>
    <n v="58.980000000000004"/>
    <x v="0"/>
    <n v="3"/>
    <x v="0"/>
    <x v="0"/>
    <s v="No"/>
  </r>
  <r>
    <s v="TRX-10875"/>
    <x v="156"/>
    <s v="Taylor"/>
    <x v="11"/>
    <x v="2"/>
    <x v="3"/>
    <x v="0"/>
    <x v="3"/>
    <n v="35"/>
    <n v="90"/>
    <n v="9305.26"/>
    <n v="168.79"/>
    <n v="119.94"/>
    <n v="48.849999999999994"/>
    <x v="0"/>
    <n v="1"/>
    <x v="0"/>
    <x v="1"/>
    <s v="No"/>
  </r>
  <r>
    <s v="TRX-10876"/>
    <x v="293"/>
    <s v="Jordan"/>
    <x v="8"/>
    <x v="0"/>
    <x v="3"/>
    <x v="4"/>
    <x v="0"/>
    <n v="27"/>
    <n v="52"/>
    <n v="17910.150000000001"/>
    <n v="242.38"/>
    <n v="155.30000000000001"/>
    <n v="87.079999999999984"/>
    <x v="0"/>
    <n v="1"/>
    <x v="0"/>
    <x v="0"/>
    <s v="No"/>
  </r>
  <r>
    <s v="TRX-10877"/>
    <x v="76"/>
    <s v="Jordan"/>
    <x v="10"/>
    <x v="1"/>
    <x v="4"/>
    <x v="3"/>
    <x v="2"/>
    <n v="58"/>
    <n v="26"/>
    <n v="22288.93"/>
    <n v="379.78"/>
    <n v="149.83000000000001"/>
    <n v="229.94999999999996"/>
    <x v="0"/>
    <n v="5"/>
    <x v="0"/>
    <x v="0"/>
    <s v="No"/>
  </r>
  <r>
    <s v="TRX-10878"/>
    <x v="50"/>
    <s v="Casey"/>
    <x v="7"/>
    <x v="3"/>
    <x v="3"/>
    <x v="4"/>
    <x v="0"/>
    <n v="54"/>
    <n v="89"/>
    <n v="3930.73"/>
    <n v="201.34"/>
    <n v="65.75"/>
    <n v="135.59"/>
    <x v="0"/>
    <n v="4"/>
    <x v="0"/>
    <x v="1"/>
    <s v="No"/>
  </r>
  <r>
    <s v="TRX-10879"/>
    <x v="0"/>
    <s v="Casey"/>
    <x v="0"/>
    <x v="0"/>
    <x v="1"/>
    <x v="0"/>
    <x v="3"/>
    <n v="61"/>
    <n v="26"/>
    <n v="29121.81"/>
    <n v="197.87"/>
    <n v="122.17"/>
    <n v="75.7"/>
    <x v="0"/>
    <n v="4"/>
    <x v="0"/>
    <x v="0"/>
    <s v="No"/>
  </r>
  <r>
    <s v="TRX-10880"/>
    <x v="128"/>
    <s v="Casey"/>
    <x v="13"/>
    <x v="0"/>
    <x v="4"/>
    <x v="2"/>
    <x v="3"/>
    <n v="42"/>
    <n v="26"/>
    <n v="30082.81"/>
    <n v="178.21"/>
    <n v="174.25"/>
    <n v="3.960000000000008"/>
    <x v="0"/>
    <n v="3"/>
    <x v="1"/>
    <x v="0"/>
    <s v="No"/>
  </r>
  <r>
    <s v="TRX-10881"/>
    <x v="144"/>
    <s v="Sam"/>
    <x v="2"/>
    <x v="2"/>
    <x v="3"/>
    <x v="4"/>
    <x v="2"/>
    <n v="44"/>
    <n v="46"/>
    <n v="37077.06"/>
    <n v="265.23"/>
    <n v="3.09"/>
    <n v="262.14000000000004"/>
    <x v="1"/>
    <n v="3"/>
    <x v="1"/>
    <x v="2"/>
    <s v="No"/>
  </r>
  <r>
    <s v="TRX-10882"/>
    <x v="102"/>
    <s v="Taylor"/>
    <x v="9"/>
    <x v="0"/>
    <x v="0"/>
    <x v="4"/>
    <x v="0"/>
    <n v="69"/>
    <n v="92"/>
    <n v="1943.91"/>
    <n v="131.29"/>
    <n v="87.15"/>
    <n v="44.139999999999986"/>
    <x v="0"/>
    <n v="5"/>
    <x v="0"/>
    <x v="1"/>
    <s v="Yes"/>
  </r>
  <r>
    <s v="TRX-10883"/>
    <x v="42"/>
    <s v="Drew"/>
    <x v="4"/>
    <x v="1"/>
    <x v="3"/>
    <x v="1"/>
    <x v="1"/>
    <n v="57"/>
    <n v="49"/>
    <n v="27291.29"/>
    <n v="268.52999999999997"/>
    <n v="67.28"/>
    <n v="201.24999999999997"/>
    <x v="0"/>
    <n v="4"/>
    <x v="0"/>
    <x v="0"/>
    <s v="No"/>
  </r>
  <r>
    <s v="TRX-10884"/>
    <x v="144"/>
    <s v="Drew"/>
    <x v="5"/>
    <x v="1"/>
    <x v="1"/>
    <x v="0"/>
    <x v="1"/>
    <n v="64"/>
    <n v="82"/>
    <n v="3118.92"/>
    <n v="366.88"/>
    <n v="116.6"/>
    <n v="250.28"/>
    <x v="0"/>
    <n v="1"/>
    <x v="0"/>
    <x v="1"/>
    <s v="No"/>
  </r>
  <r>
    <s v="TRX-10885"/>
    <x v="322"/>
    <s v="Casey"/>
    <x v="9"/>
    <x v="4"/>
    <x v="2"/>
    <x v="2"/>
    <x v="3"/>
    <n v="21"/>
    <n v="96"/>
    <n v="35206.639999999999"/>
    <n v="63.41"/>
    <n v="83.2"/>
    <n v="-19.790000000000006"/>
    <x v="1"/>
    <n v="2"/>
    <x v="1"/>
    <x v="2"/>
    <s v="No"/>
  </r>
  <r>
    <s v="TRX-10886"/>
    <x v="335"/>
    <s v="Alex"/>
    <x v="11"/>
    <x v="1"/>
    <x v="3"/>
    <x v="4"/>
    <x v="2"/>
    <n v="30"/>
    <n v="53"/>
    <n v="3258.54"/>
    <n v="54.4"/>
    <n v="149.33000000000001"/>
    <n v="-94.93"/>
    <x v="0"/>
    <n v="5"/>
    <x v="0"/>
    <x v="1"/>
    <s v="No"/>
  </r>
  <r>
    <s v="TRX-10887"/>
    <x v="104"/>
    <s v="Sam"/>
    <x v="6"/>
    <x v="0"/>
    <x v="2"/>
    <x v="4"/>
    <x v="0"/>
    <n v="63"/>
    <n v="3"/>
    <n v="45630.53"/>
    <n v="83.81"/>
    <n v="18.760000000000002"/>
    <n v="65.05"/>
    <x v="1"/>
    <n v="2"/>
    <x v="1"/>
    <x v="2"/>
    <s v="Yes"/>
  </r>
  <r>
    <s v="TRX-10888"/>
    <x v="207"/>
    <s v="Morgan"/>
    <x v="4"/>
    <x v="1"/>
    <x v="0"/>
    <x v="2"/>
    <x v="0"/>
    <n v="36"/>
    <n v="66"/>
    <n v="35253.089999999997"/>
    <n v="291.05"/>
    <n v="102.52"/>
    <n v="188.53000000000003"/>
    <x v="1"/>
    <n v="1"/>
    <x v="1"/>
    <x v="2"/>
    <s v="Yes"/>
  </r>
  <r>
    <s v="TRX-10889"/>
    <x v="303"/>
    <s v="Alex"/>
    <x v="13"/>
    <x v="2"/>
    <x v="3"/>
    <x v="0"/>
    <x v="3"/>
    <n v="66"/>
    <n v="97"/>
    <n v="25615.79"/>
    <n v="434.5"/>
    <n v="112.84"/>
    <n v="321.65999999999997"/>
    <x v="0"/>
    <n v="1"/>
    <x v="1"/>
    <x v="0"/>
    <s v="No"/>
  </r>
  <r>
    <s v="TRX-10890"/>
    <x v="283"/>
    <s v="Jamie"/>
    <x v="12"/>
    <x v="4"/>
    <x v="4"/>
    <x v="1"/>
    <x v="3"/>
    <n v="28"/>
    <n v="42"/>
    <n v="22354.44"/>
    <n v="52.2"/>
    <n v="98.83"/>
    <n v="-46.629999999999995"/>
    <x v="0"/>
    <n v="2"/>
    <x v="1"/>
    <x v="0"/>
    <s v="No"/>
  </r>
  <r>
    <s v="TRX-10891"/>
    <x v="153"/>
    <s v="Jamie"/>
    <x v="13"/>
    <x v="0"/>
    <x v="2"/>
    <x v="4"/>
    <x v="0"/>
    <n v="69"/>
    <n v="19"/>
    <n v="6968.3"/>
    <n v="471.5"/>
    <n v="146.37"/>
    <n v="325.13"/>
    <x v="0"/>
    <n v="5"/>
    <x v="0"/>
    <x v="1"/>
    <s v="No"/>
  </r>
  <r>
    <s v="TRX-10892"/>
    <x v="334"/>
    <s v="Alex"/>
    <x v="5"/>
    <x v="4"/>
    <x v="0"/>
    <x v="1"/>
    <x v="0"/>
    <n v="45"/>
    <n v="17"/>
    <n v="14904.47"/>
    <n v="97.83"/>
    <n v="76.760000000000005"/>
    <n v="21.069999999999993"/>
    <x v="0"/>
    <n v="2"/>
    <x v="0"/>
    <x v="1"/>
    <s v="Yes"/>
  </r>
  <r>
    <s v="TRX-10893"/>
    <x v="99"/>
    <s v="Casey"/>
    <x v="2"/>
    <x v="0"/>
    <x v="4"/>
    <x v="3"/>
    <x v="3"/>
    <n v="70"/>
    <n v="108"/>
    <n v="43513.48"/>
    <n v="428.89"/>
    <n v="188.99"/>
    <n v="239.89999999999998"/>
    <x v="1"/>
    <n v="5"/>
    <x v="0"/>
    <x v="2"/>
    <s v="Yes"/>
  </r>
  <r>
    <s v="TRX-10894"/>
    <x v="76"/>
    <s v="Morgan"/>
    <x v="13"/>
    <x v="2"/>
    <x v="4"/>
    <x v="0"/>
    <x v="0"/>
    <n v="32"/>
    <n v="33"/>
    <n v="45270.41"/>
    <n v="267.27999999999997"/>
    <n v="96.36"/>
    <n v="170.91999999999996"/>
    <x v="1"/>
    <n v="5"/>
    <x v="0"/>
    <x v="2"/>
    <s v="Yes"/>
  </r>
  <r>
    <s v="TRX-10895"/>
    <x v="51"/>
    <s v="Morgan"/>
    <x v="14"/>
    <x v="4"/>
    <x v="4"/>
    <x v="3"/>
    <x v="1"/>
    <n v="45"/>
    <n v="76"/>
    <n v="537.01"/>
    <n v="346.71"/>
    <n v="171.36"/>
    <n v="175.34999999999997"/>
    <x v="0"/>
    <n v="3"/>
    <x v="0"/>
    <x v="1"/>
    <s v="No"/>
  </r>
  <r>
    <s v="TRX-10896"/>
    <x v="199"/>
    <s v="Sam"/>
    <x v="12"/>
    <x v="3"/>
    <x v="4"/>
    <x v="3"/>
    <x v="3"/>
    <n v="37"/>
    <n v="49"/>
    <n v="29909.75"/>
    <n v="279.81"/>
    <n v="165.11"/>
    <n v="114.69999999999999"/>
    <x v="0"/>
    <n v="4"/>
    <x v="0"/>
    <x v="0"/>
    <s v="No"/>
  </r>
  <r>
    <s v="TRX-10897"/>
    <x v="258"/>
    <s v="Morgan"/>
    <x v="9"/>
    <x v="0"/>
    <x v="3"/>
    <x v="3"/>
    <x v="0"/>
    <n v="46"/>
    <n v="56"/>
    <n v="36105.379999999997"/>
    <n v="264.67"/>
    <n v="55.05"/>
    <n v="209.62"/>
    <x v="1"/>
    <n v="4"/>
    <x v="0"/>
    <x v="2"/>
    <s v="No"/>
  </r>
  <r>
    <s v="TRX-10898"/>
    <x v="287"/>
    <s v="Jamie"/>
    <x v="0"/>
    <x v="3"/>
    <x v="3"/>
    <x v="0"/>
    <x v="3"/>
    <n v="66"/>
    <n v="63"/>
    <n v="31127.98"/>
    <n v="425.7"/>
    <n v="15.04"/>
    <n v="410.65999999999997"/>
    <x v="0"/>
    <n v="1"/>
    <x v="1"/>
    <x v="0"/>
    <s v="No"/>
  </r>
  <r>
    <s v="TRX-10899"/>
    <x v="279"/>
    <s v="Taylor"/>
    <x v="10"/>
    <x v="4"/>
    <x v="3"/>
    <x v="0"/>
    <x v="2"/>
    <n v="68"/>
    <n v="3"/>
    <n v="4543.1499999999996"/>
    <n v="390.15"/>
    <n v="141.56"/>
    <n v="248.58999999999997"/>
    <x v="0"/>
    <n v="3"/>
    <x v="0"/>
    <x v="1"/>
    <s v="No"/>
  </r>
  <r>
    <s v="TRX-10900"/>
    <x v="179"/>
    <s v="Casey"/>
    <x v="14"/>
    <x v="3"/>
    <x v="0"/>
    <x v="2"/>
    <x v="3"/>
    <n v="34"/>
    <n v="107"/>
    <n v="11277.38"/>
    <n v="267.52999999999997"/>
    <n v="96.6"/>
    <n v="170.92999999999998"/>
    <x v="0"/>
    <n v="4"/>
    <x v="0"/>
    <x v="1"/>
    <s v="Yes"/>
  </r>
  <r>
    <s v="TRX-10901"/>
    <x v="218"/>
    <s v="Morgan"/>
    <x v="1"/>
    <x v="3"/>
    <x v="0"/>
    <x v="1"/>
    <x v="3"/>
    <n v="61"/>
    <n v="49"/>
    <n v="12891.84"/>
    <n v="100.24"/>
    <n v="179.3"/>
    <n v="-79.060000000000016"/>
    <x v="0"/>
    <n v="5"/>
    <x v="0"/>
    <x v="1"/>
    <s v="Yes"/>
  </r>
  <r>
    <s v="TRX-10902"/>
    <x v="138"/>
    <s v="Sam"/>
    <x v="12"/>
    <x v="4"/>
    <x v="0"/>
    <x v="1"/>
    <x v="2"/>
    <n v="56"/>
    <n v="55"/>
    <n v="41670.370000000003"/>
    <n v="101.93"/>
    <n v="196.54"/>
    <n v="-94.609999999999985"/>
    <x v="1"/>
    <n v="5"/>
    <x v="0"/>
    <x v="2"/>
    <s v="Yes"/>
  </r>
  <r>
    <s v="TRX-10903"/>
    <x v="40"/>
    <s v="Jamie"/>
    <x v="0"/>
    <x v="2"/>
    <x v="1"/>
    <x v="2"/>
    <x v="1"/>
    <n v="43"/>
    <n v="26"/>
    <n v="23428.37"/>
    <n v="410.69"/>
    <n v="119.73"/>
    <n v="290.95999999999998"/>
    <x v="0"/>
    <n v="2"/>
    <x v="1"/>
    <x v="0"/>
    <s v="No"/>
  </r>
  <r>
    <s v="TRX-10904"/>
    <x v="129"/>
    <s v="Taylor"/>
    <x v="0"/>
    <x v="3"/>
    <x v="0"/>
    <x v="2"/>
    <x v="0"/>
    <n v="63"/>
    <n v="99"/>
    <n v="24598"/>
    <n v="288.23"/>
    <n v="83.09"/>
    <n v="205.14000000000001"/>
    <x v="0"/>
    <n v="2"/>
    <x v="1"/>
    <x v="0"/>
    <s v="Yes"/>
  </r>
  <r>
    <s v="TRX-10905"/>
    <x v="30"/>
    <s v="Jordan"/>
    <x v="4"/>
    <x v="3"/>
    <x v="3"/>
    <x v="3"/>
    <x v="2"/>
    <n v="26"/>
    <n v="72"/>
    <n v="46777.21"/>
    <n v="266.72000000000003"/>
    <n v="81.59"/>
    <n v="185.13000000000002"/>
    <x v="1"/>
    <n v="5"/>
    <x v="0"/>
    <x v="2"/>
    <s v="Yes"/>
  </r>
  <r>
    <s v="TRX-10906"/>
    <x v="47"/>
    <s v="Jordan"/>
    <x v="12"/>
    <x v="2"/>
    <x v="3"/>
    <x v="2"/>
    <x v="3"/>
    <n v="67"/>
    <n v="52"/>
    <n v="32035.75"/>
    <n v="356.26"/>
    <n v="64.91"/>
    <n v="291.35000000000002"/>
    <x v="0"/>
    <n v="5"/>
    <x v="0"/>
    <x v="0"/>
    <s v="No"/>
  </r>
  <r>
    <s v="TRX-10907"/>
    <x v="263"/>
    <s v="Taylor"/>
    <x v="2"/>
    <x v="3"/>
    <x v="1"/>
    <x v="4"/>
    <x v="0"/>
    <n v="25"/>
    <n v="100"/>
    <n v="44984.05"/>
    <n v="436.48"/>
    <n v="156.34"/>
    <n v="280.14"/>
    <x v="1"/>
    <n v="2"/>
    <x v="1"/>
    <x v="2"/>
    <s v="Yes"/>
  </r>
  <r>
    <s v="TRX-10908"/>
    <x v="115"/>
    <s v="Jamie"/>
    <x v="11"/>
    <x v="3"/>
    <x v="1"/>
    <x v="1"/>
    <x v="2"/>
    <n v="63"/>
    <n v="117"/>
    <n v="23097.19"/>
    <n v="332.99"/>
    <n v="151.80000000000001"/>
    <n v="181.19"/>
    <x v="0"/>
    <n v="4"/>
    <x v="0"/>
    <x v="0"/>
    <s v="No"/>
  </r>
  <r>
    <s v="TRX-10909"/>
    <x v="239"/>
    <s v="Sam"/>
    <x v="5"/>
    <x v="3"/>
    <x v="0"/>
    <x v="2"/>
    <x v="0"/>
    <n v="45"/>
    <n v="118"/>
    <n v="7897.09"/>
    <n v="393.28"/>
    <n v="95.73"/>
    <n v="297.54999999999995"/>
    <x v="0"/>
    <n v="1"/>
    <x v="0"/>
    <x v="1"/>
    <s v="Yes"/>
  </r>
  <r>
    <s v="TRX-10910"/>
    <x v="208"/>
    <s v="Taylor"/>
    <x v="1"/>
    <x v="1"/>
    <x v="2"/>
    <x v="4"/>
    <x v="0"/>
    <n v="38"/>
    <n v="7"/>
    <n v="46531.81"/>
    <n v="394.37"/>
    <n v="8.93"/>
    <n v="385.44"/>
    <x v="1"/>
    <n v="2"/>
    <x v="1"/>
    <x v="2"/>
    <s v="Yes"/>
  </r>
  <r>
    <s v="TRX-10911"/>
    <x v="97"/>
    <s v="Casey"/>
    <x v="5"/>
    <x v="2"/>
    <x v="1"/>
    <x v="4"/>
    <x v="2"/>
    <n v="33"/>
    <n v="46"/>
    <n v="23205.9"/>
    <n v="210.32"/>
    <n v="61.91"/>
    <n v="148.41"/>
    <x v="0"/>
    <n v="4"/>
    <x v="0"/>
    <x v="0"/>
    <s v="No"/>
  </r>
  <r>
    <s v="TRX-10912"/>
    <x v="292"/>
    <s v="Casey"/>
    <x v="9"/>
    <x v="3"/>
    <x v="4"/>
    <x v="4"/>
    <x v="0"/>
    <n v="63"/>
    <n v="46"/>
    <n v="9490.76"/>
    <n v="173.34"/>
    <n v="58.46"/>
    <n v="114.88"/>
    <x v="0"/>
    <n v="4"/>
    <x v="0"/>
    <x v="1"/>
    <s v="No"/>
  </r>
  <r>
    <s v="TRX-10913"/>
    <x v="263"/>
    <s v="Jordan"/>
    <x v="9"/>
    <x v="2"/>
    <x v="3"/>
    <x v="4"/>
    <x v="1"/>
    <n v="34"/>
    <n v="100"/>
    <n v="15468.59"/>
    <n v="410.52"/>
    <n v="243.33"/>
    <n v="167.18999999999997"/>
    <x v="0"/>
    <n v="4"/>
    <x v="0"/>
    <x v="0"/>
    <s v="No"/>
  </r>
  <r>
    <s v="TRX-10914"/>
    <x v="270"/>
    <s v="Morgan"/>
    <x v="5"/>
    <x v="0"/>
    <x v="4"/>
    <x v="3"/>
    <x v="2"/>
    <n v="48"/>
    <n v="16"/>
    <n v="3014.73"/>
    <n v="219.73"/>
    <n v="17.52"/>
    <n v="202.20999999999998"/>
    <x v="0"/>
    <n v="3"/>
    <x v="0"/>
    <x v="1"/>
    <s v="No"/>
  </r>
  <r>
    <s v="TRX-10915"/>
    <x v="153"/>
    <s v="Sam"/>
    <x v="13"/>
    <x v="0"/>
    <x v="3"/>
    <x v="4"/>
    <x v="1"/>
    <n v="38"/>
    <n v="24"/>
    <n v="23680.880000000001"/>
    <n v="456.5"/>
    <n v="241.71"/>
    <n v="214.79"/>
    <x v="0"/>
    <n v="3"/>
    <x v="1"/>
    <x v="0"/>
    <s v="No"/>
  </r>
  <r>
    <s v="TRX-10916"/>
    <x v="2"/>
    <s v="Jordan"/>
    <x v="2"/>
    <x v="3"/>
    <x v="3"/>
    <x v="3"/>
    <x v="3"/>
    <n v="48"/>
    <n v="61"/>
    <n v="42729.84"/>
    <n v="81.36"/>
    <n v="133.84"/>
    <n v="-52.480000000000004"/>
    <x v="1"/>
    <n v="4"/>
    <x v="0"/>
    <x v="2"/>
    <s v="Yes"/>
  </r>
  <r>
    <s v="TRX-10917"/>
    <x v="53"/>
    <s v="Morgan"/>
    <x v="8"/>
    <x v="2"/>
    <x v="1"/>
    <x v="3"/>
    <x v="0"/>
    <n v="71"/>
    <n v="54"/>
    <n v="46712.23"/>
    <n v="76.2"/>
    <n v="146.49"/>
    <n v="-70.290000000000006"/>
    <x v="1"/>
    <n v="5"/>
    <x v="0"/>
    <x v="2"/>
    <s v="Yes"/>
  </r>
  <r>
    <s v="TRX-10918"/>
    <x v="131"/>
    <s v="Morgan"/>
    <x v="13"/>
    <x v="2"/>
    <x v="1"/>
    <x v="4"/>
    <x v="3"/>
    <n v="47"/>
    <n v="62"/>
    <n v="46663.81"/>
    <n v="467.15"/>
    <n v="86.44"/>
    <n v="380.71"/>
    <x v="1"/>
    <n v="3"/>
    <x v="1"/>
    <x v="2"/>
    <s v="Yes"/>
  </r>
  <r>
    <s v="TRX-10919"/>
    <x v="97"/>
    <s v="Drew"/>
    <x v="6"/>
    <x v="2"/>
    <x v="4"/>
    <x v="1"/>
    <x v="3"/>
    <n v="52"/>
    <n v="1"/>
    <n v="6698.89"/>
    <n v="341.8"/>
    <n v="135.94999999999999"/>
    <n v="205.85000000000002"/>
    <x v="0"/>
    <n v="2"/>
    <x v="0"/>
    <x v="1"/>
    <s v="No"/>
  </r>
  <r>
    <s v="TRX-10920"/>
    <x v="318"/>
    <s v="Casey"/>
    <x v="13"/>
    <x v="1"/>
    <x v="3"/>
    <x v="4"/>
    <x v="0"/>
    <n v="67"/>
    <n v="49"/>
    <n v="19411.669999999998"/>
    <n v="220.82"/>
    <n v="121.81"/>
    <n v="99.009999999999991"/>
    <x v="0"/>
    <n v="3"/>
    <x v="0"/>
    <x v="0"/>
    <s v="No"/>
  </r>
  <r>
    <s v="TRX-10921"/>
    <x v="332"/>
    <s v="Jamie"/>
    <x v="10"/>
    <x v="0"/>
    <x v="4"/>
    <x v="4"/>
    <x v="2"/>
    <n v="29"/>
    <n v="25"/>
    <n v="1897.32"/>
    <n v="389.78"/>
    <n v="153.80000000000001"/>
    <n v="235.97999999999996"/>
    <x v="0"/>
    <n v="5"/>
    <x v="0"/>
    <x v="1"/>
    <s v="No"/>
  </r>
  <r>
    <s v="TRX-10922"/>
    <x v="75"/>
    <s v="Alex"/>
    <x v="3"/>
    <x v="2"/>
    <x v="2"/>
    <x v="4"/>
    <x v="0"/>
    <n v="60"/>
    <n v="10"/>
    <n v="42830.68"/>
    <n v="352.55"/>
    <n v="89.35"/>
    <n v="263.20000000000005"/>
    <x v="1"/>
    <n v="1"/>
    <x v="1"/>
    <x v="2"/>
    <s v="Yes"/>
  </r>
  <r>
    <s v="TRX-10923"/>
    <x v="112"/>
    <s v="Jamie"/>
    <x v="11"/>
    <x v="2"/>
    <x v="4"/>
    <x v="1"/>
    <x v="3"/>
    <n v="52"/>
    <n v="118"/>
    <n v="18258.41"/>
    <n v="289.04000000000002"/>
    <n v="94.57"/>
    <n v="194.47000000000003"/>
    <x v="0"/>
    <n v="3"/>
    <x v="0"/>
    <x v="0"/>
    <s v="No"/>
  </r>
  <r>
    <s v="TRX-10924"/>
    <x v="273"/>
    <s v="Alex"/>
    <x v="10"/>
    <x v="1"/>
    <x v="0"/>
    <x v="0"/>
    <x v="3"/>
    <n v="40"/>
    <n v="80"/>
    <n v="31740.29"/>
    <n v="94.49"/>
    <n v="128.72"/>
    <n v="-34.230000000000004"/>
    <x v="0"/>
    <n v="4"/>
    <x v="0"/>
    <x v="0"/>
    <s v="Yes"/>
  </r>
  <r>
    <s v="TRX-10925"/>
    <x v="306"/>
    <s v="Taylor"/>
    <x v="4"/>
    <x v="1"/>
    <x v="4"/>
    <x v="0"/>
    <x v="2"/>
    <n v="48"/>
    <n v="16"/>
    <n v="35887.47"/>
    <n v="415.48"/>
    <n v="21.62"/>
    <n v="393.86"/>
    <x v="1"/>
    <n v="4"/>
    <x v="0"/>
    <x v="2"/>
    <s v="No"/>
  </r>
  <r>
    <s v="TRX-10926"/>
    <x v="270"/>
    <s v="Casey"/>
    <x v="3"/>
    <x v="2"/>
    <x v="0"/>
    <x v="3"/>
    <x v="0"/>
    <n v="53"/>
    <n v="58"/>
    <n v="21777.31"/>
    <n v="439.71"/>
    <n v="87.25"/>
    <n v="352.46"/>
    <x v="0"/>
    <n v="4"/>
    <x v="0"/>
    <x v="0"/>
    <s v="Yes"/>
  </r>
  <r>
    <s v="TRX-10927"/>
    <x v="141"/>
    <s v="Morgan"/>
    <x v="3"/>
    <x v="4"/>
    <x v="0"/>
    <x v="3"/>
    <x v="3"/>
    <n v="24"/>
    <n v="72"/>
    <n v="15668.9"/>
    <n v="127.48"/>
    <n v="194.39"/>
    <n v="-66.909999999999982"/>
    <x v="0"/>
    <n v="1"/>
    <x v="0"/>
    <x v="0"/>
    <s v="Yes"/>
  </r>
  <r>
    <s v="TRX-10928"/>
    <x v="113"/>
    <s v="Sam"/>
    <x v="12"/>
    <x v="2"/>
    <x v="0"/>
    <x v="1"/>
    <x v="1"/>
    <n v="66"/>
    <n v="29"/>
    <n v="48129.54"/>
    <n v="432.73"/>
    <n v="11.26"/>
    <n v="421.47"/>
    <x v="1"/>
    <n v="5"/>
    <x v="0"/>
    <x v="2"/>
    <s v="Yes"/>
  </r>
  <r>
    <s v="TRX-10929"/>
    <x v="336"/>
    <s v="Alex"/>
    <x v="2"/>
    <x v="2"/>
    <x v="2"/>
    <x v="2"/>
    <x v="3"/>
    <n v="54"/>
    <n v="103"/>
    <n v="48242.17"/>
    <n v="445.03"/>
    <n v="63.2"/>
    <n v="381.83"/>
    <x v="1"/>
    <n v="2"/>
    <x v="1"/>
    <x v="2"/>
    <s v="Yes"/>
  </r>
  <r>
    <s v="TRX-10930"/>
    <x v="238"/>
    <s v="Jamie"/>
    <x v="2"/>
    <x v="1"/>
    <x v="4"/>
    <x v="0"/>
    <x v="3"/>
    <n v="68"/>
    <n v="92"/>
    <n v="14827.1"/>
    <n v="297.24"/>
    <n v="62.82"/>
    <n v="234.42000000000002"/>
    <x v="0"/>
    <n v="5"/>
    <x v="0"/>
    <x v="1"/>
    <s v="No"/>
  </r>
  <r>
    <s v="TRX-10931"/>
    <x v="64"/>
    <s v="Morgan"/>
    <x v="3"/>
    <x v="1"/>
    <x v="4"/>
    <x v="3"/>
    <x v="2"/>
    <n v="23"/>
    <n v="6"/>
    <n v="24241.439999999999"/>
    <n v="345.28"/>
    <n v="126.69"/>
    <n v="218.58999999999997"/>
    <x v="0"/>
    <n v="1"/>
    <x v="1"/>
    <x v="0"/>
    <s v="No"/>
  </r>
  <r>
    <s v="TRX-10932"/>
    <x v="47"/>
    <s v="Alex"/>
    <x v="6"/>
    <x v="2"/>
    <x v="2"/>
    <x v="0"/>
    <x v="1"/>
    <n v="46"/>
    <n v="16"/>
    <n v="48655.79"/>
    <n v="222.01"/>
    <n v="31.74"/>
    <n v="190.26999999999998"/>
    <x v="1"/>
    <n v="4"/>
    <x v="0"/>
    <x v="2"/>
    <s v="Yes"/>
  </r>
  <r>
    <s v="TRX-10933"/>
    <x v="138"/>
    <s v="Alex"/>
    <x v="13"/>
    <x v="2"/>
    <x v="3"/>
    <x v="1"/>
    <x v="3"/>
    <n v="28"/>
    <n v="20"/>
    <n v="740.99"/>
    <n v="176.81"/>
    <n v="125.71"/>
    <n v="51.100000000000009"/>
    <x v="0"/>
    <n v="5"/>
    <x v="0"/>
    <x v="1"/>
    <s v="No"/>
  </r>
  <r>
    <s v="TRX-10934"/>
    <x v="108"/>
    <s v="Drew"/>
    <x v="12"/>
    <x v="2"/>
    <x v="1"/>
    <x v="1"/>
    <x v="3"/>
    <n v="26"/>
    <n v="80"/>
    <n v="20927.57"/>
    <n v="374.89"/>
    <n v="19.010000000000002"/>
    <n v="355.88"/>
    <x v="0"/>
    <n v="2"/>
    <x v="1"/>
    <x v="0"/>
    <s v="No"/>
  </r>
  <r>
    <s v="TRX-10935"/>
    <x v="140"/>
    <s v="Alex"/>
    <x v="11"/>
    <x v="1"/>
    <x v="4"/>
    <x v="2"/>
    <x v="1"/>
    <n v="36"/>
    <n v="71"/>
    <n v="5472.65"/>
    <n v="437.84"/>
    <n v="28.48"/>
    <n v="409.35999999999996"/>
    <x v="0"/>
    <n v="4"/>
    <x v="0"/>
    <x v="1"/>
    <s v="No"/>
  </r>
  <r>
    <s v="TRX-10936"/>
    <x v="72"/>
    <s v="Sam"/>
    <x v="3"/>
    <x v="2"/>
    <x v="1"/>
    <x v="2"/>
    <x v="0"/>
    <n v="44"/>
    <n v="105"/>
    <n v="25703.32"/>
    <n v="344.33"/>
    <n v="145.63999999999999"/>
    <n v="198.69"/>
    <x v="0"/>
    <n v="2"/>
    <x v="1"/>
    <x v="0"/>
    <s v="No"/>
  </r>
  <r>
    <s v="TRX-10937"/>
    <x v="191"/>
    <s v="Casey"/>
    <x v="14"/>
    <x v="2"/>
    <x v="2"/>
    <x v="1"/>
    <x v="0"/>
    <n v="68"/>
    <n v="78"/>
    <n v="1721.16"/>
    <n v="280.22000000000003"/>
    <n v="64.83"/>
    <n v="215.39000000000004"/>
    <x v="0"/>
    <n v="3"/>
    <x v="0"/>
    <x v="1"/>
    <s v="No"/>
  </r>
  <r>
    <s v="TRX-10938"/>
    <x v="119"/>
    <s v="Sam"/>
    <x v="9"/>
    <x v="3"/>
    <x v="3"/>
    <x v="3"/>
    <x v="3"/>
    <n v="59"/>
    <n v="43"/>
    <n v="20641.47"/>
    <n v="121.52"/>
    <n v="195.48"/>
    <n v="-73.959999999999994"/>
    <x v="0"/>
    <n v="2"/>
    <x v="1"/>
    <x v="0"/>
    <s v="No"/>
  </r>
  <r>
    <s v="TRX-10939"/>
    <x v="218"/>
    <s v="Jordan"/>
    <x v="9"/>
    <x v="4"/>
    <x v="3"/>
    <x v="0"/>
    <x v="3"/>
    <n v="50"/>
    <n v="26"/>
    <n v="11424.6"/>
    <n v="74.06"/>
    <n v="7.47"/>
    <n v="66.59"/>
    <x v="0"/>
    <n v="4"/>
    <x v="0"/>
    <x v="1"/>
    <s v="No"/>
  </r>
  <r>
    <s v="TRX-10940"/>
    <x v="15"/>
    <s v="Morgan"/>
    <x v="10"/>
    <x v="0"/>
    <x v="3"/>
    <x v="4"/>
    <x v="0"/>
    <n v="65"/>
    <n v="90"/>
    <n v="26898.76"/>
    <n v="250.56"/>
    <n v="89.02"/>
    <n v="161.54000000000002"/>
    <x v="0"/>
    <n v="3"/>
    <x v="1"/>
    <x v="0"/>
    <s v="No"/>
  </r>
  <r>
    <s v="TRX-10941"/>
    <x v="271"/>
    <s v="Casey"/>
    <x v="4"/>
    <x v="4"/>
    <x v="2"/>
    <x v="2"/>
    <x v="2"/>
    <n v="33"/>
    <n v="78"/>
    <n v="49801.69"/>
    <n v="72.209999999999994"/>
    <n v="22.63"/>
    <n v="49.58"/>
    <x v="1"/>
    <n v="4"/>
    <x v="0"/>
    <x v="2"/>
    <s v="Yes"/>
  </r>
  <r>
    <s v="TRX-10942"/>
    <x v="42"/>
    <s v="Drew"/>
    <x v="7"/>
    <x v="3"/>
    <x v="0"/>
    <x v="4"/>
    <x v="1"/>
    <n v="25"/>
    <n v="71"/>
    <n v="40126.54"/>
    <n v="306.2"/>
    <n v="105.42"/>
    <n v="200.77999999999997"/>
    <x v="1"/>
    <n v="4"/>
    <x v="0"/>
    <x v="2"/>
    <s v="Yes"/>
  </r>
  <r>
    <s v="TRX-10943"/>
    <x v="96"/>
    <s v="Casey"/>
    <x v="7"/>
    <x v="0"/>
    <x v="0"/>
    <x v="3"/>
    <x v="1"/>
    <n v="45"/>
    <n v="33"/>
    <n v="42359.28"/>
    <n v="222.23"/>
    <n v="299.45999999999998"/>
    <n v="-77.22999999999999"/>
    <x v="1"/>
    <n v="3"/>
    <x v="1"/>
    <x v="2"/>
    <s v="Yes"/>
  </r>
  <r>
    <s v="TRX-10944"/>
    <x v="11"/>
    <s v="Casey"/>
    <x v="9"/>
    <x v="2"/>
    <x v="1"/>
    <x v="2"/>
    <x v="2"/>
    <n v="40"/>
    <n v="26"/>
    <n v="31945.62"/>
    <n v="390.74"/>
    <n v="177.77"/>
    <n v="212.97"/>
    <x v="0"/>
    <n v="2"/>
    <x v="1"/>
    <x v="0"/>
    <s v="No"/>
  </r>
  <r>
    <s v="TRX-10945"/>
    <x v="128"/>
    <s v="Jamie"/>
    <x v="8"/>
    <x v="3"/>
    <x v="0"/>
    <x v="4"/>
    <x v="2"/>
    <n v="74"/>
    <n v="45"/>
    <n v="2557.21"/>
    <n v="187.54"/>
    <n v="9.66"/>
    <n v="177.88"/>
    <x v="0"/>
    <n v="1"/>
    <x v="0"/>
    <x v="1"/>
    <s v="Yes"/>
  </r>
  <r>
    <s v="TRX-10946"/>
    <x v="84"/>
    <s v="Casey"/>
    <x v="0"/>
    <x v="2"/>
    <x v="0"/>
    <x v="3"/>
    <x v="2"/>
    <n v="38"/>
    <n v="84"/>
    <n v="10736.48"/>
    <n v="316.83999999999997"/>
    <n v="112.65"/>
    <n v="204.18999999999997"/>
    <x v="0"/>
    <n v="1"/>
    <x v="0"/>
    <x v="1"/>
    <s v="Yes"/>
  </r>
  <r>
    <s v="TRX-10947"/>
    <x v="242"/>
    <s v="Drew"/>
    <x v="10"/>
    <x v="1"/>
    <x v="3"/>
    <x v="0"/>
    <x v="2"/>
    <n v="67"/>
    <n v="63"/>
    <n v="46290.7"/>
    <n v="291.95999999999998"/>
    <n v="129.56"/>
    <n v="162.39999999999998"/>
    <x v="1"/>
    <n v="1"/>
    <x v="1"/>
    <x v="2"/>
    <s v="Yes"/>
  </r>
  <r>
    <s v="TRX-10948"/>
    <x v="151"/>
    <s v="Sam"/>
    <x v="7"/>
    <x v="3"/>
    <x v="3"/>
    <x v="3"/>
    <x v="2"/>
    <n v="38"/>
    <n v="67"/>
    <n v="18622.599999999999"/>
    <n v="52.12"/>
    <n v="41.91"/>
    <n v="10.210000000000001"/>
    <x v="0"/>
    <n v="1"/>
    <x v="0"/>
    <x v="0"/>
    <s v="No"/>
  </r>
  <r>
    <s v="TRX-10949"/>
    <x v="140"/>
    <s v="Casey"/>
    <x v="9"/>
    <x v="1"/>
    <x v="1"/>
    <x v="2"/>
    <x v="2"/>
    <n v="22"/>
    <n v="52"/>
    <n v="5630.02"/>
    <n v="82.58"/>
    <n v="29.02"/>
    <n v="53.56"/>
    <x v="0"/>
    <n v="5"/>
    <x v="0"/>
    <x v="1"/>
    <s v="No"/>
  </r>
  <r>
    <s v="TRX-10950"/>
    <x v="185"/>
    <s v="Taylor"/>
    <x v="4"/>
    <x v="3"/>
    <x v="4"/>
    <x v="1"/>
    <x v="1"/>
    <n v="30"/>
    <n v="68"/>
    <n v="35269.07"/>
    <n v="180.67"/>
    <n v="271.32"/>
    <n v="-90.65"/>
    <x v="1"/>
    <n v="1"/>
    <x v="1"/>
    <x v="2"/>
    <s v="No"/>
  </r>
  <r>
    <s v="TRX-10951"/>
    <x v="204"/>
    <s v="Morgan"/>
    <x v="7"/>
    <x v="3"/>
    <x v="1"/>
    <x v="0"/>
    <x v="2"/>
    <n v="65"/>
    <n v="26"/>
    <n v="15323.16"/>
    <n v="447.01"/>
    <n v="193.76"/>
    <n v="253.25"/>
    <x v="0"/>
    <n v="3"/>
    <x v="0"/>
    <x v="0"/>
    <s v="No"/>
  </r>
  <r>
    <s v="TRX-10952"/>
    <x v="135"/>
    <s v="Casey"/>
    <x v="13"/>
    <x v="1"/>
    <x v="1"/>
    <x v="4"/>
    <x v="0"/>
    <n v="70"/>
    <n v="75"/>
    <n v="13808.42"/>
    <n v="116.16"/>
    <n v="198.38"/>
    <n v="-82.22"/>
    <x v="0"/>
    <n v="1"/>
    <x v="0"/>
    <x v="1"/>
    <s v="No"/>
  </r>
  <r>
    <s v="TRX-10953"/>
    <x v="220"/>
    <s v="Morgan"/>
    <x v="13"/>
    <x v="0"/>
    <x v="2"/>
    <x v="2"/>
    <x v="2"/>
    <n v="67"/>
    <n v="2"/>
    <n v="49899.88"/>
    <n v="369.9"/>
    <n v="157.94999999999999"/>
    <n v="211.95"/>
    <x v="1"/>
    <n v="4"/>
    <x v="0"/>
    <x v="2"/>
    <s v="Yes"/>
  </r>
  <r>
    <s v="TRX-10954"/>
    <x v="160"/>
    <s v="Taylor"/>
    <x v="2"/>
    <x v="4"/>
    <x v="2"/>
    <x v="1"/>
    <x v="2"/>
    <n v="32"/>
    <n v="14"/>
    <n v="42977.88"/>
    <n v="488.01"/>
    <n v="132.69999999999999"/>
    <n v="355.31"/>
    <x v="1"/>
    <n v="1"/>
    <x v="1"/>
    <x v="2"/>
    <s v="Yes"/>
  </r>
  <r>
    <s v="TRX-10955"/>
    <x v="156"/>
    <s v="Taylor"/>
    <x v="6"/>
    <x v="2"/>
    <x v="1"/>
    <x v="3"/>
    <x v="1"/>
    <n v="67"/>
    <n v="108"/>
    <n v="20692.919999999998"/>
    <n v="405.76"/>
    <n v="103.72"/>
    <n v="302.03999999999996"/>
    <x v="0"/>
    <n v="2"/>
    <x v="1"/>
    <x v="0"/>
    <s v="No"/>
  </r>
  <r>
    <s v="TRX-10956"/>
    <x v="202"/>
    <s v="Morgan"/>
    <x v="2"/>
    <x v="3"/>
    <x v="1"/>
    <x v="1"/>
    <x v="1"/>
    <n v="33"/>
    <n v="30"/>
    <n v="49022.93"/>
    <n v="159.33000000000001"/>
    <n v="51.42"/>
    <n v="107.91000000000001"/>
    <x v="1"/>
    <n v="3"/>
    <x v="1"/>
    <x v="2"/>
    <s v="Yes"/>
  </r>
  <r>
    <s v="TRX-10957"/>
    <x v="133"/>
    <s v="Alex"/>
    <x v="11"/>
    <x v="2"/>
    <x v="1"/>
    <x v="2"/>
    <x v="2"/>
    <n v="70"/>
    <n v="49"/>
    <n v="32680.6"/>
    <n v="458.76"/>
    <n v="15.8"/>
    <n v="442.96"/>
    <x v="0"/>
    <n v="3"/>
    <x v="1"/>
    <x v="0"/>
    <s v="No"/>
  </r>
  <r>
    <s v="TRX-10958"/>
    <x v="315"/>
    <s v="Jordan"/>
    <x v="3"/>
    <x v="1"/>
    <x v="0"/>
    <x v="2"/>
    <x v="1"/>
    <n v="67"/>
    <n v="12"/>
    <n v="37230.11"/>
    <n v="91.9"/>
    <n v="207.99"/>
    <n v="-116.09"/>
    <x v="1"/>
    <n v="5"/>
    <x v="0"/>
    <x v="2"/>
    <s v="Yes"/>
  </r>
  <r>
    <s v="TRX-10959"/>
    <x v="186"/>
    <s v="Jamie"/>
    <x v="14"/>
    <x v="2"/>
    <x v="2"/>
    <x v="1"/>
    <x v="3"/>
    <n v="31"/>
    <n v="90"/>
    <n v="2059.9"/>
    <n v="260.66000000000003"/>
    <n v="156.94"/>
    <n v="103.72000000000003"/>
    <x v="0"/>
    <n v="4"/>
    <x v="0"/>
    <x v="1"/>
    <s v="No"/>
  </r>
  <r>
    <s v="TRX-10960"/>
    <x v="65"/>
    <s v="Alex"/>
    <x v="2"/>
    <x v="1"/>
    <x v="1"/>
    <x v="3"/>
    <x v="1"/>
    <n v="39"/>
    <n v="44"/>
    <n v="6519.46"/>
    <n v="449.39"/>
    <n v="247.94"/>
    <n v="201.45"/>
    <x v="0"/>
    <n v="3"/>
    <x v="0"/>
    <x v="1"/>
    <s v="No"/>
  </r>
  <r>
    <s v="TRX-10961"/>
    <x v="232"/>
    <s v="Alex"/>
    <x v="1"/>
    <x v="2"/>
    <x v="3"/>
    <x v="1"/>
    <x v="1"/>
    <n v="55"/>
    <n v="33"/>
    <n v="31837.71"/>
    <n v="338.57"/>
    <n v="274.12"/>
    <n v="64.449999999999989"/>
    <x v="0"/>
    <n v="2"/>
    <x v="1"/>
    <x v="0"/>
    <s v="No"/>
  </r>
  <r>
    <s v="TRX-10962"/>
    <x v="63"/>
    <s v="Sam"/>
    <x v="7"/>
    <x v="4"/>
    <x v="3"/>
    <x v="2"/>
    <x v="1"/>
    <n v="59"/>
    <n v="13"/>
    <n v="45001.69"/>
    <n v="236.14"/>
    <n v="263.98"/>
    <n v="-27.840000000000032"/>
    <x v="1"/>
    <n v="1"/>
    <x v="1"/>
    <x v="2"/>
    <s v="Yes"/>
  </r>
  <r>
    <s v="TRX-10963"/>
    <x v="11"/>
    <s v="Jamie"/>
    <x v="8"/>
    <x v="4"/>
    <x v="0"/>
    <x v="2"/>
    <x v="1"/>
    <n v="73"/>
    <n v="78"/>
    <n v="31375.31"/>
    <n v="181.77"/>
    <n v="299.92"/>
    <n v="-118.15"/>
    <x v="0"/>
    <n v="3"/>
    <x v="1"/>
    <x v="0"/>
    <s v="Yes"/>
  </r>
  <r>
    <s v="TRX-10964"/>
    <x v="117"/>
    <s v="Jamie"/>
    <x v="12"/>
    <x v="4"/>
    <x v="0"/>
    <x v="4"/>
    <x v="0"/>
    <n v="46"/>
    <n v="88"/>
    <n v="7134.23"/>
    <n v="218.79"/>
    <n v="48.81"/>
    <n v="169.98"/>
    <x v="0"/>
    <n v="2"/>
    <x v="0"/>
    <x v="1"/>
    <s v="Yes"/>
  </r>
  <r>
    <s v="TRX-10965"/>
    <x v="146"/>
    <s v="Alex"/>
    <x v="9"/>
    <x v="4"/>
    <x v="4"/>
    <x v="4"/>
    <x v="0"/>
    <n v="66"/>
    <n v="98"/>
    <n v="6230.12"/>
    <n v="279.02"/>
    <n v="152.66"/>
    <n v="126.35999999999999"/>
    <x v="0"/>
    <n v="1"/>
    <x v="0"/>
    <x v="1"/>
    <s v="No"/>
  </r>
  <r>
    <s v="TRX-10966"/>
    <x v="12"/>
    <s v="Casey"/>
    <x v="12"/>
    <x v="4"/>
    <x v="4"/>
    <x v="0"/>
    <x v="0"/>
    <n v="34"/>
    <n v="108"/>
    <n v="42287.199999999997"/>
    <n v="193.57"/>
    <n v="117.29"/>
    <n v="76.279999999999987"/>
    <x v="1"/>
    <n v="5"/>
    <x v="0"/>
    <x v="2"/>
    <s v="Yes"/>
  </r>
  <r>
    <s v="TRX-10967"/>
    <x v="238"/>
    <s v="Sam"/>
    <x v="1"/>
    <x v="4"/>
    <x v="4"/>
    <x v="2"/>
    <x v="2"/>
    <n v="74"/>
    <n v="26"/>
    <n v="7395.47"/>
    <n v="486.04"/>
    <n v="52.25"/>
    <n v="433.79"/>
    <x v="0"/>
    <n v="3"/>
    <x v="0"/>
    <x v="1"/>
    <s v="No"/>
  </r>
  <r>
    <s v="TRX-10968"/>
    <x v="259"/>
    <s v="Sam"/>
    <x v="4"/>
    <x v="1"/>
    <x v="0"/>
    <x v="4"/>
    <x v="2"/>
    <n v="65"/>
    <n v="21"/>
    <n v="26251.48"/>
    <n v="469.88"/>
    <n v="196.38"/>
    <n v="273.5"/>
    <x v="0"/>
    <n v="3"/>
    <x v="1"/>
    <x v="0"/>
    <s v="Yes"/>
  </r>
  <r>
    <s v="TRX-10969"/>
    <x v="183"/>
    <s v="Taylor"/>
    <x v="2"/>
    <x v="3"/>
    <x v="0"/>
    <x v="1"/>
    <x v="3"/>
    <n v="64"/>
    <n v="28"/>
    <n v="2337.11"/>
    <n v="441.8"/>
    <n v="179.58"/>
    <n v="262.22000000000003"/>
    <x v="0"/>
    <n v="2"/>
    <x v="0"/>
    <x v="1"/>
    <s v="Yes"/>
  </r>
  <r>
    <s v="TRX-10970"/>
    <x v="168"/>
    <s v="Drew"/>
    <x v="14"/>
    <x v="2"/>
    <x v="0"/>
    <x v="3"/>
    <x v="0"/>
    <n v="44"/>
    <n v="48"/>
    <n v="4493.1499999999996"/>
    <n v="239.82"/>
    <n v="25.7"/>
    <n v="214.12"/>
    <x v="0"/>
    <n v="4"/>
    <x v="0"/>
    <x v="1"/>
    <s v="Yes"/>
  </r>
  <r>
    <s v="TRX-10971"/>
    <x v="61"/>
    <s v="Jamie"/>
    <x v="4"/>
    <x v="4"/>
    <x v="3"/>
    <x v="1"/>
    <x v="2"/>
    <n v="61"/>
    <n v="100"/>
    <n v="33781.24"/>
    <n v="361.09"/>
    <n v="5.23"/>
    <n v="355.85999999999996"/>
    <x v="0"/>
    <n v="5"/>
    <x v="0"/>
    <x v="0"/>
    <s v="No"/>
  </r>
  <r>
    <s v="TRX-10972"/>
    <x v="337"/>
    <s v="Alex"/>
    <x v="0"/>
    <x v="1"/>
    <x v="0"/>
    <x v="3"/>
    <x v="1"/>
    <n v="21"/>
    <n v="40"/>
    <n v="34614.480000000003"/>
    <n v="456.27"/>
    <n v="206.5"/>
    <n v="249.76999999999998"/>
    <x v="0"/>
    <n v="4"/>
    <x v="0"/>
    <x v="0"/>
    <s v="Yes"/>
  </r>
  <r>
    <s v="TRX-10973"/>
    <x v="93"/>
    <s v="Taylor"/>
    <x v="0"/>
    <x v="1"/>
    <x v="3"/>
    <x v="4"/>
    <x v="1"/>
    <n v="71"/>
    <n v="66"/>
    <n v="17402.740000000002"/>
    <n v="432.69"/>
    <n v="181.24"/>
    <n v="251.45"/>
    <x v="0"/>
    <n v="3"/>
    <x v="0"/>
    <x v="0"/>
    <s v="No"/>
  </r>
  <r>
    <s v="TRX-10974"/>
    <x v="71"/>
    <s v="Morgan"/>
    <x v="12"/>
    <x v="1"/>
    <x v="4"/>
    <x v="0"/>
    <x v="0"/>
    <n v="63"/>
    <n v="106"/>
    <n v="11172.68"/>
    <n v="236.45"/>
    <n v="187.16"/>
    <n v="49.289999999999992"/>
    <x v="0"/>
    <n v="4"/>
    <x v="0"/>
    <x v="1"/>
    <s v="No"/>
  </r>
  <r>
    <s v="TRX-10975"/>
    <x v="30"/>
    <s v="Jordan"/>
    <x v="3"/>
    <x v="3"/>
    <x v="4"/>
    <x v="1"/>
    <x v="3"/>
    <n v="42"/>
    <n v="73"/>
    <n v="40778.660000000003"/>
    <n v="100.57"/>
    <n v="46.8"/>
    <n v="53.769999999999996"/>
    <x v="1"/>
    <n v="1"/>
    <x v="1"/>
    <x v="2"/>
    <s v="Yes"/>
  </r>
  <r>
    <s v="TRX-10976"/>
    <x v="31"/>
    <s v="Drew"/>
    <x v="10"/>
    <x v="2"/>
    <x v="4"/>
    <x v="1"/>
    <x v="3"/>
    <n v="43"/>
    <n v="87"/>
    <n v="11246.61"/>
    <n v="84.03"/>
    <n v="16.88"/>
    <n v="67.150000000000006"/>
    <x v="0"/>
    <n v="5"/>
    <x v="0"/>
    <x v="1"/>
    <s v="No"/>
  </r>
  <r>
    <s v="TRX-10977"/>
    <x v="252"/>
    <s v="Drew"/>
    <x v="3"/>
    <x v="3"/>
    <x v="1"/>
    <x v="1"/>
    <x v="1"/>
    <n v="74"/>
    <n v="79"/>
    <n v="27330.34"/>
    <n v="309.68"/>
    <n v="77.760000000000005"/>
    <n v="231.92000000000002"/>
    <x v="0"/>
    <n v="4"/>
    <x v="0"/>
    <x v="0"/>
    <s v="No"/>
  </r>
  <r>
    <s v="TRX-10978"/>
    <x v="241"/>
    <s v="Drew"/>
    <x v="7"/>
    <x v="0"/>
    <x v="1"/>
    <x v="3"/>
    <x v="3"/>
    <n v="39"/>
    <n v="77"/>
    <n v="48426.34"/>
    <n v="339.18"/>
    <n v="3.79"/>
    <n v="335.39"/>
    <x v="1"/>
    <n v="1"/>
    <x v="1"/>
    <x v="2"/>
    <s v="Yes"/>
  </r>
  <r>
    <s v="TRX-10979"/>
    <x v="278"/>
    <s v="Sam"/>
    <x v="1"/>
    <x v="1"/>
    <x v="2"/>
    <x v="4"/>
    <x v="0"/>
    <n v="38"/>
    <n v="23"/>
    <n v="7818.7"/>
    <n v="432.43"/>
    <n v="7.18"/>
    <n v="425.25"/>
    <x v="0"/>
    <n v="2"/>
    <x v="0"/>
    <x v="1"/>
    <s v="No"/>
  </r>
  <r>
    <s v="TRX-10980"/>
    <x v="131"/>
    <s v="Morgan"/>
    <x v="13"/>
    <x v="0"/>
    <x v="2"/>
    <x v="1"/>
    <x v="1"/>
    <n v="32"/>
    <n v="81"/>
    <n v="47073.38"/>
    <n v="181.63"/>
    <n v="274.45999999999998"/>
    <n v="-92.829999999999984"/>
    <x v="1"/>
    <n v="4"/>
    <x v="0"/>
    <x v="2"/>
    <s v="Yes"/>
  </r>
  <r>
    <s v="TRX-10981"/>
    <x v="48"/>
    <s v="Drew"/>
    <x v="11"/>
    <x v="4"/>
    <x v="2"/>
    <x v="1"/>
    <x v="2"/>
    <n v="48"/>
    <n v="48"/>
    <n v="9553.2099999999991"/>
    <n v="125.36"/>
    <n v="70.400000000000006"/>
    <n v="54.959999999999994"/>
    <x v="0"/>
    <n v="5"/>
    <x v="0"/>
    <x v="1"/>
    <s v="No"/>
  </r>
  <r>
    <s v="TRX-10982"/>
    <x v="326"/>
    <s v="Morgan"/>
    <x v="3"/>
    <x v="4"/>
    <x v="1"/>
    <x v="0"/>
    <x v="2"/>
    <n v="48"/>
    <n v="2"/>
    <n v="28588.44"/>
    <n v="220.55"/>
    <n v="82.16"/>
    <n v="138.39000000000001"/>
    <x v="0"/>
    <n v="1"/>
    <x v="1"/>
    <x v="0"/>
    <s v="No"/>
  </r>
  <r>
    <s v="TRX-10983"/>
    <x v="123"/>
    <s v="Casey"/>
    <x v="6"/>
    <x v="3"/>
    <x v="1"/>
    <x v="0"/>
    <x v="3"/>
    <n v="53"/>
    <n v="84"/>
    <n v="19161.88"/>
    <n v="209.11"/>
    <n v="3.67"/>
    <n v="205.44000000000003"/>
    <x v="0"/>
    <n v="4"/>
    <x v="0"/>
    <x v="0"/>
    <s v="No"/>
  </r>
  <r>
    <s v="TRX-10984"/>
    <x v="270"/>
    <s v="Drew"/>
    <x v="11"/>
    <x v="2"/>
    <x v="2"/>
    <x v="4"/>
    <x v="1"/>
    <n v="39"/>
    <n v="20"/>
    <n v="48263.97"/>
    <n v="109.61"/>
    <n v="81.150000000000006"/>
    <n v="28.459999999999994"/>
    <x v="1"/>
    <n v="2"/>
    <x v="1"/>
    <x v="2"/>
    <s v="Yes"/>
  </r>
  <r>
    <s v="TRX-10985"/>
    <x v="290"/>
    <s v="Jordan"/>
    <x v="1"/>
    <x v="0"/>
    <x v="2"/>
    <x v="4"/>
    <x v="1"/>
    <n v="48"/>
    <n v="59"/>
    <n v="14040.33"/>
    <n v="352.53"/>
    <n v="241.42"/>
    <n v="111.10999999999999"/>
    <x v="0"/>
    <n v="4"/>
    <x v="0"/>
    <x v="1"/>
    <s v="No"/>
  </r>
  <r>
    <s v="TRX-10986"/>
    <x v="282"/>
    <s v="Morgan"/>
    <x v="11"/>
    <x v="2"/>
    <x v="0"/>
    <x v="2"/>
    <x v="2"/>
    <n v="72"/>
    <n v="46"/>
    <n v="20283.07"/>
    <n v="278.91000000000003"/>
    <n v="123.1"/>
    <n v="155.81000000000003"/>
    <x v="0"/>
    <n v="1"/>
    <x v="1"/>
    <x v="0"/>
    <s v="Yes"/>
  </r>
  <r>
    <s v="TRX-10987"/>
    <x v="198"/>
    <s v="Morgan"/>
    <x v="14"/>
    <x v="3"/>
    <x v="2"/>
    <x v="0"/>
    <x v="1"/>
    <n v="69"/>
    <n v="3"/>
    <n v="49151.58"/>
    <n v="374.51"/>
    <n v="226.14"/>
    <n v="148.37"/>
    <x v="1"/>
    <n v="4"/>
    <x v="0"/>
    <x v="2"/>
    <s v="Yes"/>
  </r>
  <r>
    <s v="TRX-10988"/>
    <x v="288"/>
    <s v="Jordan"/>
    <x v="2"/>
    <x v="4"/>
    <x v="0"/>
    <x v="2"/>
    <x v="1"/>
    <n v="57"/>
    <n v="55"/>
    <n v="27055.279999999999"/>
    <n v="208.71"/>
    <n v="134.16"/>
    <n v="74.550000000000011"/>
    <x v="0"/>
    <n v="5"/>
    <x v="0"/>
    <x v="0"/>
    <s v="Yes"/>
  </r>
  <r>
    <s v="TRX-10989"/>
    <x v="106"/>
    <s v="Drew"/>
    <x v="14"/>
    <x v="2"/>
    <x v="3"/>
    <x v="3"/>
    <x v="1"/>
    <n v="46"/>
    <n v="12"/>
    <n v="25380.19"/>
    <n v="196.57"/>
    <n v="92.93"/>
    <n v="103.63999999999999"/>
    <x v="0"/>
    <n v="3"/>
    <x v="1"/>
    <x v="0"/>
    <s v="No"/>
  </r>
  <r>
    <s v="TRX-10990"/>
    <x v="120"/>
    <s v="Jordan"/>
    <x v="11"/>
    <x v="2"/>
    <x v="1"/>
    <x v="2"/>
    <x v="3"/>
    <n v="55"/>
    <n v="40"/>
    <n v="13260.04"/>
    <n v="262.66000000000003"/>
    <n v="96.56"/>
    <n v="166.10000000000002"/>
    <x v="0"/>
    <n v="1"/>
    <x v="0"/>
    <x v="1"/>
    <s v="No"/>
  </r>
  <r>
    <s v="TRX-10991"/>
    <x v="95"/>
    <s v="Morgan"/>
    <x v="4"/>
    <x v="4"/>
    <x v="2"/>
    <x v="1"/>
    <x v="1"/>
    <n v="54"/>
    <n v="66"/>
    <n v="35217.5"/>
    <n v="444.83"/>
    <n v="96.92"/>
    <n v="347.90999999999997"/>
    <x v="1"/>
    <n v="1"/>
    <x v="1"/>
    <x v="2"/>
    <s v="No"/>
  </r>
  <r>
    <s v="TRX-10992"/>
    <x v="295"/>
    <s v="Jordan"/>
    <x v="0"/>
    <x v="0"/>
    <x v="1"/>
    <x v="2"/>
    <x v="0"/>
    <n v="55"/>
    <n v="100"/>
    <n v="1211.46"/>
    <n v="68.13"/>
    <n v="167.79"/>
    <n v="-99.66"/>
    <x v="0"/>
    <n v="1"/>
    <x v="0"/>
    <x v="1"/>
    <s v="No"/>
  </r>
  <r>
    <s v="TRX-10993"/>
    <x v="224"/>
    <s v="Morgan"/>
    <x v="11"/>
    <x v="4"/>
    <x v="1"/>
    <x v="4"/>
    <x v="3"/>
    <n v="60"/>
    <n v="78"/>
    <n v="2950.88"/>
    <n v="412.17"/>
    <n v="59.53"/>
    <n v="352.64"/>
    <x v="0"/>
    <n v="1"/>
    <x v="0"/>
    <x v="1"/>
    <s v="No"/>
  </r>
  <r>
    <s v="TRX-10994"/>
    <x v="148"/>
    <s v="Morgan"/>
    <x v="14"/>
    <x v="2"/>
    <x v="1"/>
    <x v="3"/>
    <x v="1"/>
    <n v="36"/>
    <n v="16"/>
    <n v="30168.25"/>
    <n v="216.04"/>
    <n v="197.92"/>
    <n v="18.120000000000005"/>
    <x v="0"/>
    <n v="4"/>
    <x v="0"/>
    <x v="0"/>
    <s v="No"/>
  </r>
  <r>
    <s v="TRX-10995"/>
    <x v="196"/>
    <s v="Casey"/>
    <x v="8"/>
    <x v="0"/>
    <x v="3"/>
    <x v="1"/>
    <x v="1"/>
    <n v="58"/>
    <n v="83"/>
    <n v="17412.89"/>
    <n v="434.58"/>
    <n v="41.1"/>
    <n v="393.47999999999996"/>
    <x v="0"/>
    <n v="5"/>
    <x v="0"/>
    <x v="0"/>
    <s v="No"/>
  </r>
  <r>
    <s v="TRX-10996"/>
    <x v="117"/>
    <s v="Alex"/>
    <x v="1"/>
    <x v="0"/>
    <x v="4"/>
    <x v="2"/>
    <x v="0"/>
    <n v="33"/>
    <n v="34"/>
    <n v="47689.16"/>
    <n v="410.99"/>
    <n v="137.37"/>
    <n v="273.62"/>
    <x v="1"/>
    <n v="2"/>
    <x v="1"/>
    <x v="2"/>
    <s v="Yes"/>
  </r>
  <r>
    <s v="TRX-10997"/>
    <x v="304"/>
    <s v="Morgan"/>
    <x v="4"/>
    <x v="4"/>
    <x v="2"/>
    <x v="3"/>
    <x v="3"/>
    <n v="43"/>
    <n v="44"/>
    <n v="45207.94"/>
    <n v="206.94"/>
    <n v="182.66"/>
    <n v="24.28"/>
    <x v="1"/>
    <n v="5"/>
    <x v="0"/>
    <x v="2"/>
    <s v="Yes"/>
  </r>
  <r>
    <s v="TRX-10998"/>
    <x v="7"/>
    <s v="Drew"/>
    <x v="14"/>
    <x v="2"/>
    <x v="4"/>
    <x v="3"/>
    <x v="2"/>
    <n v="74"/>
    <n v="110"/>
    <n v="35828.46"/>
    <n v="362.24"/>
    <n v="121.72"/>
    <n v="240.52"/>
    <x v="1"/>
    <n v="1"/>
    <x v="1"/>
    <x v="2"/>
    <s v="No"/>
  </r>
  <r>
    <s v="TRX-10999"/>
    <x v="209"/>
    <s v="Taylor"/>
    <x v="3"/>
    <x v="3"/>
    <x v="4"/>
    <x v="1"/>
    <x v="2"/>
    <n v="42"/>
    <n v="6"/>
    <n v="40998.21"/>
    <n v="121.83"/>
    <n v="111.97"/>
    <n v="9.86"/>
    <x v="1"/>
    <n v="4"/>
    <x v="0"/>
    <x v="2"/>
    <s v="Y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FC1AFC-827E-4182-B661-6965B733E88C}" name="Revenue_Trend"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9" rowHeaderCaption="Date">
  <location ref="K10:L26" firstHeaderRow="1" firstDataRow="1" firstDataCol="1"/>
  <pivotFields count="22">
    <pivotField showAll="0"/>
    <pivotField numFmtId="14" showAll="0">
      <items count="339">
        <item x="240"/>
        <item x="53"/>
        <item x="263"/>
        <item x="287"/>
        <item x="258"/>
        <item x="146"/>
        <item x="70"/>
        <item x="163"/>
        <item x="52"/>
        <item x="327"/>
        <item x="248"/>
        <item x="2"/>
        <item x="133"/>
        <item x="118"/>
        <item x="259"/>
        <item x="32"/>
        <item x="141"/>
        <item x="321"/>
        <item x="110"/>
        <item x="156"/>
        <item x="185"/>
        <item x="178"/>
        <item x="34"/>
        <item x="197"/>
        <item x="202"/>
        <item x="139"/>
        <item x="119"/>
        <item x="50"/>
        <item x="215"/>
        <item x="246"/>
        <item x="188"/>
        <item x="333"/>
        <item x="101"/>
        <item x="111"/>
        <item x="276"/>
        <item x="168"/>
        <item x="47"/>
        <item x="113"/>
        <item x="115"/>
        <item x="137"/>
        <item x="87"/>
        <item x="128"/>
        <item x="279"/>
        <item x="65"/>
        <item x="260"/>
        <item x="289"/>
        <item x="174"/>
        <item x="282"/>
        <item x="13"/>
        <item x="324"/>
        <item x="127"/>
        <item x="120"/>
        <item x="181"/>
        <item x="195"/>
        <item x="155"/>
        <item x="311"/>
        <item x="219"/>
        <item x="177"/>
        <item x="184"/>
        <item x="193"/>
        <item x="271"/>
        <item x="336"/>
        <item x="54"/>
        <item x="51"/>
        <item x="257"/>
        <item x="122"/>
        <item x="10"/>
        <item x="158"/>
        <item x="58"/>
        <item x="100"/>
        <item x="194"/>
        <item x="104"/>
        <item x="267"/>
        <item x="313"/>
        <item x="80"/>
        <item x="145"/>
        <item x="164"/>
        <item x="83"/>
        <item x="131"/>
        <item x="82"/>
        <item x="136"/>
        <item x="269"/>
        <item x="152"/>
        <item x="300"/>
        <item x="203"/>
        <item x="297"/>
        <item x="116"/>
        <item x="103"/>
        <item x="326"/>
        <item x="322"/>
        <item x="106"/>
        <item x="88"/>
        <item x="26"/>
        <item x="278"/>
        <item x="33"/>
        <item x="147"/>
        <item x="296"/>
        <item x="325"/>
        <item x="134"/>
        <item x="98"/>
        <item x="4"/>
        <item x="227"/>
        <item x="231"/>
        <item x="206"/>
        <item x="91"/>
        <item x="302"/>
        <item x="284"/>
        <item x="17"/>
        <item x="239"/>
        <item x="46"/>
        <item x="335"/>
        <item x="138"/>
        <item x="261"/>
        <item x="107"/>
        <item x="102"/>
        <item x="223"/>
        <item x="159"/>
        <item x="221"/>
        <item x="44"/>
        <item x="204"/>
        <item x="108"/>
        <item x="252"/>
        <item x="305"/>
        <item x="97"/>
        <item x="330"/>
        <item x="1"/>
        <item x="249"/>
        <item x="149"/>
        <item x="222"/>
        <item x="40"/>
        <item x="19"/>
        <item x="245"/>
        <item x="66"/>
        <item x="3"/>
        <item x="250"/>
        <item x="306"/>
        <item x="316"/>
        <item x="192"/>
        <item x="301"/>
        <item x="171"/>
        <item x="285"/>
        <item x="237"/>
        <item x="43"/>
        <item x="39"/>
        <item x="186"/>
        <item x="187"/>
        <item x="16"/>
        <item x="94"/>
        <item x="85"/>
        <item x="86"/>
        <item x="328"/>
        <item x="234"/>
        <item x="319"/>
        <item x="329"/>
        <item x="89"/>
        <item x="266"/>
        <item x="125"/>
        <item x="167"/>
        <item x="59"/>
        <item x="130"/>
        <item x="210"/>
        <item x="157"/>
        <item x="244"/>
        <item x="201"/>
        <item x="95"/>
        <item x="214"/>
        <item x="150"/>
        <item x="273"/>
        <item x="38"/>
        <item x="123"/>
        <item x="90"/>
        <item x="256"/>
        <item x="288"/>
        <item x="315"/>
        <item x="291"/>
        <item x="213"/>
        <item x="274"/>
        <item x="175"/>
        <item x="117"/>
        <item x="140"/>
        <item x="8"/>
        <item x="99"/>
        <item x="229"/>
        <item x="277"/>
        <item x="77"/>
        <item x="309"/>
        <item x="299"/>
        <item x="12"/>
        <item x="236"/>
        <item x="275"/>
        <item x="68"/>
        <item x="254"/>
        <item x="42"/>
        <item x="235"/>
        <item x="230"/>
        <item x="56"/>
        <item x="314"/>
        <item x="48"/>
        <item x="332"/>
        <item x="0"/>
        <item x="63"/>
        <item x="67"/>
        <item x="161"/>
        <item x="241"/>
        <item x="334"/>
        <item x="283"/>
        <item x="280"/>
        <item x="61"/>
        <item x="198"/>
        <item x="199"/>
        <item x="293"/>
        <item x="331"/>
        <item x="41"/>
        <item x="323"/>
        <item x="294"/>
        <item x="30"/>
        <item x="216"/>
        <item x="62"/>
        <item x="190"/>
        <item x="166"/>
        <item x="233"/>
        <item x="191"/>
        <item x="183"/>
        <item x="292"/>
        <item x="308"/>
        <item x="196"/>
        <item x="172"/>
        <item x="121"/>
        <item x="179"/>
        <item x="208"/>
        <item x="78"/>
        <item x="232"/>
        <item x="151"/>
        <item x="114"/>
        <item x="23"/>
        <item x="170"/>
        <item x="37"/>
        <item x="79"/>
        <item x="142"/>
        <item x="153"/>
        <item x="207"/>
        <item x="76"/>
        <item x="6"/>
        <item x="24"/>
        <item x="36"/>
        <item x="154"/>
        <item x="92"/>
        <item x="14"/>
        <item x="238"/>
        <item x="224"/>
        <item x="211"/>
        <item x="212"/>
        <item x="69"/>
        <item x="225"/>
        <item x="228"/>
        <item x="310"/>
        <item x="71"/>
        <item x="84"/>
        <item x="49"/>
        <item x="189"/>
        <item x="209"/>
        <item x="29"/>
        <item x="73"/>
        <item x="81"/>
        <item x="45"/>
        <item x="160"/>
        <item x="304"/>
        <item x="60"/>
        <item x="124"/>
        <item x="268"/>
        <item x="242"/>
        <item x="112"/>
        <item x="126"/>
        <item x="18"/>
        <item x="180"/>
        <item x="169"/>
        <item x="253"/>
        <item x="5"/>
        <item x="312"/>
        <item x="21"/>
        <item x="226"/>
        <item x="20"/>
        <item x="22"/>
        <item x="303"/>
        <item x="217"/>
        <item x="28"/>
        <item x="74"/>
        <item x="255"/>
        <item x="320"/>
        <item x="162"/>
        <item x="262"/>
        <item x="272"/>
        <item x="64"/>
        <item x="132"/>
        <item x="290"/>
        <item x="176"/>
        <item x="129"/>
        <item x="96"/>
        <item x="105"/>
        <item x="295"/>
        <item x="109"/>
        <item x="286"/>
        <item x="243"/>
        <item x="144"/>
        <item x="307"/>
        <item x="148"/>
        <item x="182"/>
        <item x="11"/>
        <item x="27"/>
        <item x="264"/>
        <item x="220"/>
        <item x="165"/>
        <item x="15"/>
        <item x="25"/>
        <item x="265"/>
        <item x="173"/>
        <item x="218"/>
        <item x="55"/>
        <item x="205"/>
        <item x="72"/>
        <item x="317"/>
        <item x="247"/>
        <item x="31"/>
        <item x="298"/>
        <item x="35"/>
        <item x="337"/>
        <item x="75"/>
        <item x="57"/>
        <item x="7"/>
        <item x="200"/>
        <item x="93"/>
        <item x="318"/>
        <item x="9"/>
        <item x="135"/>
        <item x="251"/>
        <item x="281"/>
        <item x="143"/>
        <item x="270"/>
        <item t="default"/>
      </items>
    </pivotField>
    <pivotField showAll="0"/>
    <pivotField showAll="0"/>
    <pivotField showAll="0">
      <items count="6">
        <item x="2"/>
        <item x="0"/>
        <item x="4"/>
        <item x="1"/>
        <item x="3"/>
        <item t="default"/>
      </items>
    </pivotField>
    <pivotField showAll="0">
      <items count="6">
        <item x="2"/>
        <item x="4"/>
        <item x="3"/>
        <item x="1"/>
        <item x="0"/>
        <item t="default"/>
      </items>
    </pivotField>
    <pivotField showAll="0">
      <items count="6">
        <item x="3"/>
        <item x="4"/>
        <item x="2"/>
        <item x="0"/>
        <item x="1"/>
        <item t="default"/>
      </items>
    </pivotField>
    <pivotField showAll="0">
      <items count="5">
        <item x="2"/>
        <item x="1"/>
        <item x="0"/>
        <item x="3"/>
        <item t="default"/>
      </items>
    </pivotField>
    <pivotField showAll="0"/>
    <pivotField showAll="0"/>
    <pivotField showAll="0"/>
    <pivotField showAll="0"/>
    <pivotField showAll="0"/>
    <pivotField numFmtId="164" showAll="0"/>
    <pivotField showAll="0"/>
    <pivotField dataField="1" showAll="0"/>
    <pivotField showAll="0"/>
    <pivotField showAll="0">
      <items count="4">
        <item x="0"/>
        <item x="2"/>
        <item x="1"/>
        <item t="default"/>
      </items>
    </pivotField>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x="0"/>
        <item x="1"/>
        <item x="2"/>
        <item x="3"/>
        <item t="default"/>
      </items>
    </pivotField>
  </pivotFields>
  <rowFields count="2">
    <field x="21"/>
    <field x="19"/>
  </rowFields>
  <rowItems count="16">
    <i>
      <x v="1"/>
    </i>
    <i r="1">
      <x v="8"/>
    </i>
    <i r="1">
      <x v="9"/>
    </i>
    <i r="1">
      <x v="10"/>
    </i>
    <i r="1">
      <x v="11"/>
    </i>
    <i r="1">
      <x v="12"/>
    </i>
    <i>
      <x v="2"/>
    </i>
    <i r="1">
      <x v="1"/>
    </i>
    <i r="1">
      <x v="2"/>
    </i>
    <i r="1">
      <x v="3"/>
    </i>
    <i r="1">
      <x v="4"/>
    </i>
    <i r="1">
      <x v="5"/>
    </i>
    <i r="1">
      <x v="6"/>
    </i>
    <i r="1">
      <x v="7"/>
    </i>
    <i r="1">
      <x v="8"/>
    </i>
    <i t="grand">
      <x/>
    </i>
  </rowItems>
  <colItems count="1">
    <i/>
  </colItems>
  <dataFields count="1">
    <dataField name="Average of CSAT Score" fld="15" subtotal="average" baseField="0" baseItem="0"/>
  </dataFields>
  <chartFormats count="2">
    <chartFormat chart="13" format="1" series="1">
      <pivotArea type="data" outline="0" fieldPosition="0">
        <references count="1">
          <reference field="4294967294" count="1" selected="0">
            <x v="0"/>
          </reference>
        </references>
      </pivotArea>
    </chartFormat>
    <chartFormat chart="2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2D8EE3-23D8-47D0-A3B4-E8646115F291}" name="Revenue_Lead_Source" cacheId="1"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15" rowHeaderCaption="Lead Source">
  <location ref="A11:B17" firstHeaderRow="1" firstDataRow="1" firstDataCol="1"/>
  <pivotFields count="22">
    <pivotField showAll="0"/>
    <pivotField numFmtId="14" showAll="0">
      <items count="339">
        <item x="240"/>
        <item x="53"/>
        <item x="263"/>
        <item x="287"/>
        <item x="258"/>
        <item x="146"/>
        <item x="70"/>
        <item x="163"/>
        <item x="52"/>
        <item x="327"/>
        <item x="248"/>
        <item x="2"/>
        <item x="133"/>
        <item x="118"/>
        <item x="259"/>
        <item x="32"/>
        <item x="141"/>
        <item x="321"/>
        <item x="110"/>
        <item x="156"/>
        <item x="185"/>
        <item x="178"/>
        <item x="34"/>
        <item x="197"/>
        <item x="202"/>
        <item x="139"/>
        <item x="119"/>
        <item x="50"/>
        <item x="215"/>
        <item x="246"/>
        <item x="188"/>
        <item x="333"/>
        <item x="101"/>
        <item x="111"/>
        <item x="276"/>
        <item x="168"/>
        <item x="47"/>
        <item x="113"/>
        <item x="115"/>
        <item x="137"/>
        <item x="87"/>
        <item x="128"/>
        <item x="279"/>
        <item x="65"/>
        <item x="260"/>
        <item x="289"/>
        <item x="174"/>
        <item x="282"/>
        <item x="13"/>
        <item x="324"/>
        <item x="127"/>
        <item x="120"/>
        <item x="181"/>
        <item x="195"/>
        <item x="155"/>
        <item x="311"/>
        <item x="219"/>
        <item x="177"/>
        <item x="184"/>
        <item x="193"/>
        <item x="271"/>
        <item x="336"/>
        <item x="54"/>
        <item x="51"/>
        <item x="257"/>
        <item x="122"/>
        <item x="10"/>
        <item x="158"/>
        <item x="58"/>
        <item x="100"/>
        <item x="194"/>
        <item x="104"/>
        <item x="267"/>
        <item x="313"/>
        <item x="80"/>
        <item x="145"/>
        <item x="164"/>
        <item x="83"/>
        <item x="131"/>
        <item x="82"/>
        <item x="136"/>
        <item x="269"/>
        <item x="152"/>
        <item x="300"/>
        <item x="203"/>
        <item x="297"/>
        <item x="116"/>
        <item x="103"/>
        <item x="326"/>
        <item x="322"/>
        <item x="106"/>
        <item x="88"/>
        <item x="26"/>
        <item x="278"/>
        <item x="33"/>
        <item x="147"/>
        <item x="296"/>
        <item x="325"/>
        <item x="134"/>
        <item x="98"/>
        <item x="4"/>
        <item x="227"/>
        <item x="231"/>
        <item x="206"/>
        <item x="91"/>
        <item x="302"/>
        <item x="284"/>
        <item x="17"/>
        <item x="239"/>
        <item x="46"/>
        <item x="335"/>
        <item x="138"/>
        <item x="261"/>
        <item x="107"/>
        <item x="102"/>
        <item x="223"/>
        <item x="159"/>
        <item x="221"/>
        <item x="44"/>
        <item x="204"/>
        <item x="108"/>
        <item x="252"/>
        <item x="305"/>
        <item x="97"/>
        <item x="330"/>
        <item x="1"/>
        <item x="249"/>
        <item x="149"/>
        <item x="222"/>
        <item x="40"/>
        <item x="19"/>
        <item x="245"/>
        <item x="66"/>
        <item x="3"/>
        <item x="250"/>
        <item x="306"/>
        <item x="316"/>
        <item x="192"/>
        <item x="301"/>
        <item x="171"/>
        <item x="285"/>
        <item x="237"/>
        <item x="43"/>
        <item x="39"/>
        <item x="186"/>
        <item x="187"/>
        <item x="16"/>
        <item x="94"/>
        <item x="85"/>
        <item x="86"/>
        <item x="328"/>
        <item x="234"/>
        <item x="319"/>
        <item x="329"/>
        <item x="89"/>
        <item x="266"/>
        <item x="125"/>
        <item x="167"/>
        <item x="59"/>
        <item x="130"/>
        <item x="210"/>
        <item x="157"/>
        <item x="244"/>
        <item x="201"/>
        <item x="95"/>
        <item x="214"/>
        <item x="150"/>
        <item x="273"/>
        <item x="38"/>
        <item x="123"/>
        <item x="90"/>
        <item x="256"/>
        <item x="288"/>
        <item x="315"/>
        <item x="291"/>
        <item x="213"/>
        <item x="274"/>
        <item x="175"/>
        <item x="117"/>
        <item x="140"/>
        <item x="8"/>
        <item x="99"/>
        <item x="229"/>
        <item x="277"/>
        <item x="77"/>
        <item x="309"/>
        <item x="299"/>
        <item x="12"/>
        <item x="236"/>
        <item x="275"/>
        <item x="68"/>
        <item x="254"/>
        <item x="42"/>
        <item x="235"/>
        <item x="230"/>
        <item x="56"/>
        <item x="314"/>
        <item x="48"/>
        <item x="332"/>
        <item x="0"/>
        <item x="63"/>
        <item x="67"/>
        <item x="161"/>
        <item x="241"/>
        <item x="334"/>
        <item x="283"/>
        <item x="280"/>
        <item x="61"/>
        <item x="198"/>
        <item x="199"/>
        <item x="293"/>
        <item x="331"/>
        <item x="41"/>
        <item x="323"/>
        <item x="294"/>
        <item x="30"/>
        <item x="216"/>
        <item x="62"/>
        <item x="190"/>
        <item x="166"/>
        <item x="233"/>
        <item x="191"/>
        <item x="183"/>
        <item x="292"/>
        <item x="308"/>
        <item x="196"/>
        <item x="172"/>
        <item x="121"/>
        <item x="179"/>
        <item x="208"/>
        <item x="78"/>
        <item x="232"/>
        <item x="151"/>
        <item x="114"/>
        <item x="23"/>
        <item x="170"/>
        <item x="37"/>
        <item x="79"/>
        <item x="142"/>
        <item x="153"/>
        <item x="207"/>
        <item x="76"/>
        <item x="6"/>
        <item x="24"/>
        <item x="36"/>
        <item x="154"/>
        <item x="92"/>
        <item x="14"/>
        <item x="238"/>
        <item x="224"/>
        <item x="211"/>
        <item x="212"/>
        <item x="69"/>
        <item x="225"/>
        <item x="228"/>
        <item x="310"/>
        <item x="71"/>
        <item x="84"/>
        <item x="49"/>
        <item x="189"/>
        <item x="209"/>
        <item x="29"/>
        <item x="73"/>
        <item x="81"/>
        <item x="45"/>
        <item x="160"/>
        <item x="304"/>
        <item x="60"/>
        <item x="124"/>
        <item x="268"/>
        <item x="242"/>
        <item x="112"/>
        <item x="126"/>
        <item x="18"/>
        <item x="180"/>
        <item x="169"/>
        <item x="253"/>
        <item x="5"/>
        <item x="312"/>
        <item x="21"/>
        <item x="226"/>
        <item x="20"/>
        <item x="22"/>
        <item x="303"/>
        <item x="217"/>
        <item x="28"/>
        <item x="74"/>
        <item x="255"/>
        <item x="320"/>
        <item x="162"/>
        <item x="262"/>
        <item x="272"/>
        <item x="64"/>
        <item x="132"/>
        <item x="290"/>
        <item x="176"/>
        <item x="129"/>
        <item x="96"/>
        <item x="105"/>
        <item x="295"/>
        <item x="109"/>
        <item x="286"/>
        <item x="243"/>
        <item x="144"/>
        <item x="307"/>
        <item x="148"/>
        <item x="182"/>
        <item x="11"/>
        <item x="27"/>
        <item x="264"/>
        <item x="220"/>
        <item x="165"/>
        <item x="15"/>
        <item x="25"/>
        <item x="265"/>
        <item x="173"/>
        <item x="218"/>
        <item x="55"/>
        <item x="205"/>
        <item x="72"/>
        <item x="317"/>
        <item x="247"/>
        <item x="31"/>
        <item x="298"/>
        <item x="35"/>
        <item x="337"/>
        <item x="75"/>
        <item x="57"/>
        <item x="7"/>
        <item x="200"/>
        <item x="93"/>
        <item x="318"/>
        <item x="9"/>
        <item x="135"/>
        <item x="251"/>
        <item x="281"/>
        <item x="143"/>
        <item x="270"/>
        <item t="default"/>
      </items>
    </pivotField>
    <pivotField showAll="0"/>
    <pivotField showAll="0"/>
    <pivotField showAll="0">
      <items count="6">
        <item x="2"/>
        <item x="0"/>
        <item x="4"/>
        <item x="1"/>
        <item x="3"/>
        <item t="default"/>
      </items>
    </pivotField>
    <pivotField showAll="0">
      <items count="6">
        <item x="2"/>
        <item x="4"/>
        <item x="3"/>
        <item x="1"/>
        <item x="0"/>
        <item t="default"/>
      </items>
    </pivotField>
    <pivotField axis="axisRow" showAll="0">
      <items count="6">
        <item x="3"/>
        <item x="4"/>
        <item x="2"/>
        <item x="0"/>
        <item x="1"/>
        <item t="default"/>
      </items>
    </pivotField>
    <pivotField showAll="0">
      <items count="5">
        <item x="2"/>
        <item x="1"/>
        <item x="0"/>
        <item x="3"/>
        <item t="default"/>
      </items>
    </pivotField>
    <pivotField showAll="0"/>
    <pivotField showAll="0"/>
    <pivotField dataField="1" showAll="0"/>
    <pivotField showAll="0"/>
    <pivotField showAll="0"/>
    <pivotField numFmtId="164" showAll="0"/>
    <pivotField showAll="0"/>
    <pivotField showAll="0"/>
    <pivotField showAll="0"/>
    <pivotField showAll="0">
      <items count="4">
        <item x="0"/>
        <item x="2"/>
        <item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6">
    <i>
      <x/>
    </i>
    <i>
      <x v="1"/>
    </i>
    <i>
      <x v="2"/>
    </i>
    <i>
      <x v="3"/>
    </i>
    <i>
      <x v="4"/>
    </i>
    <i t="grand">
      <x/>
    </i>
  </rowItems>
  <colItems count="1">
    <i/>
  </colItems>
  <dataFields count="1">
    <dataField name="Total Revenue By Lead Source" fld="10" baseField="6" baseItem="0"/>
  </dataFields>
  <chartFormats count="6">
    <chartFormat chart="13" format="0" series="1">
      <pivotArea type="data" outline="0" fieldPosition="0">
        <references count="1">
          <reference field="4294967294" count="1" selected="0">
            <x v="0"/>
          </reference>
        </references>
      </pivotArea>
    </chartFormat>
    <chartFormat chart="13" format="1">
      <pivotArea type="data" outline="0" fieldPosition="0">
        <references count="2">
          <reference field="4294967294" count="1" selected="0">
            <x v="0"/>
          </reference>
          <reference field="6" count="1" selected="0">
            <x v="1"/>
          </reference>
        </references>
      </pivotArea>
    </chartFormat>
    <chartFormat chart="13" format="2">
      <pivotArea type="data" outline="0" fieldPosition="0">
        <references count="2">
          <reference field="4294967294" count="1" selected="0">
            <x v="0"/>
          </reference>
          <reference field="6" count="1" selected="0">
            <x v="0"/>
          </reference>
        </references>
      </pivotArea>
    </chartFormat>
    <chartFormat chart="13" format="3">
      <pivotArea type="data" outline="0" fieldPosition="0">
        <references count="2">
          <reference field="4294967294" count="1" selected="0">
            <x v="0"/>
          </reference>
          <reference field="6" count="1" selected="0">
            <x v="4"/>
          </reference>
        </references>
      </pivotArea>
    </chartFormat>
    <chartFormat chart="13" format="4">
      <pivotArea type="data" outline="0" fieldPosition="0">
        <references count="2">
          <reference field="4294967294" count="1" selected="0">
            <x v="0"/>
          </reference>
          <reference field="6" count="1" selected="0">
            <x v="3"/>
          </reference>
        </references>
      </pivotArea>
    </chartFormat>
    <chartFormat chart="13" format="5">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78835C-E744-458E-A6B8-8966B6EBEF11}" name="Total Revenue By Product" cacheId="1"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25" rowHeaderCaption="Product">
  <location ref="E11:F17" firstHeaderRow="1" firstDataRow="1" firstDataCol="1"/>
  <pivotFields count="22">
    <pivotField showAll="0"/>
    <pivotField numFmtId="14" showAll="0">
      <items count="339">
        <item x="240"/>
        <item x="53"/>
        <item x="263"/>
        <item x="287"/>
        <item x="258"/>
        <item x="146"/>
        <item x="70"/>
        <item x="163"/>
        <item x="52"/>
        <item x="327"/>
        <item x="248"/>
        <item x="2"/>
        <item x="133"/>
        <item x="118"/>
        <item x="259"/>
        <item x="32"/>
        <item x="141"/>
        <item x="321"/>
        <item x="110"/>
        <item x="156"/>
        <item x="185"/>
        <item x="178"/>
        <item x="34"/>
        <item x="197"/>
        <item x="202"/>
        <item x="139"/>
        <item x="119"/>
        <item x="50"/>
        <item x="215"/>
        <item x="246"/>
        <item x="188"/>
        <item x="333"/>
        <item x="101"/>
        <item x="111"/>
        <item x="276"/>
        <item x="168"/>
        <item x="47"/>
        <item x="113"/>
        <item x="115"/>
        <item x="137"/>
        <item x="87"/>
        <item x="128"/>
        <item x="279"/>
        <item x="65"/>
        <item x="260"/>
        <item x="289"/>
        <item x="174"/>
        <item x="282"/>
        <item x="13"/>
        <item x="324"/>
        <item x="127"/>
        <item x="120"/>
        <item x="181"/>
        <item x="195"/>
        <item x="155"/>
        <item x="311"/>
        <item x="219"/>
        <item x="177"/>
        <item x="184"/>
        <item x="193"/>
        <item x="271"/>
        <item x="336"/>
        <item x="54"/>
        <item x="51"/>
        <item x="257"/>
        <item x="122"/>
        <item x="10"/>
        <item x="158"/>
        <item x="58"/>
        <item x="100"/>
        <item x="194"/>
        <item x="104"/>
        <item x="267"/>
        <item x="313"/>
        <item x="80"/>
        <item x="145"/>
        <item x="164"/>
        <item x="83"/>
        <item x="131"/>
        <item x="82"/>
        <item x="136"/>
        <item x="269"/>
        <item x="152"/>
        <item x="300"/>
        <item x="203"/>
        <item x="297"/>
        <item x="116"/>
        <item x="103"/>
        <item x="326"/>
        <item x="322"/>
        <item x="106"/>
        <item x="88"/>
        <item x="26"/>
        <item x="278"/>
        <item x="33"/>
        <item x="147"/>
        <item x="296"/>
        <item x="325"/>
        <item x="134"/>
        <item x="98"/>
        <item x="4"/>
        <item x="227"/>
        <item x="231"/>
        <item x="206"/>
        <item x="91"/>
        <item x="302"/>
        <item x="284"/>
        <item x="17"/>
        <item x="239"/>
        <item x="46"/>
        <item x="335"/>
        <item x="138"/>
        <item x="261"/>
        <item x="107"/>
        <item x="102"/>
        <item x="223"/>
        <item x="159"/>
        <item x="221"/>
        <item x="44"/>
        <item x="204"/>
        <item x="108"/>
        <item x="252"/>
        <item x="305"/>
        <item x="97"/>
        <item x="330"/>
        <item x="1"/>
        <item x="249"/>
        <item x="149"/>
        <item x="222"/>
        <item x="40"/>
        <item x="19"/>
        <item x="245"/>
        <item x="66"/>
        <item x="3"/>
        <item x="250"/>
        <item x="306"/>
        <item x="316"/>
        <item x="192"/>
        <item x="301"/>
        <item x="171"/>
        <item x="285"/>
        <item x="237"/>
        <item x="43"/>
        <item x="39"/>
        <item x="186"/>
        <item x="187"/>
        <item x="16"/>
        <item x="94"/>
        <item x="85"/>
        <item x="86"/>
        <item x="328"/>
        <item x="234"/>
        <item x="319"/>
        <item x="329"/>
        <item x="89"/>
        <item x="266"/>
        <item x="125"/>
        <item x="167"/>
        <item x="59"/>
        <item x="130"/>
        <item x="210"/>
        <item x="157"/>
        <item x="244"/>
        <item x="201"/>
        <item x="95"/>
        <item x="214"/>
        <item x="150"/>
        <item x="273"/>
        <item x="38"/>
        <item x="123"/>
        <item x="90"/>
        <item x="256"/>
        <item x="288"/>
        <item x="315"/>
        <item x="291"/>
        <item x="213"/>
        <item x="274"/>
        <item x="175"/>
        <item x="117"/>
        <item x="140"/>
        <item x="8"/>
        <item x="99"/>
        <item x="229"/>
        <item x="277"/>
        <item x="77"/>
        <item x="309"/>
        <item x="299"/>
        <item x="12"/>
        <item x="236"/>
        <item x="275"/>
        <item x="68"/>
        <item x="254"/>
        <item x="42"/>
        <item x="235"/>
        <item x="230"/>
        <item x="56"/>
        <item x="314"/>
        <item x="48"/>
        <item x="332"/>
        <item x="0"/>
        <item x="63"/>
        <item x="67"/>
        <item x="161"/>
        <item x="241"/>
        <item x="334"/>
        <item x="283"/>
        <item x="280"/>
        <item x="61"/>
        <item x="198"/>
        <item x="199"/>
        <item x="293"/>
        <item x="331"/>
        <item x="41"/>
        <item x="323"/>
        <item x="294"/>
        <item x="30"/>
        <item x="216"/>
        <item x="62"/>
        <item x="190"/>
        <item x="166"/>
        <item x="233"/>
        <item x="191"/>
        <item x="183"/>
        <item x="292"/>
        <item x="308"/>
        <item x="196"/>
        <item x="172"/>
        <item x="121"/>
        <item x="179"/>
        <item x="208"/>
        <item x="78"/>
        <item x="232"/>
        <item x="151"/>
        <item x="114"/>
        <item x="23"/>
        <item x="170"/>
        <item x="37"/>
        <item x="79"/>
        <item x="142"/>
        <item x="153"/>
        <item x="207"/>
        <item x="76"/>
        <item x="6"/>
        <item x="24"/>
        <item x="36"/>
        <item x="154"/>
        <item x="92"/>
        <item x="14"/>
        <item x="238"/>
        <item x="224"/>
        <item x="211"/>
        <item x="212"/>
        <item x="69"/>
        <item x="225"/>
        <item x="228"/>
        <item x="310"/>
        <item x="71"/>
        <item x="84"/>
        <item x="49"/>
        <item x="189"/>
        <item x="209"/>
        <item x="29"/>
        <item x="73"/>
        <item x="81"/>
        <item x="45"/>
        <item x="160"/>
        <item x="304"/>
        <item x="60"/>
        <item x="124"/>
        <item x="268"/>
        <item x="242"/>
        <item x="112"/>
        <item x="126"/>
        <item x="18"/>
        <item x="180"/>
        <item x="169"/>
        <item x="253"/>
        <item x="5"/>
        <item x="312"/>
        <item x="21"/>
        <item x="226"/>
        <item x="20"/>
        <item x="22"/>
        <item x="303"/>
        <item x="217"/>
        <item x="28"/>
        <item x="74"/>
        <item x="255"/>
        <item x="320"/>
        <item x="162"/>
        <item x="262"/>
        <item x="272"/>
        <item x="64"/>
        <item x="132"/>
        <item x="290"/>
        <item x="176"/>
        <item x="129"/>
        <item x="96"/>
        <item x="105"/>
        <item x="295"/>
        <item x="109"/>
        <item x="286"/>
        <item x="243"/>
        <item x="144"/>
        <item x="307"/>
        <item x="148"/>
        <item x="182"/>
        <item x="11"/>
        <item x="27"/>
        <item x="264"/>
        <item x="220"/>
        <item x="165"/>
        <item x="15"/>
        <item x="25"/>
        <item x="265"/>
        <item x="173"/>
        <item x="218"/>
        <item x="55"/>
        <item x="205"/>
        <item x="72"/>
        <item x="317"/>
        <item x="247"/>
        <item x="31"/>
        <item x="298"/>
        <item x="35"/>
        <item x="337"/>
        <item x="75"/>
        <item x="57"/>
        <item x="7"/>
        <item x="200"/>
        <item x="93"/>
        <item x="318"/>
        <item x="9"/>
        <item x="135"/>
        <item x="251"/>
        <item x="281"/>
        <item x="143"/>
        <item x="270"/>
        <item t="default"/>
      </items>
    </pivotField>
    <pivotField showAll="0"/>
    <pivotField showAll="0"/>
    <pivotField showAll="0">
      <items count="6">
        <item x="2"/>
        <item x="0"/>
        <item x="4"/>
        <item x="1"/>
        <item x="3"/>
        <item t="default"/>
      </items>
    </pivotField>
    <pivotField axis="axisRow" showAll="0">
      <items count="6">
        <item sd="0" x="2"/>
        <item sd="0" x="4"/>
        <item sd="0" x="3"/>
        <item sd="0" x="1"/>
        <item sd="0" x="0"/>
        <item t="default" sd="0"/>
      </items>
    </pivotField>
    <pivotField showAll="0">
      <items count="6">
        <item x="3"/>
        <item x="4"/>
        <item x="2"/>
        <item x="0"/>
        <item x="1"/>
        <item t="default"/>
      </items>
    </pivotField>
    <pivotField showAll="0">
      <items count="5">
        <item x="2"/>
        <item x="1"/>
        <item x="0"/>
        <item x="3"/>
        <item t="default"/>
      </items>
    </pivotField>
    <pivotField showAll="0"/>
    <pivotField showAll="0"/>
    <pivotField dataField="1" showAll="0"/>
    <pivotField showAll="0"/>
    <pivotField showAll="0"/>
    <pivotField numFmtId="164" showAll="0"/>
    <pivotField showAll="0"/>
    <pivotField showAll="0"/>
    <pivotField showAll="0"/>
    <pivotField showAll="0">
      <items count="4">
        <item x="0"/>
        <item x="2"/>
        <item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6">
    <i>
      <x/>
    </i>
    <i>
      <x v="1"/>
    </i>
    <i>
      <x v="2"/>
    </i>
    <i>
      <x v="3"/>
    </i>
    <i>
      <x v="4"/>
    </i>
    <i t="grand">
      <x/>
    </i>
  </rowItems>
  <colItems count="1">
    <i/>
  </colItems>
  <dataFields count="1">
    <dataField name="Total Revenue By Product" fld="10" baseField="5" baseItem="0"/>
  </dataFields>
  <chartFormats count="3">
    <chartFormat chart="13"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22"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EA67D41-7628-4AF8-9326-0773526887F2}" name="Net Processing Yield"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4" rowHeaderCaption="Brannch Code">
  <location ref="X11:Y27" firstHeaderRow="1" firstDataRow="1" firstDataCol="1"/>
  <pivotFields count="22">
    <pivotField showAll="0"/>
    <pivotField numFmtId="14" showAll="0">
      <items count="339">
        <item x="240"/>
        <item x="53"/>
        <item x="263"/>
        <item x="287"/>
        <item x="258"/>
        <item x="146"/>
        <item x="70"/>
        <item x="163"/>
        <item x="52"/>
        <item x="327"/>
        <item x="248"/>
        <item x="2"/>
        <item x="133"/>
        <item x="118"/>
        <item x="259"/>
        <item x="32"/>
        <item x="141"/>
        <item x="321"/>
        <item x="110"/>
        <item x="156"/>
        <item x="185"/>
        <item x="178"/>
        <item x="34"/>
        <item x="197"/>
        <item x="202"/>
        <item x="139"/>
        <item x="119"/>
        <item x="50"/>
        <item x="215"/>
        <item x="246"/>
        <item x="188"/>
        <item x="333"/>
        <item x="101"/>
        <item x="111"/>
        <item x="276"/>
        <item x="168"/>
        <item x="47"/>
        <item x="113"/>
        <item x="115"/>
        <item x="137"/>
        <item x="87"/>
        <item x="128"/>
        <item x="279"/>
        <item x="65"/>
        <item x="260"/>
        <item x="289"/>
        <item x="174"/>
        <item x="282"/>
        <item x="13"/>
        <item x="324"/>
        <item x="127"/>
        <item x="120"/>
        <item x="181"/>
        <item x="195"/>
        <item x="155"/>
        <item x="311"/>
        <item x="219"/>
        <item x="177"/>
        <item x="184"/>
        <item x="193"/>
        <item x="271"/>
        <item x="336"/>
        <item x="54"/>
        <item x="51"/>
        <item x="257"/>
        <item x="122"/>
        <item x="10"/>
        <item x="158"/>
        <item x="58"/>
        <item x="100"/>
        <item x="194"/>
        <item x="104"/>
        <item x="267"/>
        <item x="313"/>
        <item x="80"/>
        <item x="145"/>
        <item x="164"/>
        <item x="83"/>
        <item x="131"/>
        <item x="82"/>
        <item x="136"/>
        <item x="269"/>
        <item x="152"/>
        <item x="300"/>
        <item x="203"/>
        <item x="297"/>
        <item x="116"/>
        <item x="103"/>
        <item x="326"/>
        <item x="322"/>
        <item x="106"/>
        <item x="88"/>
        <item x="26"/>
        <item x="278"/>
        <item x="33"/>
        <item x="147"/>
        <item x="296"/>
        <item x="325"/>
        <item x="134"/>
        <item x="98"/>
        <item x="4"/>
        <item x="227"/>
        <item x="231"/>
        <item x="206"/>
        <item x="91"/>
        <item x="302"/>
        <item x="284"/>
        <item x="17"/>
        <item x="239"/>
        <item x="46"/>
        <item x="335"/>
        <item x="138"/>
        <item x="261"/>
        <item x="107"/>
        <item x="102"/>
        <item x="223"/>
        <item x="159"/>
        <item x="221"/>
        <item x="44"/>
        <item x="204"/>
        <item x="108"/>
        <item x="252"/>
        <item x="305"/>
        <item x="97"/>
        <item x="330"/>
        <item x="1"/>
        <item x="249"/>
        <item x="149"/>
        <item x="222"/>
        <item x="40"/>
        <item x="19"/>
        <item x="245"/>
        <item x="66"/>
        <item x="3"/>
        <item x="250"/>
        <item x="306"/>
        <item x="316"/>
        <item x="192"/>
        <item x="301"/>
        <item x="171"/>
        <item x="285"/>
        <item x="237"/>
        <item x="43"/>
        <item x="39"/>
        <item x="186"/>
        <item x="187"/>
        <item x="16"/>
        <item x="94"/>
        <item x="85"/>
        <item x="86"/>
        <item x="328"/>
        <item x="234"/>
        <item x="319"/>
        <item x="329"/>
        <item x="89"/>
        <item x="266"/>
        <item x="125"/>
        <item x="167"/>
        <item x="59"/>
        <item x="130"/>
        <item x="210"/>
        <item x="157"/>
        <item x="244"/>
        <item x="201"/>
        <item x="95"/>
        <item x="214"/>
        <item x="150"/>
        <item x="273"/>
        <item x="38"/>
        <item x="123"/>
        <item x="90"/>
        <item x="256"/>
        <item x="288"/>
        <item x="315"/>
        <item x="291"/>
        <item x="213"/>
        <item x="274"/>
        <item x="175"/>
        <item x="117"/>
        <item x="140"/>
        <item x="8"/>
        <item x="99"/>
        <item x="229"/>
        <item x="277"/>
        <item x="77"/>
        <item x="309"/>
        <item x="299"/>
        <item x="12"/>
        <item x="236"/>
        <item x="275"/>
        <item x="68"/>
        <item x="254"/>
        <item x="42"/>
        <item x="235"/>
        <item x="230"/>
        <item x="56"/>
        <item x="314"/>
        <item x="48"/>
        <item x="332"/>
        <item x="0"/>
        <item x="63"/>
        <item x="67"/>
        <item x="161"/>
        <item x="241"/>
        <item x="334"/>
        <item x="283"/>
        <item x="280"/>
        <item x="61"/>
        <item x="198"/>
        <item x="199"/>
        <item x="293"/>
        <item x="331"/>
        <item x="41"/>
        <item x="323"/>
        <item x="294"/>
        <item x="30"/>
        <item x="216"/>
        <item x="62"/>
        <item x="190"/>
        <item x="166"/>
        <item x="233"/>
        <item x="191"/>
        <item x="183"/>
        <item x="292"/>
        <item x="308"/>
        <item x="196"/>
        <item x="172"/>
        <item x="121"/>
        <item x="179"/>
        <item x="208"/>
        <item x="78"/>
        <item x="232"/>
        <item x="151"/>
        <item x="114"/>
        <item x="23"/>
        <item x="170"/>
        <item x="37"/>
        <item x="79"/>
        <item x="142"/>
        <item x="153"/>
        <item x="207"/>
        <item x="76"/>
        <item x="6"/>
        <item x="24"/>
        <item x="36"/>
        <item x="154"/>
        <item x="92"/>
        <item x="14"/>
        <item x="238"/>
        <item x="224"/>
        <item x="211"/>
        <item x="212"/>
        <item x="69"/>
        <item x="225"/>
        <item x="228"/>
        <item x="310"/>
        <item x="71"/>
        <item x="84"/>
        <item x="49"/>
        <item x="189"/>
        <item x="209"/>
        <item x="29"/>
        <item x="73"/>
        <item x="81"/>
        <item x="45"/>
        <item x="160"/>
        <item x="304"/>
        <item x="60"/>
        <item x="124"/>
        <item x="268"/>
        <item x="242"/>
        <item x="112"/>
        <item x="126"/>
        <item x="18"/>
        <item x="180"/>
        <item x="169"/>
        <item x="253"/>
        <item x="5"/>
        <item x="312"/>
        <item x="21"/>
        <item x="226"/>
        <item x="20"/>
        <item x="22"/>
        <item x="303"/>
        <item x="217"/>
        <item x="28"/>
        <item x="74"/>
        <item x="255"/>
        <item x="320"/>
        <item x="162"/>
        <item x="262"/>
        <item x="272"/>
        <item x="64"/>
        <item x="132"/>
        <item x="290"/>
        <item x="176"/>
        <item x="129"/>
        <item x="96"/>
        <item x="105"/>
        <item x="295"/>
        <item x="109"/>
        <item x="286"/>
        <item x="243"/>
        <item x="144"/>
        <item x="307"/>
        <item x="148"/>
        <item x="182"/>
        <item x="11"/>
        <item x="27"/>
        <item x="264"/>
        <item x="220"/>
        <item x="165"/>
        <item x="15"/>
        <item x="25"/>
        <item x="265"/>
        <item x="173"/>
        <item x="218"/>
        <item x="55"/>
        <item x="205"/>
        <item x="72"/>
        <item x="317"/>
        <item x="247"/>
        <item x="31"/>
        <item x="298"/>
        <item x="35"/>
        <item x="337"/>
        <item x="75"/>
        <item x="57"/>
        <item x="7"/>
        <item x="200"/>
        <item x="93"/>
        <item x="318"/>
        <item x="9"/>
        <item x="135"/>
        <item x="251"/>
        <item x="281"/>
        <item x="143"/>
        <item x="270"/>
        <item t="default"/>
      </items>
    </pivotField>
    <pivotField showAll="0"/>
    <pivotField axis="axisRow" showAll="0">
      <items count="16">
        <item x="2"/>
        <item x="10"/>
        <item x="9"/>
        <item x="5"/>
        <item x="4"/>
        <item x="0"/>
        <item x="14"/>
        <item x="12"/>
        <item x="3"/>
        <item x="11"/>
        <item x="13"/>
        <item x="7"/>
        <item x="6"/>
        <item x="8"/>
        <item x="1"/>
        <item t="default"/>
      </items>
    </pivotField>
    <pivotField showAll="0">
      <items count="6">
        <item x="2"/>
        <item x="0"/>
        <item x="4"/>
        <item x="1"/>
        <item x="3"/>
        <item t="default"/>
      </items>
    </pivotField>
    <pivotField showAll="0">
      <items count="6">
        <item x="2"/>
        <item x="4"/>
        <item x="3"/>
        <item x="1"/>
        <item x="0"/>
        <item t="default"/>
      </items>
    </pivotField>
    <pivotField showAll="0">
      <items count="6">
        <item x="3"/>
        <item x="4"/>
        <item x="2"/>
        <item x="0"/>
        <item x="1"/>
        <item t="default"/>
      </items>
    </pivotField>
    <pivotField showAll="0">
      <items count="5">
        <item x="2"/>
        <item x="1"/>
        <item x="0"/>
        <item x="3"/>
        <item t="default"/>
      </items>
    </pivotField>
    <pivotField showAll="0"/>
    <pivotField showAll="0"/>
    <pivotField showAll="0"/>
    <pivotField showAll="0"/>
    <pivotField showAll="0"/>
    <pivotField numFmtId="164" showAll="0"/>
    <pivotField showAll="0"/>
    <pivotField dataField="1" showAll="0"/>
    <pivotField showAll="0"/>
    <pivotField showAll="0">
      <items count="4">
        <item x="0"/>
        <item x="2"/>
        <item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16">
    <i>
      <x/>
    </i>
    <i>
      <x v="1"/>
    </i>
    <i>
      <x v="2"/>
    </i>
    <i>
      <x v="3"/>
    </i>
    <i>
      <x v="4"/>
    </i>
    <i>
      <x v="5"/>
    </i>
    <i>
      <x v="6"/>
    </i>
    <i>
      <x v="7"/>
    </i>
    <i>
      <x v="8"/>
    </i>
    <i>
      <x v="9"/>
    </i>
    <i>
      <x v="10"/>
    </i>
    <i>
      <x v="11"/>
    </i>
    <i>
      <x v="12"/>
    </i>
    <i>
      <x v="13"/>
    </i>
    <i>
      <x v="14"/>
    </i>
    <i t="grand">
      <x/>
    </i>
  </rowItems>
  <colItems count="1">
    <i/>
  </colItems>
  <dataFields count="1">
    <dataField name="Avg Of CSAT Score" fld="15" subtotal="average"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742D3D-08CC-4EB8-B486-E6DC0200B680}" name="Target_Achived_Rate"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0" rowHeaderCaption="Yes Or No">
  <location ref="H10:I13" firstHeaderRow="1" firstDataRow="1" firstDataCol="1"/>
  <pivotFields count="22">
    <pivotField showAll="0"/>
    <pivotField numFmtId="14" showAll="0">
      <items count="339">
        <item x="240"/>
        <item x="53"/>
        <item x="263"/>
        <item x="287"/>
        <item x="258"/>
        <item x="146"/>
        <item x="70"/>
        <item x="163"/>
        <item x="52"/>
        <item x="327"/>
        <item x="248"/>
        <item x="2"/>
        <item x="133"/>
        <item x="118"/>
        <item x="259"/>
        <item x="32"/>
        <item x="141"/>
        <item x="321"/>
        <item x="110"/>
        <item x="156"/>
        <item x="185"/>
        <item x="178"/>
        <item x="34"/>
        <item x="197"/>
        <item x="202"/>
        <item x="139"/>
        <item x="119"/>
        <item x="50"/>
        <item x="215"/>
        <item x="246"/>
        <item x="188"/>
        <item x="333"/>
        <item x="101"/>
        <item x="111"/>
        <item x="276"/>
        <item x="168"/>
        <item x="47"/>
        <item x="113"/>
        <item x="115"/>
        <item x="137"/>
        <item x="87"/>
        <item x="128"/>
        <item x="279"/>
        <item x="65"/>
        <item x="260"/>
        <item x="289"/>
        <item x="174"/>
        <item x="282"/>
        <item x="13"/>
        <item x="324"/>
        <item x="127"/>
        <item x="120"/>
        <item x="181"/>
        <item x="195"/>
        <item x="155"/>
        <item x="311"/>
        <item x="219"/>
        <item x="177"/>
        <item x="184"/>
        <item x="193"/>
        <item x="271"/>
        <item x="336"/>
        <item x="54"/>
        <item x="51"/>
        <item x="257"/>
        <item x="122"/>
        <item x="10"/>
        <item x="158"/>
        <item x="58"/>
        <item x="100"/>
        <item x="194"/>
        <item x="104"/>
        <item x="267"/>
        <item x="313"/>
        <item x="80"/>
        <item x="145"/>
        <item x="164"/>
        <item x="83"/>
        <item x="131"/>
        <item x="82"/>
        <item x="136"/>
        <item x="269"/>
        <item x="152"/>
        <item x="300"/>
        <item x="203"/>
        <item x="297"/>
        <item x="116"/>
        <item x="103"/>
        <item x="326"/>
        <item x="322"/>
        <item x="106"/>
        <item x="88"/>
        <item x="26"/>
        <item x="278"/>
        <item x="33"/>
        <item x="147"/>
        <item x="296"/>
        <item x="325"/>
        <item x="134"/>
        <item x="98"/>
        <item x="4"/>
        <item x="227"/>
        <item x="231"/>
        <item x="206"/>
        <item x="91"/>
        <item x="302"/>
        <item x="284"/>
        <item x="17"/>
        <item x="239"/>
        <item x="46"/>
        <item x="335"/>
        <item x="138"/>
        <item x="261"/>
        <item x="107"/>
        <item x="102"/>
        <item x="223"/>
        <item x="159"/>
        <item x="221"/>
        <item x="44"/>
        <item x="204"/>
        <item x="108"/>
        <item x="252"/>
        <item x="305"/>
        <item x="97"/>
        <item x="330"/>
        <item x="1"/>
        <item x="249"/>
        <item x="149"/>
        <item x="222"/>
        <item x="40"/>
        <item x="19"/>
        <item x="245"/>
        <item x="66"/>
        <item x="3"/>
        <item x="250"/>
        <item x="306"/>
        <item x="316"/>
        <item x="192"/>
        <item x="301"/>
        <item x="171"/>
        <item x="285"/>
        <item x="237"/>
        <item x="43"/>
        <item x="39"/>
        <item x="186"/>
        <item x="187"/>
        <item x="16"/>
        <item x="94"/>
        <item x="85"/>
        <item x="86"/>
        <item x="328"/>
        <item x="234"/>
        <item x="319"/>
        <item x="329"/>
        <item x="89"/>
        <item x="266"/>
        <item x="125"/>
        <item x="167"/>
        <item x="59"/>
        <item x="130"/>
        <item x="210"/>
        <item x="157"/>
        <item x="244"/>
        <item x="201"/>
        <item x="95"/>
        <item x="214"/>
        <item x="150"/>
        <item x="273"/>
        <item x="38"/>
        <item x="123"/>
        <item x="90"/>
        <item x="256"/>
        <item x="288"/>
        <item x="315"/>
        <item x="291"/>
        <item x="213"/>
        <item x="274"/>
        <item x="175"/>
        <item x="117"/>
        <item x="140"/>
        <item x="8"/>
        <item x="99"/>
        <item x="229"/>
        <item x="277"/>
        <item x="77"/>
        <item x="309"/>
        <item x="299"/>
        <item x="12"/>
        <item x="236"/>
        <item x="275"/>
        <item x="68"/>
        <item x="254"/>
        <item x="42"/>
        <item x="235"/>
        <item x="230"/>
        <item x="56"/>
        <item x="314"/>
        <item x="48"/>
        <item x="332"/>
        <item x="0"/>
        <item x="63"/>
        <item x="67"/>
        <item x="161"/>
        <item x="241"/>
        <item x="334"/>
        <item x="283"/>
        <item x="280"/>
        <item x="61"/>
        <item x="198"/>
        <item x="199"/>
        <item x="293"/>
        <item x="331"/>
        <item x="41"/>
        <item x="323"/>
        <item x="294"/>
        <item x="30"/>
        <item x="216"/>
        <item x="62"/>
        <item x="190"/>
        <item x="166"/>
        <item x="233"/>
        <item x="191"/>
        <item x="183"/>
        <item x="292"/>
        <item x="308"/>
        <item x="196"/>
        <item x="172"/>
        <item x="121"/>
        <item x="179"/>
        <item x="208"/>
        <item x="78"/>
        <item x="232"/>
        <item x="151"/>
        <item x="114"/>
        <item x="23"/>
        <item x="170"/>
        <item x="37"/>
        <item x="79"/>
        <item x="142"/>
        <item x="153"/>
        <item x="207"/>
        <item x="76"/>
        <item x="6"/>
        <item x="24"/>
        <item x="36"/>
        <item x="154"/>
        <item x="92"/>
        <item x="14"/>
        <item x="238"/>
        <item x="224"/>
        <item x="211"/>
        <item x="212"/>
        <item x="69"/>
        <item x="225"/>
        <item x="228"/>
        <item x="310"/>
        <item x="71"/>
        <item x="84"/>
        <item x="49"/>
        <item x="189"/>
        <item x="209"/>
        <item x="29"/>
        <item x="73"/>
        <item x="81"/>
        <item x="45"/>
        <item x="160"/>
        <item x="304"/>
        <item x="60"/>
        <item x="124"/>
        <item x="268"/>
        <item x="242"/>
        <item x="112"/>
        <item x="126"/>
        <item x="18"/>
        <item x="180"/>
        <item x="169"/>
        <item x="253"/>
        <item x="5"/>
        <item x="312"/>
        <item x="21"/>
        <item x="226"/>
        <item x="20"/>
        <item x="22"/>
        <item x="303"/>
        <item x="217"/>
        <item x="28"/>
        <item x="74"/>
        <item x="255"/>
        <item x="320"/>
        <item x="162"/>
        <item x="262"/>
        <item x="272"/>
        <item x="64"/>
        <item x="132"/>
        <item x="290"/>
        <item x="176"/>
        <item x="129"/>
        <item x="96"/>
        <item x="105"/>
        <item x="295"/>
        <item x="109"/>
        <item x="286"/>
        <item x="243"/>
        <item x="144"/>
        <item x="307"/>
        <item x="148"/>
        <item x="182"/>
        <item x="11"/>
        <item x="27"/>
        <item x="264"/>
        <item x="220"/>
        <item x="165"/>
        <item x="15"/>
        <item x="25"/>
        <item x="265"/>
        <item x="173"/>
        <item x="218"/>
        <item x="55"/>
        <item x="205"/>
        <item x="72"/>
        <item x="317"/>
        <item x="247"/>
        <item x="31"/>
        <item x="298"/>
        <item x="35"/>
        <item x="337"/>
        <item x="75"/>
        <item x="57"/>
        <item x="7"/>
        <item x="200"/>
        <item x="93"/>
        <item x="318"/>
        <item x="9"/>
        <item x="135"/>
        <item x="251"/>
        <item x="281"/>
        <item x="143"/>
        <item x="270"/>
        <item t="default"/>
      </items>
    </pivotField>
    <pivotField showAll="0"/>
    <pivotField showAll="0"/>
    <pivotField showAll="0">
      <items count="6">
        <item x="2"/>
        <item x="0"/>
        <item x="4"/>
        <item x="1"/>
        <item x="3"/>
        <item t="default"/>
      </items>
    </pivotField>
    <pivotField showAll="0">
      <items count="6">
        <item x="2"/>
        <item x="4"/>
        <item x="3"/>
        <item x="1"/>
        <item x="0"/>
        <item t="default"/>
      </items>
    </pivotField>
    <pivotField showAll="0">
      <items count="6">
        <item x="3"/>
        <item x="4"/>
        <item x="2"/>
        <item x="0"/>
        <item x="1"/>
        <item t="default"/>
      </items>
    </pivotField>
    <pivotField showAll="0">
      <items count="5">
        <item x="2"/>
        <item x="1"/>
        <item x="0"/>
        <item x="3"/>
        <item t="default"/>
      </items>
    </pivotField>
    <pivotField showAll="0"/>
    <pivotField showAll="0"/>
    <pivotField dataField="1" showAll="0"/>
    <pivotField showAll="0"/>
    <pivotField showAll="0"/>
    <pivotField numFmtId="164" showAll="0"/>
    <pivotField axis="axisRow" showAll="0">
      <items count="5">
        <item m="1" x="2"/>
        <item m="1" x="3"/>
        <item x="0"/>
        <item x="1"/>
        <item t="default"/>
      </items>
    </pivotField>
    <pivotField showAll="0"/>
    <pivotField showAll="0"/>
    <pivotField showAll="0">
      <items count="4">
        <item x="0"/>
        <item x="2"/>
        <item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4"/>
  </rowFields>
  <rowItems count="3">
    <i>
      <x v="2"/>
    </i>
    <i>
      <x v="3"/>
    </i>
    <i t="grand">
      <x/>
    </i>
  </rowItems>
  <colItems count="1">
    <i/>
  </colItems>
  <dataFields count="1">
    <dataField name="Total target Achieved" fld="10" showDataAs="percentOfTotal" baseField="0" baseItem="0" numFmtId="10"/>
  </dataField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4" count="1" selected="0">
            <x v="0"/>
          </reference>
        </references>
      </pivotArea>
    </chartFormat>
    <chartFormat chart="2" format="2">
      <pivotArea type="data" outline="0" fieldPosition="0">
        <references count="2">
          <reference field="4294967294" count="1" selected="0">
            <x v="0"/>
          </reference>
          <reference field="14" count="1" selected="0">
            <x v="1"/>
          </reference>
        </references>
      </pivotArea>
    </chartFormat>
    <chartFormat chart="2" format="3">
      <pivotArea type="data" outline="0" fieldPosition="0">
        <references count="2">
          <reference field="4294967294" count="1" selected="0">
            <x v="0"/>
          </reference>
          <reference field="14" count="1" selected="0">
            <x v="2"/>
          </reference>
        </references>
      </pivotArea>
    </chartFormat>
    <chartFormat chart="2" format="4">
      <pivotArea type="data" outline="0" fieldPosition="0">
        <references count="2">
          <reference field="4294967294" count="1" selected="0">
            <x v="0"/>
          </reference>
          <reference field="14" count="1" selected="0">
            <x v="3"/>
          </reference>
        </references>
      </pivotArea>
    </chartFormat>
    <chartFormat chart="15" format="14" series="1">
      <pivotArea type="data" outline="0" fieldPosition="0">
        <references count="1">
          <reference field="4294967294" count="1" selected="0">
            <x v="0"/>
          </reference>
        </references>
      </pivotArea>
    </chartFormat>
    <chartFormat chart="15" format="15">
      <pivotArea type="data" outline="0" fieldPosition="0">
        <references count="2">
          <reference field="4294967294" count="1" selected="0">
            <x v="0"/>
          </reference>
          <reference field="14" count="1" selected="0">
            <x v="2"/>
          </reference>
        </references>
      </pivotArea>
    </chartFormat>
    <chartFormat chart="15" format="16">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DEACAD3-59F1-4EFC-B805-6B01C794DF07}" name="Total Processing Fee"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0" rowHeaderCaption="Customer Seg">
  <location ref="R11:S16" firstHeaderRow="1" firstDataRow="1" firstDataCol="1"/>
  <pivotFields count="22">
    <pivotField showAll="0"/>
    <pivotField numFmtId="14" showAll="0">
      <items count="339">
        <item x="240"/>
        <item x="53"/>
        <item x="263"/>
        <item x="287"/>
        <item x="258"/>
        <item x="146"/>
        <item x="70"/>
        <item x="163"/>
        <item x="52"/>
        <item x="327"/>
        <item x="248"/>
        <item x="2"/>
        <item x="133"/>
        <item x="118"/>
        <item x="259"/>
        <item x="32"/>
        <item x="141"/>
        <item x="321"/>
        <item x="110"/>
        <item x="156"/>
        <item x="185"/>
        <item x="178"/>
        <item x="34"/>
        <item x="197"/>
        <item x="202"/>
        <item x="139"/>
        <item x="119"/>
        <item x="50"/>
        <item x="215"/>
        <item x="246"/>
        <item x="188"/>
        <item x="333"/>
        <item x="101"/>
        <item x="111"/>
        <item x="276"/>
        <item x="168"/>
        <item x="47"/>
        <item x="113"/>
        <item x="115"/>
        <item x="137"/>
        <item x="87"/>
        <item x="128"/>
        <item x="279"/>
        <item x="65"/>
        <item x="260"/>
        <item x="289"/>
        <item x="174"/>
        <item x="282"/>
        <item x="13"/>
        <item x="324"/>
        <item x="127"/>
        <item x="120"/>
        <item x="181"/>
        <item x="195"/>
        <item x="155"/>
        <item x="311"/>
        <item x="219"/>
        <item x="177"/>
        <item x="184"/>
        <item x="193"/>
        <item x="271"/>
        <item x="336"/>
        <item x="54"/>
        <item x="51"/>
        <item x="257"/>
        <item x="122"/>
        <item x="10"/>
        <item x="158"/>
        <item x="58"/>
        <item x="100"/>
        <item x="194"/>
        <item x="104"/>
        <item x="267"/>
        <item x="313"/>
        <item x="80"/>
        <item x="145"/>
        <item x="164"/>
        <item x="83"/>
        <item x="131"/>
        <item x="82"/>
        <item x="136"/>
        <item x="269"/>
        <item x="152"/>
        <item x="300"/>
        <item x="203"/>
        <item x="297"/>
        <item x="116"/>
        <item x="103"/>
        <item x="326"/>
        <item x="322"/>
        <item x="106"/>
        <item x="88"/>
        <item x="26"/>
        <item x="278"/>
        <item x="33"/>
        <item x="147"/>
        <item x="296"/>
        <item x="325"/>
        <item x="134"/>
        <item x="98"/>
        <item x="4"/>
        <item x="227"/>
        <item x="231"/>
        <item x="206"/>
        <item x="91"/>
        <item x="302"/>
        <item x="284"/>
        <item x="17"/>
        <item x="239"/>
        <item x="46"/>
        <item x="335"/>
        <item x="138"/>
        <item x="261"/>
        <item x="107"/>
        <item x="102"/>
        <item x="223"/>
        <item x="159"/>
        <item x="221"/>
        <item x="44"/>
        <item x="204"/>
        <item x="108"/>
        <item x="252"/>
        <item x="305"/>
        <item x="97"/>
        <item x="330"/>
        <item x="1"/>
        <item x="249"/>
        <item x="149"/>
        <item x="222"/>
        <item x="40"/>
        <item x="19"/>
        <item x="245"/>
        <item x="66"/>
        <item x="3"/>
        <item x="250"/>
        <item x="306"/>
        <item x="316"/>
        <item x="192"/>
        <item x="301"/>
        <item x="171"/>
        <item x="285"/>
        <item x="237"/>
        <item x="43"/>
        <item x="39"/>
        <item x="186"/>
        <item x="187"/>
        <item x="16"/>
        <item x="94"/>
        <item x="85"/>
        <item x="86"/>
        <item x="328"/>
        <item x="234"/>
        <item x="319"/>
        <item x="329"/>
        <item x="89"/>
        <item x="266"/>
        <item x="125"/>
        <item x="167"/>
        <item x="59"/>
        <item x="130"/>
        <item x="210"/>
        <item x="157"/>
        <item x="244"/>
        <item x="201"/>
        <item x="95"/>
        <item x="214"/>
        <item x="150"/>
        <item x="273"/>
        <item x="38"/>
        <item x="123"/>
        <item x="90"/>
        <item x="256"/>
        <item x="288"/>
        <item x="315"/>
        <item x="291"/>
        <item x="213"/>
        <item x="274"/>
        <item x="175"/>
        <item x="117"/>
        <item x="140"/>
        <item x="8"/>
        <item x="99"/>
        <item x="229"/>
        <item x="277"/>
        <item x="77"/>
        <item x="309"/>
        <item x="299"/>
        <item x="12"/>
        <item x="236"/>
        <item x="275"/>
        <item x="68"/>
        <item x="254"/>
        <item x="42"/>
        <item x="235"/>
        <item x="230"/>
        <item x="56"/>
        <item x="314"/>
        <item x="48"/>
        <item x="332"/>
        <item x="0"/>
        <item x="63"/>
        <item x="67"/>
        <item x="161"/>
        <item x="241"/>
        <item x="334"/>
        <item x="283"/>
        <item x="280"/>
        <item x="61"/>
        <item x="198"/>
        <item x="199"/>
        <item x="293"/>
        <item x="331"/>
        <item x="41"/>
        <item x="323"/>
        <item x="294"/>
        <item x="30"/>
        <item x="216"/>
        <item x="62"/>
        <item x="190"/>
        <item x="166"/>
        <item x="233"/>
        <item x="191"/>
        <item x="183"/>
        <item x="292"/>
        <item x="308"/>
        <item x="196"/>
        <item x="172"/>
        <item x="121"/>
        <item x="179"/>
        <item x="208"/>
        <item x="78"/>
        <item x="232"/>
        <item x="151"/>
        <item x="114"/>
        <item x="23"/>
        <item x="170"/>
        <item x="37"/>
        <item x="79"/>
        <item x="142"/>
        <item x="153"/>
        <item x="207"/>
        <item x="76"/>
        <item x="6"/>
        <item x="24"/>
        <item x="36"/>
        <item x="154"/>
        <item x="92"/>
        <item x="14"/>
        <item x="238"/>
        <item x="224"/>
        <item x="211"/>
        <item x="212"/>
        <item x="69"/>
        <item x="225"/>
        <item x="228"/>
        <item x="310"/>
        <item x="71"/>
        <item x="84"/>
        <item x="49"/>
        <item x="189"/>
        <item x="209"/>
        <item x="29"/>
        <item x="73"/>
        <item x="81"/>
        <item x="45"/>
        <item x="160"/>
        <item x="304"/>
        <item x="60"/>
        <item x="124"/>
        <item x="268"/>
        <item x="242"/>
        <item x="112"/>
        <item x="126"/>
        <item x="18"/>
        <item x="180"/>
        <item x="169"/>
        <item x="253"/>
        <item x="5"/>
        <item x="312"/>
        <item x="21"/>
        <item x="226"/>
        <item x="20"/>
        <item x="22"/>
        <item x="303"/>
        <item x="217"/>
        <item x="28"/>
        <item x="74"/>
        <item x="255"/>
        <item x="320"/>
        <item x="162"/>
        <item x="262"/>
        <item x="272"/>
        <item x="64"/>
        <item x="132"/>
        <item x="290"/>
        <item x="176"/>
        <item x="129"/>
        <item x="96"/>
        <item x="105"/>
        <item x="295"/>
        <item x="109"/>
        <item x="286"/>
        <item x="243"/>
        <item x="144"/>
        <item x="307"/>
        <item x="148"/>
        <item x="182"/>
        <item x="11"/>
        <item x="27"/>
        <item x="264"/>
        <item x="220"/>
        <item x="165"/>
        <item x="15"/>
        <item x="25"/>
        <item x="265"/>
        <item x="173"/>
        <item x="218"/>
        <item x="55"/>
        <item x="205"/>
        <item x="72"/>
        <item x="317"/>
        <item x="247"/>
        <item x="31"/>
        <item x="298"/>
        <item x="35"/>
        <item x="337"/>
        <item x="75"/>
        <item x="57"/>
        <item x="7"/>
        <item x="200"/>
        <item x="93"/>
        <item x="318"/>
        <item x="9"/>
        <item x="135"/>
        <item x="251"/>
        <item x="281"/>
        <item x="143"/>
        <item x="270"/>
        <item t="default"/>
      </items>
    </pivotField>
    <pivotField showAll="0"/>
    <pivotField showAll="0"/>
    <pivotField showAll="0">
      <items count="6">
        <item x="2"/>
        <item x="0"/>
        <item x="4"/>
        <item x="1"/>
        <item x="3"/>
        <item t="default"/>
      </items>
    </pivotField>
    <pivotField showAll="0">
      <items count="6">
        <item x="2"/>
        <item x="4"/>
        <item x="3"/>
        <item x="1"/>
        <item x="0"/>
        <item t="default"/>
      </items>
    </pivotField>
    <pivotField showAll="0">
      <items count="6">
        <item x="3"/>
        <item x="4"/>
        <item x="2"/>
        <item x="0"/>
        <item x="1"/>
        <item t="default"/>
      </items>
    </pivotField>
    <pivotField axis="axisRow" showAll="0">
      <items count="5">
        <item x="2"/>
        <item x="1"/>
        <item x="0"/>
        <item x="3"/>
        <item t="default"/>
      </items>
    </pivotField>
    <pivotField showAll="0"/>
    <pivotField showAll="0"/>
    <pivotField showAll="0"/>
    <pivotField dataField="1" showAll="0"/>
    <pivotField showAll="0"/>
    <pivotField numFmtId="164" showAll="0"/>
    <pivotField showAll="0"/>
    <pivotField showAll="0"/>
    <pivotField showAll="0"/>
    <pivotField showAll="0">
      <items count="4">
        <item x="0"/>
        <item x="2"/>
        <item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7"/>
  </rowFields>
  <rowItems count="5">
    <i>
      <x/>
    </i>
    <i>
      <x v="1"/>
    </i>
    <i>
      <x v="2"/>
    </i>
    <i>
      <x v="3"/>
    </i>
    <i t="grand">
      <x/>
    </i>
  </rowItems>
  <colItems count="1">
    <i/>
  </colItems>
  <dataFields count="1">
    <dataField name="Total Processing Fees" fld="11" baseField="0" baseItem="0"/>
  </dataFields>
  <chartFormats count="1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3"/>
          </reference>
        </references>
      </pivotArea>
    </chartFormat>
    <chartFormat chart="0" format="3">
      <pivotArea type="data" outline="0" fieldPosition="0">
        <references count="2">
          <reference field="4294967294" count="1" selected="0">
            <x v="0"/>
          </reference>
          <reference field="7" count="1" selected="0">
            <x v="2"/>
          </reference>
        </references>
      </pivotArea>
    </chartFormat>
    <chartFormat chart="0" format="4">
      <pivotArea type="data" outline="0" fieldPosition="0">
        <references count="2">
          <reference field="4294967294" count="1" selected="0">
            <x v="0"/>
          </reference>
          <reference field="7" count="1" selected="0">
            <x v="1"/>
          </reference>
        </references>
      </pivotArea>
    </chartFormat>
    <chartFormat chart="0" format="5" series="1">
      <pivotArea type="data" outline="0" fieldPosition="0">
        <references count="2">
          <reference field="4294967294" count="1" selected="0">
            <x v="0"/>
          </reference>
          <reference field="7" count="1" selected="0">
            <x v="1"/>
          </reference>
        </references>
      </pivotArea>
    </chartFormat>
    <chartFormat chart="0" format="6" series="1">
      <pivotArea type="data" outline="0" fieldPosition="0">
        <references count="2">
          <reference field="4294967294" count="1" selected="0">
            <x v="0"/>
          </reference>
          <reference field="7" count="1" selected="0">
            <x v="2"/>
          </reference>
        </references>
      </pivotArea>
    </chartFormat>
    <chartFormat chart="0" format="7" series="1">
      <pivotArea type="data" outline="0" fieldPosition="0">
        <references count="2">
          <reference field="4294967294" count="1" selected="0">
            <x v="0"/>
          </reference>
          <reference field="7" count="1" selected="0">
            <x v="3"/>
          </reference>
        </references>
      </pivotArea>
    </chartFormat>
    <chartFormat chart="12" format="8" series="1">
      <pivotArea type="data" outline="0" fieldPosition="0">
        <references count="1">
          <reference field="4294967294" count="1" selected="0">
            <x v="0"/>
          </reference>
        </references>
      </pivotArea>
    </chartFormat>
    <chartFormat chart="12" format="9">
      <pivotArea type="data" outline="0" fieldPosition="0">
        <references count="2">
          <reference field="4294967294" count="1" selected="0">
            <x v="0"/>
          </reference>
          <reference field="7" count="1" selected="0">
            <x v="0"/>
          </reference>
        </references>
      </pivotArea>
    </chartFormat>
    <chartFormat chart="12" format="10">
      <pivotArea type="data" outline="0" fieldPosition="0">
        <references count="2">
          <reference field="4294967294" count="1" selected="0">
            <x v="0"/>
          </reference>
          <reference field="7" count="1" selected="0">
            <x v="1"/>
          </reference>
        </references>
      </pivotArea>
    </chartFormat>
    <chartFormat chart="12" format="11">
      <pivotArea type="data" outline="0" fieldPosition="0">
        <references count="2">
          <reference field="4294967294" count="1" selected="0">
            <x v="0"/>
          </reference>
          <reference field="7" count="1" selected="0">
            <x v="2"/>
          </reference>
        </references>
      </pivotArea>
    </chartFormat>
    <chartFormat chart="12" format="12">
      <pivotArea type="data" outline="0" fieldPosition="0">
        <references count="2">
          <reference field="4294967294" count="1" selected="0">
            <x v="0"/>
          </reference>
          <reference field="7" count="1" selected="0">
            <x v="3"/>
          </reference>
        </references>
      </pivotArea>
    </chartFormat>
    <chartFormat chart="19" format="23" series="1">
      <pivotArea type="data" outline="0" fieldPosition="0">
        <references count="1">
          <reference field="4294967294" count="1" selected="0">
            <x v="0"/>
          </reference>
        </references>
      </pivotArea>
    </chartFormat>
    <chartFormat chart="19" format="24">
      <pivotArea type="data" outline="0" fieldPosition="0">
        <references count="2">
          <reference field="4294967294" count="1" selected="0">
            <x v="0"/>
          </reference>
          <reference field="7" count="1" selected="0">
            <x v="0"/>
          </reference>
        </references>
      </pivotArea>
    </chartFormat>
    <chartFormat chart="19" format="25">
      <pivotArea type="data" outline="0" fieldPosition="0">
        <references count="2">
          <reference field="4294967294" count="1" selected="0">
            <x v="0"/>
          </reference>
          <reference field="7" count="1" selected="0">
            <x v="1"/>
          </reference>
        </references>
      </pivotArea>
    </chartFormat>
    <chartFormat chart="19" format="26">
      <pivotArea type="data" outline="0" fieldPosition="0">
        <references count="2">
          <reference field="4294967294" count="1" selected="0">
            <x v="0"/>
          </reference>
          <reference field="7" count="1" selected="0">
            <x v="2"/>
          </reference>
        </references>
      </pivotArea>
    </chartFormat>
    <chartFormat chart="19" format="27">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D9D4A68-8D89-4FA8-9252-F927640C277D}" name="Lead Source"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4" rowHeaderCaption="Lead Source">
  <location ref="U11:V17" firstHeaderRow="1" firstDataRow="1" firstDataCol="1"/>
  <pivotFields count="22">
    <pivotField dataField="1" showAll="0"/>
    <pivotField numFmtId="14" showAll="0">
      <items count="339">
        <item x="240"/>
        <item x="53"/>
        <item x="263"/>
        <item x="287"/>
        <item x="258"/>
        <item x="146"/>
        <item x="70"/>
        <item x="163"/>
        <item x="52"/>
        <item x="327"/>
        <item x="248"/>
        <item x="2"/>
        <item x="133"/>
        <item x="118"/>
        <item x="259"/>
        <item x="32"/>
        <item x="141"/>
        <item x="321"/>
        <item x="110"/>
        <item x="156"/>
        <item x="185"/>
        <item x="178"/>
        <item x="34"/>
        <item x="197"/>
        <item x="202"/>
        <item x="139"/>
        <item x="119"/>
        <item x="50"/>
        <item x="215"/>
        <item x="246"/>
        <item x="188"/>
        <item x="333"/>
        <item x="101"/>
        <item x="111"/>
        <item x="276"/>
        <item x="168"/>
        <item x="47"/>
        <item x="113"/>
        <item x="115"/>
        <item x="137"/>
        <item x="87"/>
        <item x="128"/>
        <item x="279"/>
        <item x="65"/>
        <item x="260"/>
        <item x="289"/>
        <item x="174"/>
        <item x="282"/>
        <item x="13"/>
        <item x="324"/>
        <item x="127"/>
        <item x="120"/>
        <item x="181"/>
        <item x="195"/>
        <item x="155"/>
        <item x="311"/>
        <item x="219"/>
        <item x="177"/>
        <item x="184"/>
        <item x="193"/>
        <item x="271"/>
        <item x="336"/>
        <item x="54"/>
        <item x="51"/>
        <item x="257"/>
        <item x="122"/>
        <item x="10"/>
        <item x="158"/>
        <item x="58"/>
        <item x="100"/>
        <item x="194"/>
        <item x="104"/>
        <item x="267"/>
        <item x="313"/>
        <item x="80"/>
        <item x="145"/>
        <item x="164"/>
        <item x="83"/>
        <item x="131"/>
        <item x="82"/>
        <item x="136"/>
        <item x="269"/>
        <item x="152"/>
        <item x="300"/>
        <item x="203"/>
        <item x="297"/>
        <item x="116"/>
        <item x="103"/>
        <item x="326"/>
        <item x="322"/>
        <item x="106"/>
        <item x="88"/>
        <item x="26"/>
        <item x="278"/>
        <item x="33"/>
        <item x="147"/>
        <item x="296"/>
        <item x="325"/>
        <item x="134"/>
        <item x="98"/>
        <item x="4"/>
        <item x="227"/>
        <item x="231"/>
        <item x="206"/>
        <item x="91"/>
        <item x="302"/>
        <item x="284"/>
        <item x="17"/>
        <item x="239"/>
        <item x="46"/>
        <item x="335"/>
        <item x="138"/>
        <item x="261"/>
        <item x="107"/>
        <item x="102"/>
        <item x="223"/>
        <item x="159"/>
        <item x="221"/>
        <item x="44"/>
        <item x="204"/>
        <item x="108"/>
        <item x="252"/>
        <item x="305"/>
        <item x="97"/>
        <item x="330"/>
        <item x="1"/>
        <item x="249"/>
        <item x="149"/>
        <item x="222"/>
        <item x="40"/>
        <item x="19"/>
        <item x="245"/>
        <item x="66"/>
        <item x="3"/>
        <item x="250"/>
        <item x="306"/>
        <item x="316"/>
        <item x="192"/>
        <item x="301"/>
        <item x="171"/>
        <item x="285"/>
        <item x="237"/>
        <item x="43"/>
        <item x="39"/>
        <item x="186"/>
        <item x="187"/>
        <item x="16"/>
        <item x="94"/>
        <item x="85"/>
        <item x="86"/>
        <item x="328"/>
        <item x="234"/>
        <item x="319"/>
        <item x="329"/>
        <item x="89"/>
        <item x="266"/>
        <item x="125"/>
        <item x="167"/>
        <item x="59"/>
        <item x="130"/>
        <item x="210"/>
        <item x="157"/>
        <item x="244"/>
        <item x="201"/>
        <item x="95"/>
        <item x="214"/>
        <item x="150"/>
        <item x="273"/>
        <item x="38"/>
        <item x="123"/>
        <item x="90"/>
        <item x="256"/>
        <item x="288"/>
        <item x="315"/>
        <item x="291"/>
        <item x="213"/>
        <item x="274"/>
        <item x="175"/>
        <item x="117"/>
        <item x="140"/>
        <item x="8"/>
        <item x="99"/>
        <item x="229"/>
        <item x="277"/>
        <item x="77"/>
        <item x="309"/>
        <item x="299"/>
        <item x="12"/>
        <item x="236"/>
        <item x="275"/>
        <item x="68"/>
        <item x="254"/>
        <item x="42"/>
        <item x="235"/>
        <item x="230"/>
        <item x="56"/>
        <item x="314"/>
        <item x="48"/>
        <item x="332"/>
        <item x="0"/>
        <item x="63"/>
        <item x="67"/>
        <item x="161"/>
        <item x="241"/>
        <item x="334"/>
        <item x="283"/>
        <item x="280"/>
        <item x="61"/>
        <item x="198"/>
        <item x="199"/>
        <item x="293"/>
        <item x="331"/>
        <item x="41"/>
        <item x="323"/>
        <item x="294"/>
        <item x="30"/>
        <item x="216"/>
        <item x="62"/>
        <item x="190"/>
        <item x="166"/>
        <item x="233"/>
        <item x="191"/>
        <item x="183"/>
        <item x="292"/>
        <item x="308"/>
        <item x="196"/>
        <item x="172"/>
        <item x="121"/>
        <item x="179"/>
        <item x="208"/>
        <item x="78"/>
        <item x="232"/>
        <item x="151"/>
        <item x="114"/>
        <item x="23"/>
        <item x="170"/>
        <item x="37"/>
        <item x="79"/>
        <item x="142"/>
        <item x="153"/>
        <item x="207"/>
        <item x="76"/>
        <item x="6"/>
        <item x="24"/>
        <item x="36"/>
        <item x="154"/>
        <item x="92"/>
        <item x="14"/>
        <item x="238"/>
        <item x="224"/>
        <item x="211"/>
        <item x="212"/>
        <item x="69"/>
        <item x="225"/>
        <item x="228"/>
        <item x="310"/>
        <item x="71"/>
        <item x="84"/>
        <item x="49"/>
        <item x="189"/>
        <item x="209"/>
        <item x="29"/>
        <item x="73"/>
        <item x="81"/>
        <item x="45"/>
        <item x="160"/>
        <item x="304"/>
        <item x="60"/>
        <item x="124"/>
        <item x="268"/>
        <item x="242"/>
        <item x="112"/>
        <item x="126"/>
        <item x="18"/>
        <item x="180"/>
        <item x="169"/>
        <item x="253"/>
        <item x="5"/>
        <item x="312"/>
        <item x="21"/>
        <item x="226"/>
        <item x="20"/>
        <item x="22"/>
        <item x="303"/>
        <item x="217"/>
        <item x="28"/>
        <item x="74"/>
        <item x="255"/>
        <item x="320"/>
        <item x="162"/>
        <item x="262"/>
        <item x="272"/>
        <item x="64"/>
        <item x="132"/>
        <item x="290"/>
        <item x="176"/>
        <item x="129"/>
        <item x="96"/>
        <item x="105"/>
        <item x="295"/>
        <item x="109"/>
        <item x="286"/>
        <item x="243"/>
        <item x="144"/>
        <item x="307"/>
        <item x="148"/>
        <item x="182"/>
        <item x="11"/>
        <item x="27"/>
        <item x="264"/>
        <item x="220"/>
        <item x="165"/>
        <item x="15"/>
        <item x="25"/>
        <item x="265"/>
        <item x="173"/>
        <item x="218"/>
        <item x="55"/>
        <item x="205"/>
        <item x="72"/>
        <item x="317"/>
        <item x="247"/>
        <item x="31"/>
        <item x="298"/>
        <item x="35"/>
        <item x="337"/>
        <item x="75"/>
        <item x="57"/>
        <item x="7"/>
        <item x="200"/>
        <item x="93"/>
        <item x="318"/>
        <item x="9"/>
        <item x="135"/>
        <item x="251"/>
        <item x="281"/>
        <item x="143"/>
        <item x="270"/>
        <item t="default"/>
      </items>
    </pivotField>
    <pivotField showAll="0"/>
    <pivotField showAll="0"/>
    <pivotField showAll="0">
      <items count="6">
        <item x="2"/>
        <item x="0"/>
        <item x="4"/>
        <item x="1"/>
        <item x="3"/>
        <item t="default"/>
      </items>
    </pivotField>
    <pivotField showAll="0">
      <items count="6">
        <item x="2"/>
        <item x="4"/>
        <item x="3"/>
        <item x="1"/>
        <item x="0"/>
        <item t="default"/>
      </items>
    </pivotField>
    <pivotField axis="axisRow" showAll="0">
      <items count="6">
        <item x="3"/>
        <item x="4"/>
        <item x="2"/>
        <item x="0"/>
        <item x="1"/>
        <item t="default"/>
      </items>
    </pivotField>
    <pivotField showAll="0">
      <items count="5">
        <item x="2"/>
        <item x="1"/>
        <item x="0"/>
        <item x="3"/>
        <item t="default"/>
      </items>
    </pivotField>
    <pivotField showAll="0"/>
    <pivotField showAll="0"/>
    <pivotField showAll="0"/>
    <pivotField showAll="0"/>
    <pivotField showAll="0"/>
    <pivotField numFmtId="164" showAll="0"/>
    <pivotField showAll="0"/>
    <pivotField showAll="0"/>
    <pivotField showAll="0"/>
    <pivotField showAll="0">
      <items count="4">
        <item x="0"/>
        <item x="2"/>
        <item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6">
    <i>
      <x/>
    </i>
    <i>
      <x v="1"/>
    </i>
    <i>
      <x v="2"/>
    </i>
    <i>
      <x v="3"/>
    </i>
    <i>
      <x v="4"/>
    </i>
    <i t="grand">
      <x/>
    </i>
  </rowItems>
  <colItems count="1">
    <i/>
  </colItems>
  <dataFields count="1">
    <dataField name="Transaction ID "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5390893-CF67-4117-99C2-F75BE1BFEF27}" sourceName="Region">
  <pivotTables>
    <pivotTable tabId="2" name="Revenue_Lead_Source"/>
    <pivotTable tabId="2" name="Total Processing Fee"/>
    <pivotTable tabId="2" name="Target_Achived_Rate"/>
    <pivotTable tabId="2" name="Revenue_Trend"/>
    <pivotTable tabId="2" name="Total Revenue By Product"/>
    <pivotTable tabId="2" name="Net Processing Yield"/>
    <pivotTable tabId="2" name="Lead Source"/>
  </pivotTables>
  <data>
    <tabular pivotCacheId="1353732831" crossFilter="showItemsWithNoData">
      <items count="5">
        <i x="2" s="1"/>
        <i x="0" s="1"/>
        <i x="4"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ad_Source" xr10:uid="{ED79410F-F235-4A80-A87E-4FCD191CEB5E}" sourceName="Lead Source">
  <pivotTables>
    <pivotTable tabId="2" name="Revenue_Lead_Source"/>
    <pivotTable tabId="2" name="Total Processing Fee"/>
    <pivotTable tabId="2" name="Target_Achived_Rate"/>
    <pivotTable tabId="2" name="Revenue_Trend"/>
    <pivotTable tabId="2" name="Total Revenue By Product"/>
    <pivotTable tabId="2" name="Net Processing Yield"/>
    <pivotTable tabId="2" name="Lead Source"/>
  </pivotTables>
  <data>
    <tabular pivotCacheId="1353732831">
      <items count="5">
        <i x="3" s="1"/>
        <i x="4" s="1"/>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9E090CBF-0F0B-4DE9-A583-B58DA67ECAC0}" sourceName="Product">
  <pivotTables>
    <pivotTable tabId="2" name="Revenue_Lead_Source"/>
    <pivotTable tabId="2" name="Total Processing Fee"/>
    <pivotTable tabId="2" name="Target_Achived_Rate"/>
    <pivotTable tabId="2" name="Revenue_Trend"/>
    <pivotTable tabId="2" name="Total Revenue By Product"/>
    <pivotTable tabId="2" name="Net Processing Yield"/>
    <pivotTable tabId="2" name="Lead Source"/>
  </pivotTables>
  <data>
    <tabular pivotCacheId="1353732831">
      <items count="5">
        <i x="2" s="1"/>
        <i x="4" s="1"/>
        <i x="3"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alue_Tier" xr10:uid="{CF93E327-8A5C-498C-9EF1-068ECB5DC91D}" sourceName="Value Tier">
  <pivotTables>
    <pivotTable tabId="2" name="Revenue_Lead_Source"/>
    <pivotTable tabId="2" name="Lead Source"/>
    <pivotTable tabId="2" name="Net Processing Yield"/>
    <pivotTable tabId="2" name="Revenue_Trend"/>
    <pivotTable tabId="2" name="Target_Achived_Rate"/>
    <pivotTable tabId="2" name="Total Processing Fee"/>
    <pivotTable tabId="2" name="Total Revenue By Product"/>
  </pivotTables>
  <data>
    <tabular pivotCacheId="1353732831">
      <items count="3">
        <i x="0" s="1"/>
        <i x="2"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933C73F6-62F5-496D-B922-422F04343B91}" sourceName="Customer Segment">
  <pivotTables>
    <pivotTable tabId="2" name="Revenue_Lead_Source"/>
    <pivotTable tabId="2" name="Lead Source"/>
    <pivotTable tabId="2" name="Net Processing Yield"/>
    <pivotTable tabId="2" name="Revenue_Trend"/>
    <pivotTable tabId="2" name="Target_Achived_Rate"/>
    <pivotTable tabId="2" name="Total Processing Fee"/>
    <pivotTable tabId="2" name="Total Revenue By Product"/>
  </pivotTables>
  <data>
    <tabular pivotCacheId="1353732831">
      <items count="4">
        <i x="2" s="1"/>
        <i x="1"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E2A2F83-87F4-4CC2-8DA8-28E0E997C28B}" cache="Slicer_Region" caption="Region" columnCount="2" style="SlicerStyleDark1" rowHeight="234950"/>
  <slicer name="Lead Source" xr10:uid="{F702A228-7EAC-43E4-B5B0-9FD9D7639556}" cache="Slicer_Lead_Source" caption="Lead Source" columnCount="2" style="SlicerStyleDark1" rowHeight="234950"/>
  <slicer name="Product" xr10:uid="{89E20E95-E412-4D2D-9943-D13FAB912085}" cache="Slicer_Product" caption="Product" columnCount="2" style="SlicerStyleDark1" rowHeight="234950"/>
  <slicer name="Value Tier" xr10:uid="{F75334BC-354D-4D1F-A36F-218058A73FAA}" cache="Slicer_Value_Tier" caption="Value Tier" style="SlicerStyleDark1" rowHeight="234950"/>
  <slicer name="Customer Segment" xr10:uid="{164A7B33-0059-4223-B3F0-D84CBE3E747D}" cache="Slicer_Customer_Segment" caption="Customer Segment" style="SlicerStyleDark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00661B1B-9A5B-4A39-88FB-856F01B0F036}" cache="Slicer_Region" caption="Region" style="SlicerStyleLight2" rowHeight="234950"/>
  <slicer name="Lead Source 2" xr10:uid="{7430C91B-8A28-42AC-ABAD-F9D964884536}" cache="Slicer_Lead_Source" caption="Lead Source" style="SlicerStyleLight2" rowHeight="234950"/>
  <slicer name="Product 2" xr10:uid="{D57A0937-0F51-4817-9402-2B6D3FFB5779}" cache="Slicer_Product" caption="Product" style="SlicerStyleLight2" rowHeight="234950"/>
  <slicer name="Value Tier 2" xr10:uid="{46D1568A-65F6-4012-9DA1-E6A93AAEBC14}" cache="Slicer_Value_Tier" caption="Value Tier" style="SlicerStyleLight2" rowHeight="234950"/>
  <slicer name="Customer Segment 2" xr10:uid="{5D5CF1A5-EC1B-41FC-B3E1-34EC7C7F915A}" cache="Slicer_Customer_Segment" caption="Customer Segment" style="SlicerStyleLight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A4F17E1-095A-47DB-965B-AB361309062F}" name="Table15" displayName="Table15" ref="A1:S1002" totalsRowCount="1" headerRowDxfId="43" dataDxfId="41" headerRowBorderDxfId="42" tableBorderDxfId="40" totalsRowBorderDxfId="39">
  <autoFilter ref="A1:S1001" xr:uid="{9A4F17E1-095A-47DB-965B-AB361309062F}"/>
  <tableColumns count="19">
    <tableColumn id="1" xr3:uid="{A7DC2249-69F8-45D5-AAAC-A69F5C418DAE}" name="Transaction ID" totalsRowLabel="Total" dataDxfId="38" totalsRowDxfId="37"/>
    <tableColumn id="2" xr3:uid="{5C8B9041-6B8E-4519-8E22-925840CD9300}" name="Date" dataDxfId="36" totalsRowDxfId="35"/>
    <tableColumn id="3" xr3:uid="{F3678D2F-CCF6-48F9-97F0-7EA7AA0BD80D}" name="Sales Rep" dataDxfId="34" totalsRowDxfId="33"/>
    <tableColumn id="4" xr3:uid="{36E5F1B5-B136-4511-A275-C2BF60161220}" name="Branch Code" dataDxfId="32" totalsRowDxfId="31"/>
    <tableColumn id="5" xr3:uid="{37CBDE76-8EED-4E3F-909A-04E86D780DE4}" name="Region" dataDxfId="30" totalsRowDxfId="29"/>
    <tableColumn id="6" xr3:uid="{110DFBC8-5D9E-49AD-B725-8B5BF42B04B8}" name="Product" dataDxfId="28" totalsRowDxfId="27"/>
    <tableColumn id="7" xr3:uid="{5D2CF4B2-1A9D-4568-A073-A4AB700C2270}" name="Lead Source" dataDxfId="26" totalsRowDxfId="25"/>
    <tableColumn id="8" xr3:uid="{6C2DEACE-31C8-4DE1-913D-CDD13D0CE887}" name="Customer Segment" dataDxfId="24" totalsRowDxfId="23"/>
    <tableColumn id="9" xr3:uid="{4FEE2D43-2FD3-4FA2-99CE-313E4FA94B5E}" name="Customer Age" dataDxfId="22" totalsRowDxfId="21"/>
    <tableColumn id="10" xr3:uid="{9186D9B5-545D-4D48-8EA9-30933580F63E}" name="Account Tenure Months" dataDxfId="20" totalsRowDxfId="19"/>
    <tableColumn id="11" xr3:uid="{C0A8C044-309B-455A-9F3E-F36ACAC14A74}" name="Revenue" dataDxfId="18" totalsRowDxfId="17"/>
    <tableColumn id="12" xr3:uid="{E1586D92-4054-4C3B-A16E-F67EDD1B79D4}" name="Processing Fee" totalsRowFunction="sum" dataDxfId="16" totalsRowDxfId="15"/>
    <tableColumn id="13" xr3:uid="{696D7010-986C-4A03-972D-8C77CB6B176C}" name="Discount Applied" totalsRowFunction="sum" dataDxfId="14" totalsRowDxfId="13"/>
    <tableColumn id="17" xr3:uid="{1E793C32-49BC-44F3-B71C-5509DC654C89}" name="Net Processing Yield" totalsRowFunction="sum" dataDxfId="12" totalsRowDxfId="11">
      <calculatedColumnFormula>Table15[[#This Row],[Processing Fee]]-Table15[[#This Row],[Discount Applied]]</calculatedColumnFormula>
    </tableColumn>
    <tableColumn id="14" xr3:uid="{FBC712CC-B3F0-4EFB-971F-90F1C145F22F}" name="Target Achieved" dataDxfId="10" totalsRowDxfId="9">
      <calculatedColumnFormula>IF(Table15[[#This Row],[Revenue]]&gt;35000,"Achieved","Not Achieved")</calculatedColumnFormula>
    </tableColumn>
    <tableColumn id="15" xr3:uid="{1876D308-6FF4-4A0A-8C91-87EDBB686BFF}" name="CSAT Score" dataDxfId="8" totalsRowDxfId="7"/>
    <tableColumn id="20" xr3:uid="{14D11F6E-E57D-48B9-A6CA-D70C92DEFF44}" name="Retention Risk" dataDxfId="6" totalsRowDxfId="5">
      <calculatedColumnFormula>IF(AND(Table15[[#This Row],[CSAT Score]]&lt;=3,Table15[[#This Row],[Revenue]]&gt;=20000),"High-Risk","Stable")</calculatedColumnFormula>
    </tableColumn>
    <tableColumn id="21" xr3:uid="{EBB01454-FEEF-4BCC-ACA7-CFA8603B26FC}" name="Value Tier" dataDxfId="4" totalsRowDxfId="3">
      <calculatedColumnFormula array="1">_xlfn.IFS(Table15[[#This Row],[Revenue]]&gt;=35000,"Platinum",Table15[[#This Row],[Revenue]]&gt;=15000,"Gold",TRUE,"Standard")</calculatedColumnFormula>
    </tableColumn>
    <tableColumn id="16" xr3:uid="{BAB4BF59-4028-4244-BEA0-D71DA5B91D3D}" name="Bonus Eligible" totalsRowFunction="count" dataDxfId="2" totalsRowDxfId="1">
      <calculatedColumnFormula>IF(OR(Table15[[#This Row],[Product]]="Wealth Management",Table15[[#This Row],[Revenue]]&gt;=40000),"Yes","No")</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C4B7F84A-9783-4055-9ED0-3B78F8CE7FEB}" sourceName="Date">
  <pivotTables>
    <pivotTable tabId="2" name="Revenue_Trend"/>
    <pivotTable tabId="2" name="Total Processing Fee"/>
    <pivotTable tabId="2" name="Revenue_Lead_Source"/>
    <pivotTable tabId="2" name="Target_Achived_Rate"/>
    <pivotTable tabId="2" name="Total Revenue By Product"/>
    <pivotTable tabId="2" name="Net Processing Yield"/>
    <pivotTable tabId="2" name="Lead Source"/>
  </pivotTables>
  <state minimalRefreshVersion="6" lastRefreshVersion="6" pivotCacheId="1353732831"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5D6E91A-D61B-44D9-902B-D430331A26E1}" cache="NativeTimeline_Date" caption="Date" level="2" selectionLevel="2" scrollPosition="2026-06-06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AAB7933D-48EB-4128-A942-E9943AAEF2A9}" cache="NativeTimeline_Date" caption="Date" showHorizontalScrollbar="0" level="2" selectionLevel="2" scrollPosition="2025-07-22T00:00:00" style="TimeSlicerStyleDark2"/>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1.xml"/><Relationship Id="rId4" Type="http://schemas.openxmlformats.org/officeDocument/2006/relationships/pivotTable" Target="../pivotTables/pivotTable4.xml"/><Relationship Id="rId9"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A5299-1F4F-44CA-808F-F7055B50F345}">
  <sheetPr>
    <tabColor theme="5" tint="-0.249977111117893"/>
  </sheetPr>
  <dimension ref="A1:S1002"/>
  <sheetViews>
    <sheetView topLeftCell="L1" workbookViewId="0">
      <selection activeCell="O3" sqref="O3"/>
    </sheetView>
  </sheetViews>
  <sheetFormatPr defaultRowHeight="14.4" x14ac:dyDescent="0.3"/>
  <cols>
    <col min="1" max="1" width="20.6640625" bestFit="1" customWidth="1"/>
    <col min="2" max="2" width="10.5546875" bestFit="1" customWidth="1"/>
    <col min="3" max="3" width="15.5546875" bestFit="1" customWidth="1"/>
    <col min="4" max="4" width="18.77734375" bestFit="1" customWidth="1"/>
    <col min="5" max="5" width="12.77734375" bestFit="1" customWidth="1"/>
    <col min="6" max="7" width="18.33203125" bestFit="1" customWidth="1"/>
    <col min="8" max="8" width="26" bestFit="1" customWidth="1"/>
    <col min="9" max="9" width="20.44140625" bestFit="1" customWidth="1"/>
    <col min="10" max="10" width="31.21875" bestFit="1" customWidth="1"/>
    <col min="11" max="12" width="14.77734375" style="22" bestFit="1" customWidth="1"/>
    <col min="13" max="13" width="23.77734375" bestFit="1" customWidth="1"/>
    <col min="14" max="14" width="23.77734375" customWidth="1"/>
    <col min="15" max="15" width="22.88671875" bestFit="1" customWidth="1"/>
    <col min="16" max="16" width="17.21875" bestFit="1" customWidth="1"/>
    <col min="17" max="17" width="21" bestFit="1" customWidth="1"/>
    <col min="18" max="18" width="16.21875" bestFit="1" customWidth="1"/>
    <col min="19" max="19" width="20.33203125" bestFit="1" customWidth="1"/>
  </cols>
  <sheetData>
    <row r="1" spans="1:19" ht="18" x14ac:dyDescent="0.3">
      <c r="A1" s="1" t="s">
        <v>0</v>
      </c>
      <c r="B1" s="2" t="s">
        <v>1</v>
      </c>
      <c r="C1" s="3" t="s">
        <v>2</v>
      </c>
      <c r="D1" s="3" t="s">
        <v>3</v>
      </c>
      <c r="E1" s="3" t="s">
        <v>4</v>
      </c>
      <c r="F1" s="3" t="s">
        <v>5</v>
      </c>
      <c r="G1" s="3" t="s">
        <v>6</v>
      </c>
      <c r="H1" s="3" t="s">
        <v>7</v>
      </c>
      <c r="I1" s="3" t="s">
        <v>8</v>
      </c>
      <c r="J1" s="3" t="s">
        <v>9</v>
      </c>
      <c r="K1" s="19" t="s">
        <v>10</v>
      </c>
      <c r="L1" s="19" t="s">
        <v>11</v>
      </c>
      <c r="M1" s="3" t="s">
        <v>12</v>
      </c>
      <c r="N1" s="3" t="s">
        <v>1068</v>
      </c>
      <c r="O1" s="3" t="s">
        <v>13</v>
      </c>
      <c r="P1" s="4" t="s">
        <v>14</v>
      </c>
      <c r="Q1" s="3" t="s">
        <v>15</v>
      </c>
      <c r="R1" s="3" t="s">
        <v>16</v>
      </c>
      <c r="S1" s="3" t="s">
        <v>17</v>
      </c>
    </row>
    <row r="2" spans="1:19" x14ac:dyDescent="0.3">
      <c r="A2" s="5" t="s">
        <v>18</v>
      </c>
      <c r="B2" s="6">
        <v>46088</v>
      </c>
      <c r="C2" s="7" t="s">
        <v>19</v>
      </c>
      <c r="D2" s="7" t="s">
        <v>20</v>
      </c>
      <c r="E2" s="7" t="s">
        <v>21</v>
      </c>
      <c r="F2" s="7" t="s">
        <v>22</v>
      </c>
      <c r="G2" s="7" t="s">
        <v>23</v>
      </c>
      <c r="H2" s="7" t="s">
        <v>24</v>
      </c>
      <c r="I2" s="7">
        <v>74</v>
      </c>
      <c r="J2" s="7">
        <v>16</v>
      </c>
      <c r="K2" s="20">
        <v>25114.07</v>
      </c>
      <c r="L2" s="20">
        <v>350.3</v>
      </c>
      <c r="M2" s="7">
        <v>179.26</v>
      </c>
      <c r="N2" s="20">
        <f>Table15[[#This Row],[Processing Fee]]-Table15[[#This Row],[Discount Applied]]</f>
        <v>171.04000000000002</v>
      </c>
      <c r="O2" s="7" t="str">
        <f>IF(Table15[[#This Row],[Revenue]]&gt;35000,"Achieved","Not Achieved")</f>
        <v>Not Achieved</v>
      </c>
      <c r="P2" s="8">
        <v>4</v>
      </c>
      <c r="Q2" s="9" t="str">
        <f>IF(AND(Table15[[#This Row],[CSAT Score]]&lt;=3,Table15[[#This Row],[Revenue]]&gt;=20000),"High-Risk","Stable")</f>
        <v>Stable</v>
      </c>
      <c r="R2" s="10" t="str" cm="1">
        <f t="array" ref="R2">_xlfn.IFS(Table15[[#This Row],[Revenue]]&gt;=35000,"Platinum",Table15[[#This Row],[Revenue]]&gt;=15000,"Gold",TRUE,"Standard")</f>
        <v>Gold</v>
      </c>
      <c r="S2" s="10" t="str">
        <f>IF(OR(Table15[[#This Row],[Product]]="Wealth Management",Table15[[#This Row],[Revenue]]&gt;=40000),"Yes","No")</f>
        <v>Yes</v>
      </c>
    </row>
    <row r="3" spans="1:19" x14ac:dyDescent="0.3">
      <c r="A3" s="5" t="s">
        <v>25</v>
      </c>
      <c r="B3" s="6">
        <v>46007</v>
      </c>
      <c r="C3" s="7" t="s">
        <v>26</v>
      </c>
      <c r="D3" s="7" t="s">
        <v>27</v>
      </c>
      <c r="E3" s="7" t="s">
        <v>28</v>
      </c>
      <c r="F3" s="7" t="s">
        <v>29</v>
      </c>
      <c r="G3" s="7" t="s">
        <v>30</v>
      </c>
      <c r="H3" s="7" t="s">
        <v>31</v>
      </c>
      <c r="I3" s="7">
        <v>28</v>
      </c>
      <c r="J3" s="7">
        <v>28</v>
      </c>
      <c r="K3" s="20">
        <v>9331.6</v>
      </c>
      <c r="L3" s="20">
        <v>106.51</v>
      </c>
      <c r="M3" s="7">
        <v>121.35</v>
      </c>
      <c r="N3" s="20">
        <f>Table15[[#This Row],[Processing Fee]]-Table15[[#This Row],[Discount Applied]]</f>
        <v>-14.839999999999989</v>
      </c>
      <c r="O3" s="7" t="str">
        <f>IF(Table15[[#This Row],[Revenue]]&gt;35000,"Achieved","Not Achieved")</f>
        <v>Not Achieved</v>
      </c>
      <c r="P3" s="8">
        <v>5</v>
      </c>
      <c r="Q3" s="7" t="str">
        <f>IF(AND(Table15[[#This Row],[CSAT Score]]&lt;=3,Table15[[#This Row],[Revenue]]&gt;=20000),"High-Risk","Stable")</f>
        <v>Stable</v>
      </c>
      <c r="R3" s="8" t="str" cm="1">
        <f t="array" ref="R3">_xlfn.IFS(Table15[[#This Row],[Revenue]]&gt;=35000,"Platinum",Table15[[#This Row],[Revenue]]&gt;=15000,"Gold",TRUE,"Standard")</f>
        <v>Standard</v>
      </c>
      <c r="S3" s="8" t="str">
        <f>IF(OR(Table15[[#This Row],[Product]]="Wealth Management",Table15[[#This Row],[Revenue]]&gt;=40000),"Yes","No")</f>
        <v>No</v>
      </c>
    </row>
    <row r="4" spans="1:19" x14ac:dyDescent="0.3">
      <c r="A4" s="5" t="s">
        <v>32</v>
      </c>
      <c r="B4" s="6">
        <v>45886</v>
      </c>
      <c r="C4" s="7" t="s">
        <v>33</v>
      </c>
      <c r="D4" s="7" t="s">
        <v>34</v>
      </c>
      <c r="E4" s="7" t="s">
        <v>21</v>
      </c>
      <c r="F4" s="7" t="s">
        <v>35</v>
      </c>
      <c r="G4" s="7" t="s">
        <v>36</v>
      </c>
      <c r="H4" s="7" t="s">
        <v>31</v>
      </c>
      <c r="I4" s="7">
        <v>44</v>
      </c>
      <c r="J4" s="7">
        <v>112</v>
      </c>
      <c r="K4" s="20">
        <v>5853.67</v>
      </c>
      <c r="L4" s="20">
        <v>394.49</v>
      </c>
      <c r="M4" s="7">
        <v>136.69999999999999</v>
      </c>
      <c r="N4" s="20">
        <f>Table15[[#This Row],[Processing Fee]]-Table15[[#This Row],[Discount Applied]]</f>
        <v>257.79000000000002</v>
      </c>
      <c r="O4" s="7" t="str">
        <f>IF(Table15[[#This Row],[Revenue]]&gt;35000,"Achieved","Not Achieved")</f>
        <v>Not Achieved</v>
      </c>
      <c r="P4" s="8">
        <v>5</v>
      </c>
      <c r="Q4" s="7" t="str">
        <f>IF(AND(Table15[[#This Row],[CSAT Score]]&lt;=3,Table15[[#This Row],[Revenue]]&gt;=20000),"High-Risk","Stable")</f>
        <v>Stable</v>
      </c>
      <c r="R4" s="8" t="str" cm="1">
        <f t="array" ref="R4">_xlfn.IFS(Table15[[#This Row],[Revenue]]&gt;=35000,"Platinum",Table15[[#This Row],[Revenue]]&gt;=15000,"Gold",TRUE,"Standard")</f>
        <v>Standard</v>
      </c>
      <c r="S4" s="8" t="str">
        <f>IF(OR(Table15[[#This Row],[Product]]="Wealth Management",Table15[[#This Row],[Revenue]]&gt;=40000),"Yes","No")</f>
        <v>No</v>
      </c>
    </row>
    <row r="5" spans="1:19" x14ac:dyDescent="0.3">
      <c r="A5" s="5" t="s">
        <v>37</v>
      </c>
      <c r="B5" s="6">
        <v>46015</v>
      </c>
      <c r="C5" s="7" t="s">
        <v>19</v>
      </c>
      <c r="D5" s="7" t="s">
        <v>38</v>
      </c>
      <c r="E5" s="7" t="s">
        <v>39</v>
      </c>
      <c r="F5" s="7" t="s">
        <v>40</v>
      </c>
      <c r="G5" s="7" t="s">
        <v>30</v>
      </c>
      <c r="H5" s="7" t="s">
        <v>24</v>
      </c>
      <c r="I5" s="7">
        <v>35</v>
      </c>
      <c r="J5" s="7">
        <v>35</v>
      </c>
      <c r="K5" s="20">
        <v>42184.29</v>
      </c>
      <c r="L5" s="20">
        <v>144.59</v>
      </c>
      <c r="M5" s="7">
        <v>141.15</v>
      </c>
      <c r="N5" s="20">
        <f>Table15[[#This Row],[Processing Fee]]-Table15[[#This Row],[Discount Applied]]</f>
        <v>3.4399999999999977</v>
      </c>
      <c r="O5" s="7" t="str">
        <f>IF(Table15[[#This Row],[Revenue]]&gt;35000,"Achieved","Not Achieved")</f>
        <v>Achieved</v>
      </c>
      <c r="P5" s="8">
        <v>5</v>
      </c>
      <c r="Q5" s="7" t="str">
        <f>IF(AND(Table15[[#This Row],[CSAT Score]]&lt;=3,Table15[[#This Row],[Revenue]]&gt;=20000),"High-Risk","Stable")</f>
        <v>Stable</v>
      </c>
      <c r="R5" s="8" t="str" cm="1">
        <f t="array" ref="R5">_xlfn.IFS(Table15[[#This Row],[Revenue]]&gt;=35000,"Platinum",Table15[[#This Row],[Revenue]]&gt;=15000,"Gold",TRUE,"Standard")</f>
        <v>Platinum</v>
      </c>
      <c r="S5" s="8" t="str">
        <f>IF(OR(Table15[[#This Row],[Product]]="Wealth Management",Table15[[#This Row],[Revenue]]&gt;=40000),"Yes","No")</f>
        <v>Yes</v>
      </c>
    </row>
    <row r="6" spans="1:19" x14ac:dyDescent="0.3">
      <c r="A6" s="5" t="s">
        <v>41</v>
      </c>
      <c r="B6" s="6">
        <v>45980</v>
      </c>
      <c r="C6" s="7" t="s">
        <v>42</v>
      </c>
      <c r="D6" s="7" t="s">
        <v>34</v>
      </c>
      <c r="E6" s="7" t="s">
        <v>28</v>
      </c>
      <c r="F6" s="7" t="s">
        <v>35</v>
      </c>
      <c r="G6" s="7" t="s">
        <v>30</v>
      </c>
      <c r="H6" s="7" t="s">
        <v>31</v>
      </c>
      <c r="I6" s="7">
        <v>63</v>
      </c>
      <c r="J6" s="7">
        <v>60</v>
      </c>
      <c r="K6" s="20">
        <v>30899.59</v>
      </c>
      <c r="L6" s="20">
        <v>195.55</v>
      </c>
      <c r="M6" s="7">
        <v>246.26</v>
      </c>
      <c r="N6" s="20">
        <f>Table15[[#This Row],[Processing Fee]]-Table15[[#This Row],[Discount Applied]]</f>
        <v>-50.70999999999998</v>
      </c>
      <c r="O6" s="7" t="str">
        <f>IF(Table15[[#This Row],[Revenue]]&gt;35000,"Achieved","Not Achieved")</f>
        <v>Not Achieved</v>
      </c>
      <c r="P6" s="8">
        <v>1</v>
      </c>
      <c r="Q6" s="7" t="str">
        <f>IF(AND(Table15[[#This Row],[CSAT Score]]&lt;=3,Table15[[#This Row],[Revenue]]&gt;=20000),"High-Risk","Stable")</f>
        <v>High-Risk</v>
      </c>
      <c r="R6" s="8" t="str" cm="1">
        <f t="array" ref="R6">_xlfn.IFS(Table15[[#This Row],[Revenue]]&gt;=35000,"Platinum",Table15[[#This Row],[Revenue]]&gt;=15000,"Gold",TRUE,"Standard")</f>
        <v>Gold</v>
      </c>
      <c r="S6" s="8" t="str">
        <f>IF(OR(Table15[[#This Row],[Product]]="Wealth Management",Table15[[#This Row],[Revenue]]&gt;=40000),"Yes","No")</f>
        <v>No</v>
      </c>
    </row>
    <row r="7" spans="1:19" x14ac:dyDescent="0.3">
      <c r="A7" s="5" t="s">
        <v>43</v>
      </c>
      <c r="B7" s="6">
        <v>46170</v>
      </c>
      <c r="C7" s="7" t="s">
        <v>44</v>
      </c>
      <c r="D7" s="7" t="s">
        <v>45</v>
      </c>
      <c r="E7" s="7" t="s">
        <v>46</v>
      </c>
      <c r="F7" s="7" t="s">
        <v>40</v>
      </c>
      <c r="G7" s="7" t="s">
        <v>23</v>
      </c>
      <c r="H7" s="7" t="s">
        <v>31</v>
      </c>
      <c r="I7" s="7">
        <v>51</v>
      </c>
      <c r="J7" s="7">
        <v>45</v>
      </c>
      <c r="K7" s="20">
        <v>16628.32</v>
      </c>
      <c r="L7" s="20">
        <v>418.66</v>
      </c>
      <c r="M7" s="7">
        <v>70.900000000000006</v>
      </c>
      <c r="N7" s="20">
        <f>Table15[[#This Row],[Processing Fee]]-Table15[[#This Row],[Discount Applied]]</f>
        <v>347.76</v>
      </c>
      <c r="O7" s="7" t="str">
        <f>IF(Table15[[#This Row],[Revenue]]&gt;35000,"Achieved","Not Achieved")</f>
        <v>Not Achieved</v>
      </c>
      <c r="P7" s="8">
        <v>5</v>
      </c>
      <c r="Q7" s="7" t="str">
        <f>IF(AND(Table15[[#This Row],[CSAT Score]]&lt;=3,Table15[[#This Row],[Revenue]]&gt;=20000),"High-Risk","Stable")</f>
        <v>Stable</v>
      </c>
      <c r="R7" s="8" t="str" cm="1">
        <f t="array" ref="R7">_xlfn.IFS(Table15[[#This Row],[Revenue]]&gt;=35000,"Platinum",Table15[[#This Row],[Revenue]]&gt;=15000,"Gold",TRUE,"Standard")</f>
        <v>Gold</v>
      </c>
      <c r="S7" s="8" t="str">
        <f>IF(OR(Table15[[#This Row],[Product]]="Wealth Management",Table15[[#This Row],[Revenue]]&gt;=40000),"Yes","No")</f>
        <v>No</v>
      </c>
    </row>
    <row r="8" spans="1:19" x14ac:dyDescent="0.3">
      <c r="A8" s="5" t="s">
        <v>47</v>
      </c>
      <c r="B8" s="6">
        <v>46132</v>
      </c>
      <c r="C8" s="7" t="s">
        <v>33</v>
      </c>
      <c r="D8" s="7" t="s">
        <v>48</v>
      </c>
      <c r="E8" s="7" t="s">
        <v>21</v>
      </c>
      <c r="F8" s="7" t="s">
        <v>40</v>
      </c>
      <c r="G8" s="7" t="s">
        <v>30</v>
      </c>
      <c r="H8" s="7" t="s">
        <v>24</v>
      </c>
      <c r="I8" s="7">
        <v>29</v>
      </c>
      <c r="J8" s="7">
        <v>46</v>
      </c>
      <c r="K8" s="20">
        <v>9990.94</v>
      </c>
      <c r="L8" s="20">
        <v>291.44</v>
      </c>
      <c r="M8" s="7">
        <v>132.27000000000001</v>
      </c>
      <c r="N8" s="20">
        <f>Table15[[#This Row],[Processing Fee]]-Table15[[#This Row],[Discount Applied]]</f>
        <v>159.16999999999999</v>
      </c>
      <c r="O8" s="7" t="str">
        <f>IF(Table15[[#This Row],[Revenue]]&gt;35000,"Achieved","Not Achieved")</f>
        <v>Not Achieved</v>
      </c>
      <c r="P8" s="8">
        <v>4</v>
      </c>
      <c r="Q8" s="7" t="str">
        <f>IF(AND(Table15[[#This Row],[CSAT Score]]&lt;=3,Table15[[#This Row],[Revenue]]&gt;=20000),"High-Risk","Stable")</f>
        <v>Stable</v>
      </c>
      <c r="R8" s="8" t="str" cm="1">
        <f t="array" ref="R8">_xlfn.IFS(Table15[[#This Row],[Revenue]]&gt;=35000,"Platinum",Table15[[#This Row],[Revenue]]&gt;=15000,"Gold",TRUE,"Standard")</f>
        <v>Standard</v>
      </c>
      <c r="S8" s="8" t="str">
        <f>IF(OR(Table15[[#This Row],[Product]]="Wealth Management",Table15[[#This Row],[Revenue]]&gt;=40000),"Yes","No")</f>
        <v>No</v>
      </c>
    </row>
    <row r="9" spans="1:19" x14ac:dyDescent="0.3">
      <c r="A9" s="5" t="s">
        <v>49</v>
      </c>
      <c r="B9" s="6">
        <v>46226</v>
      </c>
      <c r="C9" s="7" t="s">
        <v>33</v>
      </c>
      <c r="D9" s="7" t="s">
        <v>50</v>
      </c>
      <c r="E9" s="7" t="s">
        <v>28</v>
      </c>
      <c r="F9" s="7" t="s">
        <v>35</v>
      </c>
      <c r="G9" s="7" t="s">
        <v>23</v>
      </c>
      <c r="H9" s="7" t="s">
        <v>24</v>
      </c>
      <c r="I9" s="7">
        <v>59</v>
      </c>
      <c r="J9" s="7">
        <v>72</v>
      </c>
      <c r="K9" s="20">
        <v>27997.119999999999</v>
      </c>
      <c r="L9" s="20">
        <v>436.97</v>
      </c>
      <c r="M9" s="7">
        <v>78.400000000000006</v>
      </c>
      <c r="N9" s="20">
        <f>Table15[[#This Row],[Processing Fee]]-Table15[[#This Row],[Discount Applied]]</f>
        <v>358.57000000000005</v>
      </c>
      <c r="O9" s="7" t="str">
        <f>IF(Table15[[#This Row],[Revenue]]&gt;35000,"Achieved","Not Achieved")</f>
        <v>Not Achieved</v>
      </c>
      <c r="P9" s="8">
        <v>2</v>
      </c>
      <c r="Q9" s="7" t="str">
        <f>IF(AND(Table15[[#This Row],[CSAT Score]]&lt;=3,Table15[[#This Row],[Revenue]]&gt;=20000),"High-Risk","Stable")</f>
        <v>High-Risk</v>
      </c>
      <c r="R9" s="8" t="str" cm="1">
        <f t="array" ref="R9">_xlfn.IFS(Table15[[#This Row],[Revenue]]&gt;=35000,"Platinum",Table15[[#This Row],[Revenue]]&gt;=15000,"Gold",TRUE,"Standard")</f>
        <v>Gold</v>
      </c>
      <c r="S9" s="8" t="str">
        <f>IF(OR(Table15[[#This Row],[Product]]="Wealth Management",Table15[[#This Row],[Revenue]]&gt;=40000),"Yes","No")</f>
        <v>No</v>
      </c>
    </row>
    <row r="10" spans="1:19" x14ac:dyDescent="0.3">
      <c r="A10" s="5" t="s">
        <v>51</v>
      </c>
      <c r="B10" s="6">
        <v>46066</v>
      </c>
      <c r="C10" s="7" t="s">
        <v>19</v>
      </c>
      <c r="D10" s="7" t="s">
        <v>52</v>
      </c>
      <c r="E10" s="7" t="s">
        <v>21</v>
      </c>
      <c r="F10" s="7" t="s">
        <v>40</v>
      </c>
      <c r="G10" s="7" t="s">
        <v>36</v>
      </c>
      <c r="H10" s="7" t="s">
        <v>53</v>
      </c>
      <c r="I10" s="7">
        <v>65</v>
      </c>
      <c r="J10" s="7">
        <v>108</v>
      </c>
      <c r="K10" s="20">
        <v>29404</v>
      </c>
      <c r="L10" s="20">
        <v>145.87</v>
      </c>
      <c r="M10" s="7">
        <v>73.739999999999995</v>
      </c>
      <c r="N10" s="20">
        <f>Table15[[#This Row],[Processing Fee]]-Table15[[#This Row],[Discount Applied]]</f>
        <v>72.13000000000001</v>
      </c>
      <c r="O10" s="7" t="str">
        <f>IF(Table15[[#This Row],[Revenue]]&gt;35000,"Achieved","Not Achieved")</f>
        <v>Not Achieved</v>
      </c>
      <c r="P10" s="8">
        <v>5</v>
      </c>
      <c r="Q10" s="7" t="str">
        <f>IF(AND(Table15[[#This Row],[CSAT Score]]&lt;=3,Table15[[#This Row],[Revenue]]&gt;=20000),"High-Risk","Stable")</f>
        <v>Stable</v>
      </c>
      <c r="R10" s="8" t="str" cm="1">
        <f t="array" ref="R10">_xlfn.IFS(Table15[[#This Row],[Revenue]]&gt;=35000,"Platinum",Table15[[#This Row],[Revenue]]&gt;=15000,"Gold",TRUE,"Standard")</f>
        <v>Gold</v>
      </c>
      <c r="S10" s="8" t="str">
        <f>IF(OR(Table15[[#This Row],[Product]]="Wealth Management",Table15[[#This Row],[Revenue]]&gt;=40000),"Yes","No")</f>
        <v>No</v>
      </c>
    </row>
    <row r="11" spans="1:19" x14ac:dyDescent="0.3">
      <c r="A11" s="5" t="s">
        <v>54</v>
      </c>
      <c r="B11" s="6">
        <v>46230</v>
      </c>
      <c r="C11" s="7" t="s">
        <v>55</v>
      </c>
      <c r="D11" s="7" t="s">
        <v>50</v>
      </c>
      <c r="E11" s="7" t="s">
        <v>28</v>
      </c>
      <c r="F11" s="7" t="s">
        <v>40</v>
      </c>
      <c r="G11" s="7" t="s">
        <v>56</v>
      </c>
      <c r="H11" s="7" t="s">
        <v>57</v>
      </c>
      <c r="I11" s="7">
        <v>22</v>
      </c>
      <c r="J11" s="7">
        <v>55</v>
      </c>
      <c r="K11" s="20">
        <v>10746.18</v>
      </c>
      <c r="L11" s="20">
        <v>323.5</v>
      </c>
      <c r="M11" s="7">
        <v>138.01</v>
      </c>
      <c r="N11" s="20">
        <f>Table15[[#This Row],[Processing Fee]]-Table15[[#This Row],[Discount Applied]]</f>
        <v>185.49</v>
      </c>
      <c r="O11" s="7" t="str">
        <f>IF(Table15[[#This Row],[Revenue]]&gt;35000,"Achieved","Not Achieved")</f>
        <v>Not Achieved</v>
      </c>
      <c r="P11" s="8">
        <v>2</v>
      </c>
      <c r="Q11" s="7" t="str">
        <f>IF(AND(Table15[[#This Row],[CSAT Score]]&lt;=3,Table15[[#This Row],[Revenue]]&gt;=20000),"High-Risk","Stable")</f>
        <v>Stable</v>
      </c>
      <c r="R11" s="8" t="str" cm="1">
        <f t="array" ref="R11">_xlfn.IFS(Table15[[#This Row],[Revenue]]&gt;=35000,"Platinum",Table15[[#This Row],[Revenue]]&gt;=15000,"Gold",TRUE,"Standard")</f>
        <v>Standard</v>
      </c>
      <c r="S11" s="8" t="str">
        <f>IF(OR(Table15[[#This Row],[Product]]="Wealth Management",Table15[[#This Row],[Revenue]]&gt;=40000),"Yes","No")</f>
        <v>No</v>
      </c>
    </row>
    <row r="12" spans="1:19" x14ac:dyDescent="0.3">
      <c r="A12" s="5" t="s">
        <v>58</v>
      </c>
      <c r="B12" s="6">
        <v>45945</v>
      </c>
      <c r="C12" s="7" t="s">
        <v>42</v>
      </c>
      <c r="D12" s="7" t="s">
        <v>50</v>
      </c>
      <c r="E12" s="7" t="s">
        <v>59</v>
      </c>
      <c r="F12" s="7" t="s">
        <v>29</v>
      </c>
      <c r="G12" s="7" t="s">
        <v>23</v>
      </c>
      <c r="H12" s="7" t="s">
        <v>57</v>
      </c>
      <c r="I12" s="7">
        <v>28</v>
      </c>
      <c r="J12" s="7">
        <v>119</v>
      </c>
      <c r="K12" s="20">
        <v>42644.58</v>
      </c>
      <c r="L12" s="20">
        <v>87.71</v>
      </c>
      <c r="M12" s="7">
        <v>77.44</v>
      </c>
      <c r="N12" s="20">
        <f>Table15[[#This Row],[Processing Fee]]-Table15[[#This Row],[Discount Applied]]</f>
        <v>10.269999999999996</v>
      </c>
      <c r="O12" s="7" t="str">
        <f>IF(Table15[[#This Row],[Revenue]]&gt;35000,"Achieved","Not Achieved")</f>
        <v>Achieved</v>
      </c>
      <c r="P12" s="8">
        <v>4</v>
      </c>
      <c r="Q12" s="7" t="str">
        <f>IF(AND(Table15[[#This Row],[CSAT Score]]&lt;=3,Table15[[#This Row],[Revenue]]&gt;=20000),"High-Risk","Stable")</f>
        <v>Stable</v>
      </c>
      <c r="R12" s="8" t="str" cm="1">
        <f t="array" ref="R12">_xlfn.IFS(Table15[[#This Row],[Revenue]]&gt;=35000,"Platinum",Table15[[#This Row],[Revenue]]&gt;=15000,"Gold",TRUE,"Standard")</f>
        <v>Platinum</v>
      </c>
      <c r="S12" s="8" t="str">
        <f>IF(OR(Table15[[#This Row],[Product]]="Wealth Management",Table15[[#This Row],[Revenue]]&gt;=40000),"Yes","No")</f>
        <v>Yes</v>
      </c>
    </row>
    <row r="13" spans="1:19" x14ac:dyDescent="0.3">
      <c r="A13" s="5" t="s">
        <v>60</v>
      </c>
      <c r="B13" s="6">
        <v>46203</v>
      </c>
      <c r="C13" s="7" t="s">
        <v>19</v>
      </c>
      <c r="D13" s="7" t="s">
        <v>61</v>
      </c>
      <c r="E13" s="7" t="s">
        <v>21</v>
      </c>
      <c r="F13" s="7" t="s">
        <v>22</v>
      </c>
      <c r="G13" s="7" t="s">
        <v>36</v>
      </c>
      <c r="H13" s="7" t="s">
        <v>24</v>
      </c>
      <c r="I13" s="7">
        <v>27</v>
      </c>
      <c r="J13" s="7">
        <v>86</v>
      </c>
      <c r="K13" s="20">
        <v>4671.09</v>
      </c>
      <c r="L13" s="20">
        <v>339.38</v>
      </c>
      <c r="M13" s="7">
        <v>69.22</v>
      </c>
      <c r="N13" s="20">
        <f>Table15[[#This Row],[Processing Fee]]-Table15[[#This Row],[Discount Applied]]</f>
        <v>270.15999999999997</v>
      </c>
      <c r="O13" s="7" t="str">
        <f>IF(Table15[[#This Row],[Revenue]]&gt;35000,"Achieved","Not Achieved")</f>
        <v>Not Achieved</v>
      </c>
      <c r="P13" s="8">
        <v>5</v>
      </c>
      <c r="Q13" s="7" t="str">
        <f>IF(AND(Table15[[#This Row],[CSAT Score]]&lt;=3,Table15[[#This Row],[Revenue]]&gt;=20000),"High-Risk","Stable")</f>
        <v>Stable</v>
      </c>
      <c r="R13" s="8" t="str" cm="1">
        <f t="array" ref="R13">_xlfn.IFS(Table15[[#This Row],[Revenue]]&gt;=35000,"Platinum",Table15[[#This Row],[Revenue]]&gt;=15000,"Gold",TRUE,"Standard")</f>
        <v>Standard</v>
      </c>
      <c r="S13" s="8" t="str">
        <f>IF(OR(Table15[[#This Row],[Product]]="Wealth Management",Table15[[#This Row],[Revenue]]&gt;=40000),"Yes","No")</f>
        <v>Yes</v>
      </c>
    </row>
    <row r="14" spans="1:19" x14ac:dyDescent="0.3">
      <c r="A14" s="5" t="s">
        <v>62</v>
      </c>
      <c r="B14" s="6">
        <v>46076</v>
      </c>
      <c r="C14" s="7" t="s">
        <v>42</v>
      </c>
      <c r="D14" s="7" t="s">
        <v>63</v>
      </c>
      <c r="E14" s="7" t="s">
        <v>46</v>
      </c>
      <c r="F14" s="7" t="s">
        <v>22</v>
      </c>
      <c r="G14" s="7" t="s">
        <v>56</v>
      </c>
      <c r="H14" s="7" t="s">
        <v>24</v>
      </c>
      <c r="I14" s="7">
        <v>64</v>
      </c>
      <c r="J14" s="7">
        <v>85</v>
      </c>
      <c r="K14" s="20">
        <v>18126.61</v>
      </c>
      <c r="L14" s="20">
        <v>393.14</v>
      </c>
      <c r="M14" s="7">
        <v>167.18</v>
      </c>
      <c r="N14" s="20">
        <f>Table15[[#This Row],[Processing Fee]]-Table15[[#This Row],[Discount Applied]]</f>
        <v>225.95999999999998</v>
      </c>
      <c r="O14" s="7" t="str">
        <f>IF(Table15[[#This Row],[Revenue]]&gt;35000,"Achieved","Not Achieved")</f>
        <v>Not Achieved</v>
      </c>
      <c r="P14" s="8">
        <v>1</v>
      </c>
      <c r="Q14" s="7" t="str">
        <f>IF(AND(Table15[[#This Row],[CSAT Score]]&lt;=3,Table15[[#This Row],[Revenue]]&gt;=20000),"High-Risk","Stable")</f>
        <v>Stable</v>
      </c>
      <c r="R14" s="8" t="str" cm="1">
        <f t="array" ref="R14">_xlfn.IFS(Table15[[#This Row],[Revenue]]&gt;=35000,"Platinum",Table15[[#This Row],[Revenue]]&gt;=15000,"Gold",TRUE,"Standard")</f>
        <v>Gold</v>
      </c>
      <c r="S14" s="8" t="str">
        <f>IF(OR(Table15[[#This Row],[Product]]="Wealth Management",Table15[[#This Row],[Revenue]]&gt;=40000),"Yes","No")</f>
        <v>Yes</v>
      </c>
    </row>
    <row r="15" spans="1:19" x14ac:dyDescent="0.3">
      <c r="A15" s="5" t="s">
        <v>64</v>
      </c>
      <c r="B15" s="6">
        <v>45927</v>
      </c>
      <c r="C15" s="7" t="s">
        <v>42</v>
      </c>
      <c r="D15" s="11" t="s">
        <v>50</v>
      </c>
      <c r="E15" s="7" t="s">
        <v>46</v>
      </c>
      <c r="F15" s="7" t="s">
        <v>29</v>
      </c>
      <c r="G15" s="7" t="s">
        <v>65</v>
      </c>
      <c r="H15" s="7" t="s">
        <v>31</v>
      </c>
      <c r="I15" s="7">
        <v>71</v>
      </c>
      <c r="J15" s="7">
        <v>26</v>
      </c>
      <c r="K15" s="20">
        <v>34179.03</v>
      </c>
      <c r="L15" s="20">
        <v>313.22000000000003</v>
      </c>
      <c r="M15" s="7">
        <v>30.39</v>
      </c>
      <c r="N15" s="20">
        <f>Table15[[#This Row],[Processing Fee]]-Table15[[#This Row],[Discount Applied]]</f>
        <v>282.83000000000004</v>
      </c>
      <c r="O15" s="7" t="str">
        <f>IF(Table15[[#This Row],[Revenue]]&gt;35000,"Achieved","Not Achieved")</f>
        <v>Not Achieved</v>
      </c>
      <c r="P15" s="8">
        <v>1</v>
      </c>
      <c r="Q15" s="7" t="str">
        <f>IF(AND(Table15[[#This Row],[CSAT Score]]&lt;=3,Table15[[#This Row],[Revenue]]&gt;=20000),"High-Risk","Stable")</f>
        <v>High-Risk</v>
      </c>
      <c r="R15" s="8" t="str" cm="1">
        <f t="array" ref="R15">_xlfn.IFS(Table15[[#This Row],[Revenue]]&gt;=35000,"Platinum",Table15[[#This Row],[Revenue]]&gt;=15000,"Gold",TRUE,"Standard")</f>
        <v>Gold</v>
      </c>
      <c r="S15" s="8" t="str">
        <f>IF(OR(Table15[[#This Row],[Product]]="Wealth Management",Table15[[#This Row],[Revenue]]&gt;=40000),"Yes","No")</f>
        <v>No</v>
      </c>
    </row>
    <row r="16" spans="1:19" x14ac:dyDescent="0.3">
      <c r="A16" s="5" t="s">
        <v>66</v>
      </c>
      <c r="B16" s="6">
        <v>46137</v>
      </c>
      <c r="C16" s="7" t="s">
        <v>44</v>
      </c>
      <c r="D16" s="7" t="s">
        <v>20</v>
      </c>
      <c r="E16" s="7" t="s">
        <v>39</v>
      </c>
      <c r="F16" s="7" t="s">
        <v>35</v>
      </c>
      <c r="G16" s="7" t="s">
        <v>23</v>
      </c>
      <c r="H16" s="7" t="s">
        <v>53</v>
      </c>
      <c r="I16" s="7">
        <v>59</v>
      </c>
      <c r="J16" s="7">
        <v>104</v>
      </c>
      <c r="K16" s="20">
        <v>14068.96</v>
      </c>
      <c r="L16" s="20">
        <v>169.8</v>
      </c>
      <c r="M16" s="7">
        <v>135.18</v>
      </c>
      <c r="N16" s="20">
        <f>Table15[[#This Row],[Processing Fee]]-Table15[[#This Row],[Discount Applied]]</f>
        <v>34.620000000000005</v>
      </c>
      <c r="O16" s="7" t="str">
        <f>IF(Table15[[#This Row],[Revenue]]&gt;35000,"Achieved","Not Achieved")</f>
        <v>Not Achieved</v>
      </c>
      <c r="P16" s="8">
        <v>2</v>
      </c>
      <c r="Q16" s="7" t="str">
        <f>IF(AND(Table15[[#This Row],[CSAT Score]]&lt;=3,Table15[[#This Row],[Revenue]]&gt;=20000),"High-Risk","Stable")</f>
        <v>Stable</v>
      </c>
      <c r="R16" s="8" t="str" cm="1">
        <f t="array" ref="R16">_xlfn.IFS(Table15[[#This Row],[Revenue]]&gt;=35000,"Platinum",Table15[[#This Row],[Revenue]]&gt;=15000,"Gold",TRUE,"Standard")</f>
        <v>Standard</v>
      </c>
      <c r="S16" s="8" t="str">
        <f>IF(OR(Table15[[#This Row],[Product]]="Wealth Management",Table15[[#This Row],[Revenue]]&gt;=40000),"Yes","No")</f>
        <v>No</v>
      </c>
    </row>
    <row r="17" spans="1:19" x14ac:dyDescent="0.3">
      <c r="A17" s="5" t="s">
        <v>67</v>
      </c>
      <c r="B17" s="6">
        <v>46208</v>
      </c>
      <c r="C17" s="7" t="s">
        <v>33</v>
      </c>
      <c r="D17" s="7" t="s">
        <v>68</v>
      </c>
      <c r="E17" s="7" t="s">
        <v>28</v>
      </c>
      <c r="F17" s="7" t="s">
        <v>69</v>
      </c>
      <c r="G17" s="7" t="s">
        <v>23</v>
      </c>
      <c r="H17" s="7" t="s">
        <v>53</v>
      </c>
      <c r="I17" s="7">
        <v>62</v>
      </c>
      <c r="J17" s="7">
        <v>85</v>
      </c>
      <c r="K17" s="20">
        <v>41469.919999999998</v>
      </c>
      <c r="L17" s="20">
        <v>64.099999999999994</v>
      </c>
      <c r="M17" s="7">
        <v>49.75</v>
      </c>
      <c r="N17" s="20">
        <f>Table15[[#This Row],[Processing Fee]]-Table15[[#This Row],[Discount Applied]]</f>
        <v>14.349999999999994</v>
      </c>
      <c r="O17" s="7" t="str">
        <f>IF(Table15[[#This Row],[Revenue]]&gt;35000,"Achieved","Not Achieved")</f>
        <v>Achieved</v>
      </c>
      <c r="P17" s="8">
        <v>1</v>
      </c>
      <c r="Q17" s="7" t="str">
        <f>IF(AND(Table15[[#This Row],[CSAT Score]]&lt;=3,Table15[[#This Row],[Revenue]]&gt;=20000),"High-Risk","Stable")</f>
        <v>High-Risk</v>
      </c>
      <c r="R17" s="8" t="str" cm="1">
        <f t="array" ref="R17">_xlfn.IFS(Table15[[#This Row],[Revenue]]&gt;=35000,"Platinum",Table15[[#This Row],[Revenue]]&gt;=15000,"Gold",TRUE,"Standard")</f>
        <v>Platinum</v>
      </c>
      <c r="S17" s="8" t="str">
        <f>IF(OR(Table15[[#This Row],[Product]]="Wealth Management",Table15[[#This Row],[Revenue]]&gt;=40000),"Yes","No")</f>
        <v>Yes</v>
      </c>
    </row>
    <row r="18" spans="1:19" x14ac:dyDescent="0.3">
      <c r="A18" s="5" t="s">
        <v>70</v>
      </c>
      <c r="B18" s="6">
        <v>46029</v>
      </c>
      <c r="C18" s="7" t="s">
        <v>26</v>
      </c>
      <c r="D18" s="7" t="s">
        <v>63</v>
      </c>
      <c r="E18" s="7" t="s">
        <v>21</v>
      </c>
      <c r="F18" s="7" t="s">
        <v>69</v>
      </c>
      <c r="G18" s="7" t="s">
        <v>65</v>
      </c>
      <c r="H18" s="7" t="s">
        <v>24</v>
      </c>
      <c r="I18" s="7">
        <v>36</v>
      </c>
      <c r="J18" s="7">
        <v>25</v>
      </c>
      <c r="K18" s="20">
        <v>37123.46</v>
      </c>
      <c r="L18" s="20">
        <v>103.75</v>
      </c>
      <c r="M18" s="7">
        <v>3.1</v>
      </c>
      <c r="N18" s="20">
        <f>Table15[[#This Row],[Processing Fee]]-Table15[[#This Row],[Discount Applied]]</f>
        <v>100.65</v>
      </c>
      <c r="O18" s="7" t="str">
        <f>IF(Table15[[#This Row],[Revenue]]&gt;35000,"Achieved","Not Achieved")</f>
        <v>Achieved</v>
      </c>
      <c r="P18" s="8">
        <v>1</v>
      </c>
      <c r="Q18" s="7" t="str">
        <f>IF(AND(Table15[[#This Row],[CSAT Score]]&lt;=3,Table15[[#This Row],[Revenue]]&gt;=20000),"High-Risk","Stable")</f>
        <v>High-Risk</v>
      </c>
      <c r="R18" s="8" t="str" cm="1">
        <f t="array" ref="R18">_xlfn.IFS(Table15[[#This Row],[Revenue]]&gt;=35000,"Platinum",Table15[[#This Row],[Revenue]]&gt;=15000,"Gold",TRUE,"Standard")</f>
        <v>Platinum</v>
      </c>
      <c r="S18" s="8" t="str">
        <f>IF(OR(Table15[[#This Row],[Product]]="Wealth Management",Table15[[#This Row],[Revenue]]&gt;=40000),"Yes","No")</f>
        <v>No</v>
      </c>
    </row>
    <row r="19" spans="1:19" x14ac:dyDescent="0.3">
      <c r="A19" s="5" t="s">
        <v>71</v>
      </c>
      <c r="B19" s="6">
        <v>45988</v>
      </c>
      <c r="C19" s="7" t="s">
        <v>44</v>
      </c>
      <c r="D19" s="7" t="s">
        <v>45</v>
      </c>
      <c r="E19" s="7" t="s">
        <v>39</v>
      </c>
      <c r="F19" s="7" t="s">
        <v>69</v>
      </c>
      <c r="G19" s="7" t="s">
        <v>65</v>
      </c>
      <c r="H19" s="7" t="s">
        <v>31</v>
      </c>
      <c r="I19" s="7">
        <v>55</v>
      </c>
      <c r="J19" s="7">
        <v>105</v>
      </c>
      <c r="K19" s="20">
        <v>39556.629999999997</v>
      </c>
      <c r="L19" s="20">
        <v>330.04</v>
      </c>
      <c r="M19" s="7">
        <v>50.03</v>
      </c>
      <c r="N19" s="20">
        <f>Table15[[#This Row],[Processing Fee]]-Table15[[#This Row],[Discount Applied]]</f>
        <v>280.01</v>
      </c>
      <c r="O19" s="7" t="str">
        <f>IF(Table15[[#This Row],[Revenue]]&gt;35000,"Achieved","Not Achieved")</f>
        <v>Achieved</v>
      </c>
      <c r="P19" s="8">
        <v>1</v>
      </c>
      <c r="Q19" s="7" t="str">
        <f>IF(AND(Table15[[#This Row],[CSAT Score]]&lt;=3,Table15[[#This Row],[Revenue]]&gt;=20000),"High-Risk","Stable")</f>
        <v>High-Risk</v>
      </c>
      <c r="R19" s="8" t="str" cm="1">
        <f t="array" ref="R19">_xlfn.IFS(Table15[[#This Row],[Revenue]]&gt;=35000,"Platinum",Table15[[#This Row],[Revenue]]&gt;=15000,"Gold",TRUE,"Standard")</f>
        <v>Platinum</v>
      </c>
      <c r="S19" s="8" t="str">
        <f>IF(OR(Table15[[#This Row],[Product]]="Wealth Management",Table15[[#This Row],[Revenue]]&gt;=40000),"Yes","No")</f>
        <v>No</v>
      </c>
    </row>
    <row r="20" spans="1:19" x14ac:dyDescent="0.3">
      <c r="A20" s="5" t="s">
        <v>72</v>
      </c>
      <c r="B20" s="6">
        <v>46166</v>
      </c>
      <c r="C20" s="7" t="s">
        <v>44</v>
      </c>
      <c r="D20" s="7" t="s">
        <v>27</v>
      </c>
      <c r="E20" s="7" t="s">
        <v>21</v>
      </c>
      <c r="F20" s="7" t="s">
        <v>29</v>
      </c>
      <c r="G20" s="7" t="s">
        <v>23</v>
      </c>
      <c r="H20" s="7" t="s">
        <v>31</v>
      </c>
      <c r="I20" s="7">
        <v>50</v>
      </c>
      <c r="J20" s="7">
        <v>65</v>
      </c>
      <c r="K20" s="20">
        <v>6395.77</v>
      </c>
      <c r="L20" s="20">
        <v>470.49</v>
      </c>
      <c r="M20" s="7">
        <v>182</v>
      </c>
      <c r="N20" s="20">
        <f>Table15[[#This Row],[Processing Fee]]-Table15[[#This Row],[Discount Applied]]</f>
        <v>288.49</v>
      </c>
      <c r="O20" s="7" t="str">
        <f>IF(Table15[[#This Row],[Revenue]]&gt;35000,"Achieved","Not Achieved")</f>
        <v>Not Achieved</v>
      </c>
      <c r="P20" s="8">
        <v>4</v>
      </c>
      <c r="Q20" s="7" t="str">
        <f>IF(AND(Table15[[#This Row],[CSAT Score]]&lt;=3,Table15[[#This Row],[Revenue]]&gt;=20000),"High-Risk","Stable")</f>
        <v>Stable</v>
      </c>
      <c r="R20" s="8" t="str" cm="1">
        <f t="array" ref="R20">_xlfn.IFS(Table15[[#This Row],[Revenue]]&gt;=35000,"Platinum",Table15[[#This Row],[Revenue]]&gt;=15000,"Gold",TRUE,"Standard")</f>
        <v>Standard</v>
      </c>
      <c r="S20" s="8" t="str">
        <f>IF(OR(Table15[[#This Row],[Product]]="Wealth Management",Table15[[#This Row],[Revenue]]&gt;=40000),"Yes","No")</f>
        <v>No</v>
      </c>
    </row>
    <row r="21" spans="1:19" x14ac:dyDescent="0.3">
      <c r="A21" s="5" t="s">
        <v>73</v>
      </c>
      <c r="B21" s="6">
        <v>46012</v>
      </c>
      <c r="C21" s="7" t="s">
        <v>42</v>
      </c>
      <c r="D21" s="7" t="s">
        <v>38</v>
      </c>
      <c r="E21" s="7" t="s">
        <v>28</v>
      </c>
      <c r="F21" s="7" t="s">
        <v>29</v>
      </c>
      <c r="G21" s="7" t="s">
        <v>65</v>
      </c>
      <c r="H21" s="7" t="s">
        <v>57</v>
      </c>
      <c r="I21" s="7">
        <v>30</v>
      </c>
      <c r="J21" s="7">
        <v>6</v>
      </c>
      <c r="K21" s="20">
        <v>7457.08</v>
      </c>
      <c r="L21" s="20">
        <v>142.94</v>
      </c>
      <c r="M21" s="7">
        <v>141.83000000000001</v>
      </c>
      <c r="N21" s="20">
        <f>Table15[[#This Row],[Processing Fee]]-Table15[[#This Row],[Discount Applied]]</f>
        <v>1.1099999999999852</v>
      </c>
      <c r="O21" s="7" t="str">
        <f>IF(Table15[[#This Row],[Revenue]]&gt;35000,"Achieved","Not Achieved")</f>
        <v>Not Achieved</v>
      </c>
      <c r="P21" s="8">
        <v>1</v>
      </c>
      <c r="Q21" s="7" t="str">
        <f>IF(AND(Table15[[#This Row],[CSAT Score]]&lt;=3,Table15[[#This Row],[Revenue]]&gt;=20000),"High-Risk","Stable")</f>
        <v>Stable</v>
      </c>
      <c r="R21" s="8" t="str" cm="1">
        <f t="array" ref="R21">_xlfn.IFS(Table15[[#This Row],[Revenue]]&gt;=35000,"Platinum",Table15[[#This Row],[Revenue]]&gt;=15000,"Gold",TRUE,"Standard")</f>
        <v>Standard</v>
      </c>
      <c r="S21" s="8" t="str">
        <f>IF(OR(Table15[[#This Row],[Product]]="Wealth Management",Table15[[#This Row],[Revenue]]&gt;=40000),"Yes","No")</f>
        <v>No</v>
      </c>
    </row>
    <row r="22" spans="1:19" x14ac:dyDescent="0.3">
      <c r="A22" s="5" t="s">
        <v>74</v>
      </c>
      <c r="B22" s="6">
        <v>46174</v>
      </c>
      <c r="C22" s="7" t="s">
        <v>75</v>
      </c>
      <c r="D22" s="7" t="s">
        <v>68</v>
      </c>
      <c r="E22" s="7" t="s">
        <v>46</v>
      </c>
      <c r="F22" s="7" t="s">
        <v>40</v>
      </c>
      <c r="G22" s="7" t="s">
        <v>30</v>
      </c>
      <c r="H22" s="7" t="s">
        <v>57</v>
      </c>
      <c r="I22" s="7">
        <v>58</v>
      </c>
      <c r="J22" s="7">
        <v>23</v>
      </c>
      <c r="K22" s="20">
        <v>14680.45</v>
      </c>
      <c r="L22" s="20">
        <v>380.76</v>
      </c>
      <c r="M22" s="7">
        <v>4.21</v>
      </c>
      <c r="N22" s="20">
        <f>Table15[[#This Row],[Processing Fee]]-Table15[[#This Row],[Discount Applied]]</f>
        <v>376.55</v>
      </c>
      <c r="O22" s="7" t="str">
        <f>IF(Table15[[#This Row],[Revenue]]&gt;35000,"Achieved","Not Achieved")</f>
        <v>Not Achieved</v>
      </c>
      <c r="P22" s="8">
        <v>3</v>
      </c>
      <c r="Q22" s="7" t="str">
        <f>IF(AND(Table15[[#This Row],[CSAT Score]]&lt;=3,Table15[[#This Row],[Revenue]]&gt;=20000),"High-Risk","Stable")</f>
        <v>Stable</v>
      </c>
      <c r="R22" s="8" t="str" cm="1">
        <f t="array" ref="R22">_xlfn.IFS(Table15[[#This Row],[Revenue]]&gt;=35000,"Platinum",Table15[[#This Row],[Revenue]]&gt;=15000,"Gold",TRUE,"Standard")</f>
        <v>Standard</v>
      </c>
      <c r="S22" s="8" t="str">
        <f>IF(OR(Table15[[#This Row],[Product]]="Wealth Management",Table15[[#This Row],[Revenue]]&gt;=40000),"Yes","No")</f>
        <v>No</v>
      </c>
    </row>
    <row r="23" spans="1:19" x14ac:dyDescent="0.3">
      <c r="A23" s="5" t="s">
        <v>76</v>
      </c>
      <c r="B23" s="6">
        <v>46172</v>
      </c>
      <c r="C23" s="7" t="s">
        <v>33</v>
      </c>
      <c r="D23" s="7" t="s">
        <v>77</v>
      </c>
      <c r="E23" s="7" t="s">
        <v>59</v>
      </c>
      <c r="F23" s="7" t="s">
        <v>69</v>
      </c>
      <c r="G23" s="7" t="s">
        <v>56</v>
      </c>
      <c r="H23" s="7" t="s">
        <v>31</v>
      </c>
      <c r="I23" s="7">
        <v>38</v>
      </c>
      <c r="J23" s="7">
        <v>115</v>
      </c>
      <c r="K23" s="20">
        <v>26144.82</v>
      </c>
      <c r="L23" s="20">
        <v>439.9</v>
      </c>
      <c r="M23" s="7">
        <v>10.94</v>
      </c>
      <c r="N23" s="20">
        <f>Table15[[#This Row],[Processing Fee]]-Table15[[#This Row],[Discount Applied]]</f>
        <v>428.96</v>
      </c>
      <c r="O23" s="7" t="str">
        <f>IF(Table15[[#This Row],[Revenue]]&gt;35000,"Achieved","Not Achieved")</f>
        <v>Not Achieved</v>
      </c>
      <c r="P23" s="8">
        <v>5</v>
      </c>
      <c r="Q23" s="7" t="str">
        <f>IF(AND(Table15[[#This Row],[CSAT Score]]&lt;=3,Table15[[#This Row],[Revenue]]&gt;=20000),"High-Risk","Stable")</f>
        <v>Stable</v>
      </c>
      <c r="R23" s="8" t="str" cm="1">
        <f t="array" ref="R23">_xlfn.IFS(Table15[[#This Row],[Revenue]]&gt;=35000,"Platinum",Table15[[#This Row],[Revenue]]&gt;=15000,"Gold",TRUE,"Standard")</f>
        <v>Gold</v>
      </c>
      <c r="S23" s="8" t="str">
        <f>IF(OR(Table15[[#This Row],[Product]]="Wealth Management",Table15[[#This Row],[Revenue]]&gt;=40000),"Yes","No")</f>
        <v>No</v>
      </c>
    </row>
    <row r="24" spans="1:19" x14ac:dyDescent="0.3">
      <c r="A24" s="5" t="s">
        <v>78</v>
      </c>
      <c r="B24" s="6">
        <v>46175</v>
      </c>
      <c r="C24" s="7" t="s">
        <v>55</v>
      </c>
      <c r="D24" s="7" t="s">
        <v>79</v>
      </c>
      <c r="E24" s="7" t="s">
        <v>46</v>
      </c>
      <c r="F24" s="7" t="s">
        <v>35</v>
      </c>
      <c r="G24" s="7" t="s">
        <v>56</v>
      </c>
      <c r="H24" s="7" t="s">
        <v>57</v>
      </c>
      <c r="I24" s="7">
        <v>70</v>
      </c>
      <c r="J24" s="7">
        <v>64</v>
      </c>
      <c r="K24" s="20">
        <v>37526.800000000003</v>
      </c>
      <c r="L24" s="20">
        <v>284.39999999999998</v>
      </c>
      <c r="M24" s="7">
        <v>180.51</v>
      </c>
      <c r="N24" s="20">
        <f>Table15[[#This Row],[Processing Fee]]-Table15[[#This Row],[Discount Applied]]</f>
        <v>103.88999999999999</v>
      </c>
      <c r="O24" s="7" t="str">
        <f>IF(Table15[[#This Row],[Revenue]]&gt;35000,"Achieved","Not Achieved")</f>
        <v>Achieved</v>
      </c>
      <c r="P24" s="8">
        <v>1</v>
      </c>
      <c r="Q24" s="7" t="str">
        <f>IF(AND(Table15[[#This Row],[CSAT Score]]&lt;=3,Table15[[#This Row],[Revenue]]&gt;=20000),"High-Risk","Stable")</f>
        <v>High-Risk</v>
      </c>
      <c r="R24" s="8" t="str" cm="1">
        <f t="array" ref="R24">_xlfn.IFS(Table15[[#This Row],[Revenue]]&gt;=35000,"Platinum",Table15[[#This Row],[Revenue]]&gt;=15000,"Gold",TRUE,"Standard")</f>
        <v>Platinum</v>
      </c>
      <c r="S24" s="8" t="str">
        <f>IF(OR(Table15[[#This Row],[Product]]="Wealth Management",Table15[[#This Row],[Revenue]]&gt;=40000),"Yes","No")</f>
        <v>No</v>
      </c>
    </row>
    <row r="25" spans="1:19" x14ac:dyDescent="0.3">
      <c r="A25" s="5" t="s">
        <v>80</v>
      </c>
      <c r="B25" s="6">
        <v>46015</v>
      </c>
      <c r="C25" s="7" t="s">
        <v>44</v>
      </c>
      <c r="D25" s="7" t="s">
        <v>61</v>
      </c>
      <c r="E25" s="7" t="s">
        <v>39</v>
      </c>
      <c r="F25" s="7" t="s">
        <v>35</v>
      </c>
      <c r="G25" s="7" t="s">
        <v>56</v>
      </c>
      <c r="H25" s="7" t="s">
        <v>24</v>
      </c>
      <c r="I25" s="7">
        <v>25</v>
      </c>
      <c r="J25" s="7">
        <v>87</v>
      </c>
      <c r="K25" s="20">
        <v>41908.28</v>
      </c>
      <c r="L25" s="20">
        <v>351.17</v>
      </c>
      <c r="M25" s="7">
        <v>14.66</v>
      </c>
      <c r="N25" s="20">
        <f>Table15[[#This Row],[Processing Fee]]-Table15[[#This Row],[Discount Applied]]</f>
        <v>336.51</v>
      </c>
      <c r="O25" s="7" t="str">
        <f>IF(Table15[[#This Row],[Revenue]]&gt;35000,"Achieved","Not Achieved")</f>
        <v>Achieved</v>
      </c>
      <c r="P25" s="8">
        <v>1</v>
      </c>
      <c r="Q25" s="7" t="str">
        <f>IF(AND(Table15[[#This Row],[CSAT Score]]&lt;=3,Table15[[#This Row],[Revenue]]&gt;=20000),"High-Risk","Stable")</f>
        <v>High-Risk</v>
      </c>
      <c r="R25" s="8" t="str" cm="1">
        <f t="array" ref="R25">_xlfn.IFS(Table15[[#This Row],[Revenue]]&gt;=35000,"Platinum",Table15[[#This Row],[Revenue]]&gt;=15000,"Gold",TRUE,"Standard")</f>
        <v>Platinum</v>
      </c>
      <c r="S25" s="8" t="str">
        <f>IF(OR(Table15[[#This Row],[Product]]="Wealth Management",Table15[[#This Row],[Revenue]]&gt;=40000),"Yes","No")</f>
        <v>Yes</v>
      </c>
    </row>
    <row r="26" spans="1:19" x14ac:dyDescent="0.3">
      <c r="A26" s="5" t="s">
        <v>81</v>
      </c>
      <c r="B26" s="6">
        <v>46124</v>
      </c>
      <c r="C26" s="7" t="s">
        <v>26</v>
      </c>
      <c r="D26" s="7" t="s">
        <v>68</v>
      </c>
      <c r="E26" s="7" t="s">
        <v>59</v>
      </c>
      <c r="F26" s="7" t="s">
        <v>69</v>
      </c>
      <c r="G26" s="7" t="s">
        <v>30</v>
      </c>
      <c r="H26" s="7" t="s">
        <v>31</v>
      </c>
      <c r="I26" s="7">
        <v>73</v>
      </c>
      <c r="J26" s="7">
        <v>43</v>
      </c>
      <c r="K26" s="20">
        <v>35364.6</v>
      </c>
      <c r="L26" s="20">
        <v>416.76</v>
      </c>
      <c r="M26" s="7">
        <v>268.26</v>
      </c>
      <c r="N26" s="20">
        <f>Table15[[#This Row],[Processing Fee]]-Table15[[#This Row],[Discount Applied]]</f>
        <v>148.5</v>
      </c>
      <c r="O26" s="7" t="str">
        <f>IF(Table15[[#This Row],[Revenue]]&gt;35000,"Achieved","Not Achieved")</f>
        <v>Achieved</v>
      </c>
      <c r="P26" s="8">
        <v>1</v>
      </c>
      <c r="Q26" s="7" t="str">
        <f>IF(AND(Table15[[#This Row],[CSAT Score]]&lt;=3,Table15[[#This Row],[Revenue]]&gt;=20000),"High-Risk","Stable")</f>
        <v>High-Risk</v>
      </c>
      <c r="R26" s="8" t="str" cm="1">
        <f t="array" ref="R26">_xlfn.IFS(Table15[[#This Row],[Revenue]]&gt;=35000,"Platinum",Table15[[#This Row],[Revenue]]&gt;=15000,"Gold",TRUE,"Standard")</f>
        <v>Platinum</v>
      </c>
      <c r="S26" s="8" t="str">
        <f>IF(OR(Table15[[#This Row],[Product]]="Wealth Management",Table15[[#This Row],[Revenue]]&gt;=40000),"Yes","No")</f>
        <v>No</v>
      </c>
    </row>
    <row r="27" spans="1:19" x14ac:dyDescent="0.3">
      <c r="A27" s="5" t="s">
        <v>82</v>
      </c>
      <c r="B27" s="6">
        <v>46133</v>
      </c>
      <c r="C27" s="7" t="s">
        <v>75</v>
      </c>
      <c r="D27" s="7" t="s">
        <v>83</v>
      </c>
      <c r="E27" s="7" t="s">
        <v>39</v>
      </c>
      <c r="F27" s="7" t="s">
        <v>69</v>
      </c>
      <c r="G27" s="7" t="s">
        <v>65</v>
      </c>
      <c r="H27" s="7" t="s">
        <v>57</v>
      </c>
      <c r="I27" s="7">
        <v>49</v>
      </c>
      <c r="J27" s="7">
        <v>107</v>
      </c>
      <c r="K27" s="20">
        <v>46465.55</v>
      </c>
      <c r="L27" s="20">
        <v>167.3</v>
      </c>
      <c r="M27" s="7">
        <v>45.63</v>
      </c>
      <c r="N27" s="20">
        <f>Table15[[#This Row],[Processing Fee]]-Table15[[#This Row],[Discount Applied]]</f>
        <v>121.67000000000002</v>
      </c>
      <c r="O27" s="7" t="str">
        <f>IF(Table15[[#This Row],[Revenue]]&gt;35000,"Achieved","Not Achieved")</f>
        <v>Achieved</v>
      </c>
      <c r="P27" s="8">
        <v>3</v>
      </c>
      <c r="Q27" s="7" t="str">
        <f>IF(AND(Table15[[#This Row],[CSAT Score]]&lt;=3,Table15[[#This Row],[Revenue]]&gt;=20000),"High-Risk","Stable")</f>
        <v>High-Risk</v>
      </c>
      <c r="R27" s="8" t="str" cm="1">
        <f t="array" ref="R27">_xlfn.IFS(Table15[[#This Row],[Revenue]]&gt;=35000,"Platinum",Table15[[#This Row],[Revenue]]&gt;=15000,"Gold",TRUE,"Standard")</f>
        <v>Platinum</v>
      </c>
      <c r="S27" s="8" t="str">
        <f>IF(OR(Table15[[#This Row],[Product]]="Wealth Management",Table15[[#This Row],[Revenue]]&gt;=40000),"Yes","No")</f>
        <v>Yes</v>
      </c>
    </row>
    <row r="28" spans="1:19" x14ac:dyDescent="0.3">
      <c r="A28" s="5" t="s">
        <v>84</v>
      </c>
      <c r="B28" s="6">
        <v>46209</v>
      </c>
      <c r="C28" s="7" t="s">
        <v>75</v>
      </c>
      <c r="D28" s="7" t="s">
        <v>50</v>
      </c>
      <c r="E28" s="7" t="s">
        <v>28</v>
      </c>
      <c r="F28" s="7" t="s">
        <v>69</v>
      </c>
      <c r="G28" s="7" t="s">
        <v>36</v>
      </c>
      <c r="H28" s="7" t="s">
        <v>53</v>
      </c>
      <c r="I28" s="7">
        <v>59</v>
      </c>
      <c r="J28" s="7">
        <v>23</v>
      </c>
      <c r="K28" s="20">
        <v>37067.800000000003</v>
      </c>
      <c r="L28" s="20">
        <v>183.6</v>
      </c>
      <c r="M28" s="7">
        <v>148</v>
      </c>
      <c r="N28" s="20">
        <f>Table15[[#This Row],[Processing Fee]]-Table15[[#This Row],[Discount Applied]]</f>
        <v>35.599999999999994</v>
      </c>
      <c r="O28" s="7" t="str">
        <f>IF(Table15[[#This Row],[Revenue]]&gt;35000,"Achieved","Not Achieved")</f>
        <v>Achieved</v>
      </c>
      <c r="P28" s="8">
        <v>1</v>
      </c>
      <c r="Q28" s="7" t="str">
        <f>IF(AND(Table15[[#This Row],[CSAT Score]]&lt;=3,Table15[[#This Row],[Revenue]]&gt;=20000),"High-Risk","Stable")</f>
        <v>High-Risk</v>
      </c>
      <c r="R28" s="8" t="str" cm="1">
        <f t="array" ref="R28">_xlfn.IFS(Table15[[#This Row],[Revenue]]&gt;=35000,"Platinum",Table15[[#This Row],[Revenue]]&gt;=15000,"Gold",TRUE,"Standard")</f>
        <v>Platinum</v>
      </c>
      <c r="S28" s="8" t="str">
        <f>IF(OR(Table15[[#This Row],[Product]]="Wealth Management",Table15[[#This Row],[Revenue]]&gt;=40000),"Yes","No")</f>
        <v>No</v>
      </c>
    </row>
    <row r="29" spans="1:19" x14ac:dyDescent="0.3">
      <c r="A29" s="5" t="s">
        <v>85</v>
      </c>
      <c r="B29" s="6">
        <v>45972</v>
      </c>
      <c r="C29" s="7" t="s">
        <v>55</v>
      </c>
      <c r="D29" s="7" t="s">
        <v>45</v>
      </c>
      <c r="E29" s="7" t="s">
        <v>59</v>
      </c>
      <c r="F29" s="7" t="s">
        <v>29</v>
      </c>
      <c r="G29" s="7" t="s">
        <v>65</v>
      </c>
      <c r="H29" s="7" t="s">
        <v>31</v>
      </c>
      <c r="I29" s="7">
        <v>54</v>
      </c>
      <c r="J29" s="7">
        <v>96</v>
      </c>
      <c r="K29" s="20">
        <v>15660.26</v>
      </c>
      <c r="L29" s="20">
        <v>50.28</v>
      </c>
      <c r="M29" s="7">
        <v>92.93</v>
      </c>
      <c r="N29" s="20">
        <f>Table15[[#This Row],[Processing Fee]]-Table15[[#This Row],[Discount Applied]]</f>
        <v>-42.650000000000006</v>
      </c>
      <c r="O29" s="7" t="str">
        <f>IF(Table15[[#This Row],[Revenue]]&gt;35000,"Achieved","Not Achieved")</f>
        <v>Not Achieved</v>
      </c>
      <c r="P29" s="8">
        <v>1</v>
      </c>
      <c r="Q29" s="7" t="str">
        <f>IF(AND(Table15[[#This Row],[CSAT Score]]&lt;=3,Table15[[#This Row],[Revenue]]&gt;=20000),"High-Risk","Stable")</f>
        <v>Stable</v>
      </c>
      <c r="R29" s="8" t="str" cm="1">
        <f t="array" ref="R29">_xlfn.IFS(Table15[[#This Row],[Revenue]]&gt;=35000,"Platinum",Table15[[#This Row],[Revenue]]&gt;=15000,"Gold",TRUE,"Standard")</f>
        <v>Gold</v>
      </c>
      <c r="S29" s="8" t="str">
        <f>IF(OR(Table15[[#This Row],[Product]]="Wealth Management",Table15[[#This Row],[Revenue]]&gt;=40000),"Yes","No")</f>
        <v>No</v>
      </c>
    </row>
    <row r="30" spans="1:19" x14ac:dyDescent="0.3">
      <c r="A30" s="5" t="s">
        <v>86</v>
      </c>
      <c r="B30" s="6">
        <v>46204</v>
      </c>
      <c r="C30" s="7" t="s">
        <v>44</v>
      </c>
      <c r="D30" s="7" t="s">
        <v>87</v>
      </c>
      <c r="E30" s="7" t="s">
        <v>39</v>
      </c>
      <c r="F30" s="7" t="s">
        <v>29</v>
      </c>
      <c r="G30" s="7" t="s">
        <v>23</v>
      </c>
      <c r="H30" s="7" t="s">
        <v>31</v>
      </c>
      <c r="I30" s="7">
        <v>63</v>
      </c>
      <c r="J30" s="7">
        <v>30</v>
      </c>
      <c r="K30" s="20">
        <v>13621.52</v>
      </c>
      <c r="L30" s="20">
        <v>483.39</v>
      </c>
      <c r="M30" s="7">
        <v>257.62</v>
      </c>
      <c r="N30" s="20">
        <f>Table15[[#This Row],[Processing Fee]]-Table15[[#This Row],[Discount Applied]]</f>
        <v>225.76999999999998</v>
      </c>
      <c r="O30" s="7" t="str">
        <f>IF(Table15[[#This Row],[Revenue]]&gt;35000,"Achieved","Not Achieved")</f>
        <v>Not Achieved</v>
      </c>
      <c r="P30" s="8">
        <v>5</v>
      </c>
      <c r="Q30" s="7" t="str">
        <f>IF(AND(Table15[[#This Row],[CSAT Score]]&lt;=3,Table15[[#This Row],[Revenue]]&gt;=20000),"High-Risk","Stable")</f>
        <v>Stable</v>
      </c>
      <c r="R30" s="8" t="str" cm="1">
        <f t="array" ref="R30">_xlfn.IFS(Table15[[#This Row],[Revenue]]&gt;=35000,"Platinum",Table15[[#This Row],[Revenue]]&gt;=15000,"Gold",TRUE,"Standard")</f>
        <v>Standard</v>
      </c>
      <c r="S30" s="8" t="str">
        <f>IF(OR(Table15[[#This Row],[Product]]="Wealth Management",Table15[[#This Row],[Revenue]]&gt;=40000),"Yes","No")</f>
        <v>No</v>
      </c>
    </row>
    <row r="31" spans="1:19" x14ac:dyDescent="0.3">
      <c r="A31" s="5" t="s">
        <v>88</v>
      </c>
      <c r="B31" s="6">
        <v>46178</v>
      </c>
      <c r="C31" s="7" t="s">
        <v>26</v>
      </c>
      <c r="D31" s="7" t="s">
        <v>79</v>
      </c>
      <c r="E31" s="7" t="s">
        <v>28</v>
      </c>
      <c r="F31" s="7" t="s">
        <v>29</v>
      </c>
      <c r="G31" s="7" t="s">
        <v>56</v>
      </c>
      <c r="H31" s="7" t="s">
        <v>53</v>
      </c>
      <c r="I31" s="7">
        <v>65</v>
      </c>
      <c r="J31" s="7">
        <v>77</v>
      </c>
      <c r="K31" s="20">
        <v>34961.53</v>
      </c>
      <c r="L31" s="20">
        <v>462.9</v>
      </c>
      <c r="M31" s="7">
        <v>140.09</v>
      </c>
      <c r="N31" s="20">
        <f>Table15[[#This Row],[Processing Fee]]-Table15[[#This Row],[Discount Applied]]</f>
        <v>322.80999999999995</v>
      </c>
      <c r="O31" s="7" t="str">
        <f>IF(Table15[[#This Row],[Revenue]]&gt;35000,"Achieved","Not Achieved")</f>
        <v>Not Achieved</v>
      </c>
      <c r="P31" s="8">
        <v>3</v>
      </c>
      <c r="Q31" s="7" t="str">
        <f>IF(AND(Table15[[#This Row],[CSAT Score]]&lt;=3,Table15[[#This Row],[Revenue]]&gt;=20000),"High-Risk","Stable")</f>
        <v>High-Risk</v>
      </c>
      <c r="R31" s="8" t="str" cm="1">
        <f t="array" ref="R31">_xlfn.IFS(Table15[[#This Row],[Revenue]]&gt;=35000,"Platinum",Table15[[#This Row],[Revenue]]&gt;=15000,"Gold",TRUE,"Standard")</f>
        <v>Gold</v>
      </c>
      <c r="S31" s="8" t="str">
        <f>IF(OR(Table15[[#This Row],[Product]]="Wealth Management",Table15[[#This Row],[Revenue]]&gt;=40000),"Yes","No")</f>
        <v>No</v>
      </c>
    </row>
    <row r="32" spans="1:19" x14ac:dyDescent="0.3">
      <c r="A32" s="5" t="s">
        <v>89</v>
      </c>
      <c r="B32" s="6">
        <v>46012</v>
      </c>
      <c r="C32" s="7" t="s">
        <v>33</v>
      </c>
      <c r="D32" s="7" t="s">
        <v>34</v>
      </c>
      <c r="E32" s="7" t="s">
        <v>46</v>
      </c>
      <c r="F32" s="7" t="s">
        <v>22</v>
      </c>
      <c r="G32" s="7" t="s">
        <v>65</v>
      </c>
      <c r="H32" s="7" t="s">
        <v>24</v>
      </c>
      <c r="I32" s="7">
        <v>43</v>
      </c>
      <c r="J32" s="7">
        <v>107</v>
      </c>
      <c r="K32" s="20">
        <v>10047.09</v>
      </c>
      <c r="L32" s="20">
        <v>394.06</v>
      </c>
      <c r="M32" s="7">
        <v>80.36</v>
      </c>
      <c r="N32" s="20">
        <f>Table15[[#This Row],[Processing Fee]]-Table15[[#This Row],[Discount Applied]]</f>
        <v>313.7</v>
      </c>
      <c r="O32" s="7" t="str">
        <f>IF(Table15[[#This Row],[Revenue]]&gt;35000,"Achieved","Not Achieved")</f>
        <v>Not Achieved</v>
      </c>
      <c r="P32" s="8">
        <v>3</v>
      </c>
      <c r="Q32" s="7" t="str">
        <f>IF(AND(Table15[[#This Row],[CSAT Score]]&lt;=3,Table15[[#This Row],[Revenue]]&gt;=20000),"High-Risk","Stable")</f>
        <v>Stable</v>
      </c>
      <c r="R32" s="8" t="str" cm="1">
        <f t="array" ref="R32">_xlfn.IFS(Table15[[#This Row],[Revenue]]&gt;=35000,"Platinum",Table15[[#This Row],[Revenue]]&gt;=15000,"Gold",TRUE,"Standard")</f>
        <v>Standard</v>
      </c>
      <c r="S32" s="8" t="str">
        <f>IF(OR(Table15[[#This Row],[Product]]="Wealth Management",Table15[[#This Row],[Revenue]]&gt;=40000),"Yes","No")</f>
        <v>Yes</v>
      </c>
    </row>
    <row r="33" spans="1:19" x14ac:dyDescent="0.3">
      <c r="A33" s="5" t="s">
        <v>90</v>
      </c>
      <c r="B33" s="6">
        <v>46152</v>
      </c>
      <c r="C33" s="7" t="s">
        <v>91</v>
      </c>
      <c r="D33" s="7" t="s">
        <v>20</v>
      </c>
      <c r="E33" s="7" t="s">
        <v>28</v>
      </c>
      <c r="F33" s="7" t="s">
        <v>35</v>
      </c>
      <c r="G33" s="7" t="s">
        <v>36</v>
      </c>
      <c r="H33" s="7" t="s">
        <v>53</v>
      </c>
      <c r="I33" s="7">
        <v>25</v>
      </c>
      <c r="J33" s="7">
        <v>18</v>
      </c>
      <c r="K33" s="20">
        <v>5089.38</v>
      </c>
      <c r="L33" s="20">
        <v>85.58</v>
      </c>
      <c r="M33" s="7">
        <v>15.26</v>
      </c>
      <c r="N33" s="20">
        <f>Table15[[#This Row],[Processing Fee]]-Table15[[#This Row],[Discount Applied]]</f>
        <v>70.319999999999993</v>
      </c>
      <c r="O33" s="7" t="str">
        <f>IF(Table15[[#This Row],[Revenue]]&gt;35000,"Achieved","Not Achieved")</f>
        <v>Not Achieved</v>
      </c>
      <c r="P33" s="8">
        <v>1</v>
      </c>
      <c r="Q33" s="7" t="str">
        <f>IF(AND(Table15[[#This Row],[CSAT Score]]&lt;=3,Table15[[#This Row],[Revenue]]&gt;=20000),"High-Risk","Stable")</f>
        <v>Stable</v>
      </c>
      <c r="R33" s="8" t="str" cm="1">
        <f t="array" ref="R33">_xlfn.IFS(Table15[[#This Row],[Revenue]]&gt;=35000,"Platinum",Table15[[#This Row],[Revenue]]&gt;=15000,"Gold",TRUE,"Standard")</f>
        <v>Standard</v>
      </c>
      <c r="S33" s="8" t="str">
        <f>IF(OR(Table15[[#This Row],[Product]]="Wealth Management",Table15[[#This Row],[Revenue]]&gt;=40000),"Yes","No")</f>
        <v>No</v>
      </c>
    </row>
    <row r="34" spans="1:19" x14ac:dyDescent="0.3">
      <c r="A34" s="5" t="s">
        <v>92</v>
      </c>
      <c r="B34" s="6">
        <v>46105</v>
      </c>
      <c r="C34" s="7" t="s">
        <v>26</v>
      </c>
      <c r="D34" s="7" t="s">
        <v>34</v>
      </c>
      <c r="E34" s="7" t="s">
        <v>21</v>
      </c>
      <c r="F34" s="7" t="s">
        <v>35</v>
      </c>
      <c r="G34" s="7" t="s">
        <v>23</v>
      </c>
      <c r="H34" s="7" t="s">
        <v>31</v>
      </c>
      <c r="I34" s="7">
        <v>50</v>
      </c>
      <c r="J34" s="7">
        <v>87</v>
      </c>
      <c r="K34" s="20">
        <v>26845.03</v>
      </c>
      <c r="L34" s="20">
        <v>251.38</v>
      </c>
      <c r="M34" s="7">
        <v>219.81</v>
      </c>
      <c r="N34" s="20">
        <f>Table15[[#This Row],[Processing Fee]]-Table15[[#This Row],[Discount Applied]]</f>
        <v>31.569999999999993</v>
      </c>
      <c r="O34" s="7" t="str">
        <f>IF(Table15[[#This Row],[Revenue]]&gt;35000,"Achieved","Not Achieved")</f>
        <v>Not Achieved</v>
      </c>
      <c r="P34" s="8">
        <v>3</v>
      </c>
      <c r="Q34" s="7" t="str">
        <f>IF(AND(Table15[[#This Row],[CSAT Score]]&lt;=3,Table15[[#This Row],[Revenue]]&gt;=20000),"High-Risk","Stable")</f>
        <v>High-Risk</v>
      </c>
      <c r="R34" s="8" t="str" cm="1">
        <f t="array" ref="R34">_xlfn.IFS(Table15[[#This Row],[Revenue]]&gt;=35000,"Platinum",Table15[[#This Row],[Revenue]]&gt;=15000,"Gold",TRUE,"Standard")</f>
        <v>Gold</v>
      </c>
      <c r="S34" s="8" t="str">
        <f>IF(OR(Table15[[#This Row],[Product]]="Wealth Management",Table15[[#This Row],[Revenue]]&gt;=40000),"Yes","No")</f>
        <v>No</v>
      </c>
    </row>
    <row r="35" spans="1:19" x14ac:dyDescent="0.3">
      <c r="A35" s="5" t="s">
        <v>93</v>
      </c>
      <c r="B35" s="6">
        <v>46219</v>
      </c>
      <c r="C35" s="7" t="s">
        <v>55</v>
      </c>
      <c r="D35" s="7" t="s">
        <v>68</v>
      </c>
      <c r="E35" s="7" t="s">
        <v>28</v>
      </c>
      <c r="F35" s="7" t="s">
        <v>40</v>
      </c>
      <c r="G35" s="7" t="s">
        <v>30</v>
      </c>
      <c r="H35" s="7" t="s">
        <v>24</v>
      </c>
      <c r="I35" s="7">
        <v>26</v>
      </c>
      <c r="J35" s="7">
        <v>79</v>
      </c>
      <c r="K35" s="20">
        <v>41171.26</v>
      </c>
      <c r="L35" s="20">
        <v>95.85</v>
      </c>
      <c r="M35" s="7">
        <v>123.38</v>
      </c>
      <c r="N35" s="20">
        <f>Table15[[#This Row],[Processing Fee]]-Table15[[#This Row],[Discount Applied]]</f>
        <v>-27.53</v>
      </c>
      <c r="O35" s="7" t="str">
        <f>IF(Table15[[#This Row],[Revenue]]&gt;35000,"Achieved","Not Achieved")</f>
        <v>Achieved</v>
      </c>
      <c r="P35" s="8">
        <v>2</v>
      </c>
      <c r="Q35" s="7" t="str">
        <f>IF(AND(Table15[[#This Row],[CSAT Score]]&lt;=3,Table15[[#This Row],[Revenue]]&gt;=20000),"High-Risk","Stable")</f>
        <v>High-Risk</v>
      </c>
      <c r="R35" s="8" t="str" cm="1">
        <f t="array" ref="R35">_xlfn.IFS(Table15[[#This Row],[Revenue]]&gt;=35000,"Platinum",Table15[[#This Row],[Revenue]]&gt;=15000,"Gold",TRUE,"Standard")</f>
        <v>Platinum</v>
      </c>
      <c r="S35" s="8" t="str">
        <f>IF(OR(Table15[[#This Row],[Product]]="Wealth Management",Table15[[#This Row],[Revenue]]&gt;=40000),"Yes","No")</f>
        <v>Yes</v>
      </c>
    </row>
    <row r="36" spans="1:19" x14ac:dyDescent="0.3">
      <c r="A36" s="5" t="s">
        <v>94</v>
      </c>
      <c r="B36" s="6">
        <v>45890</v>
      </c>
      <c r="C36" s="7" t="s">
        <v>75</v>
      </c>
      <c r="D36" s="7" t="s">
        <v>27</v>
      </c>
      <c r="E36" s="7" t="s">
        <v>28</v>
      </c>
      <c r="F36" s="7" t="s">
        <v>29</v>
      </c>
      <c r="G36" s="7" t="s">
        <v>30</v>
      </c>
      <c r="H36" s="7" t="s">
        <v>57</v>
      </c>
      <c r="I36" s="7">
        <v>66</v>
      </c>
      <c r="J36" s="7">
        <v>97</v>
      </c>
      <c r="K36" s="20">
        <v>5518.3</v>
      </c>
      <c r="L36" s="20">
        <v>57.16</v>
      </c>
      <c r="M36" s="7">
        <v>0.57999999999999996</v>
      </c>
      <c r="N36" s="20">
        <f>Table15[[#This Row],[Processing Fee]]-Table15[[#This Row],[Discount Applied]]</f>
        <v>56.58</v>
      </c>
      <c r="O36" s="7" t="str">
        <f>IF(Table15[[#This Row],[Revenue]]&gt;35000,"Achieved","Not Achieved")</f>
        <v>Not Achieved</v>
      </c>
      <c r="P36" s="8">
        <v>3</v>
      </c>
      <c r="Q36" s="7" t="str">
        <f>IF(AND(Table15[[#This Row],[CSAT Score]]&lt;=3,Table15[[#This Row],[Revenue]]&gt;=20000),"High-Risk","Stable")</f>
        <v>Stable</v>
      </c>
      <c r="R36" s="8" t="str" cm="1">
        <f t="array" ref="R36">_xlfn.IFS(Table15[[#This Row],[Revenue]]&gt;=35000,"Platinum",Table15[[#This Row],[Revenue]]&gt;=15000,"Gold",TRUE,"Standard")</f>
        <v>Standard</v>
      </c>
      <c r="S36" s="8" t="str">
        <f>IF(OR(Table15[[#This Row],[Product]]="Wealth Management",Table15[[#This Row],[Revenue]]&gt;=40000),"Yes","No")</f>
        <v>No</v>
      </c>
    </row>
    <row r="37" spans="1:19" x14ac:dyDescent="0.3">
      <c r="A37" s="5" t="s">
        <v>95</v>
      </c>
      <c r="B37" s="6">
        <v>45974</v>
      </c>
      <c r="C37" s="7" t="s">
        <v>33</v>
      </c>
      <c r="D37" s="7" t="s">
        <v>34</v>
      </c>
      <c r="E37" s="7" t="s">
        <v>21</v>
      </c>
      <c r="F37" s="7" t="s">
        <v>22</v>
      </c>
      <c r="G37" s="7" t="s">
        <v>36</v>
      </c>
      <c r="H37" s="7" t="s">
        <v>57</v>
      </c>
      <c r="I37" s="7">
        <v>64</v>
      </c>
      <c r="J37" s="7">
        <v>21</v>
      </c>
      <c r="K37" s="20">
        <v>39698.620000000003</v>
      </c>
      <c r="L37" s="20">
        <v>327.27999999999997</v>
      </c>
      <c r="M37" s="7">
        <v>1.88</v>
      </c>
      <c r="N37" s="20">
        <f>Table15[[#This Row],[Processing Fee]]-Table15[[#This Row],[Discount Applied]]</f>
        <v>325.39999999999998</v>
      </c>
      <c r="O37" s="7" t="str">
        <f>IF(Table15[[#This Row],[Revenue]]&gt;35000,"Achieved","Not Achieved")</f>
        <v>Achieved</v>
      </c>
      <c r="P37" s="8">
        <v>3</v>
      </c>
      <c r="Q37" s="7" t="str">
        <f>IF(AND(Table15[[#This Row],[CSAT Score]]&lt;=3,Table15[[#This Row],[Revenue]]&gt;=20000),"High-Risk","Stable")</f>
        <v>High-Risk</v>
      </c>
      <c r="R37" s="8" t="str" cm="1">
        <f t="array" ref="R37">_xlfn.IFS(Table15[[#This Row],[Revenue]]&gt;=35000,"Platinum",Table15[[#This Row],[Revenue]]&gt;=15000,"Gold",TRUE,"Standard")</f>
        <v>Platinum</v>
      </c>
      <c r="S37" s="8" t="str">
        <f>IF(OR(Table15[[#This Row],[Product]]="Wealth Management",Table15[[#This Row],[Revenue]]&gt;=40000),"Yes","No")</f>
        <v>Yes</v>
      </c>
    </row>
    <row r="38" spans="1:19" x14ac:dyDescent="0.3">
      <c r="A38" s="5" t="s">
        <v>96</v>
      </c>
      <c r="B38" s="6">
        <v>45899</v>
      </c>
      <c r="C38" s="7" t="s">
        <v>26</v>
      </c>
      <c r="D38" s="7" t="s">
        <v>83</v>
      </c>
      <c r="E38" s="7" t="s">
        <v>39</v>
      </c>
      <c r="F38" s="7" t="s">
        <v>22</v>
      </c>
      <c r="G38" s="7" t="s">
        <v>23</v>
      </c>
      <c r="H38" s="7" t="s">
        <v>57</v>
      </c>
      <c r="I38" s="7">
        <v>24</v>
      </c>
      <c r="J38" s="7">
        <v>57</v>
      </c>
      <c r="K38" s="20">
        <v>40672.81</v>
      </c>
      <c r="L38" s="20">
        <v>482.37</v>
      </c>
      <c r="M38" s="7">
        <v>161.76</v>
      </c>
      <c r="N38" s="20">
        <f>Table15[[#This Row],[Processing Fee]]-Table15[[#This Row],[Discount Applied]]</f>
        <v>320.61</v>
      </c>
      <c r="O38" s="7" t="str">
        <f>IF(Table15[[#This Row],[Revenue]]&gt;35000,"Achieved","Not Achieved")</f>
        <v>Achieved</v>
      </c>
      <c r="P38" s="8">
        <v>3</v>
      </c>
      <c r="Q38" s="7" t="str">
        <f>IF(AND(Table15[[#This Row],[CSAT Score]]&lt;=3,Table15[[#This Row],[Revenue]]&gt;=20000),"High-Risk","Stable")</f>
        <v>High-Risk</v>
      </c>
      <c r="R38" s="8" t="str" cm="1">
        <f t="array" ref="R38">_xlfn.IFS(Table15[[#This Row],[Revenue]]&gt;=35000,"Platinum",Table15[[#This Row],[Revenue]]&gt;=15000,"Gold",TRUE,"Standard")</f>
        <v>Platinum</v>
      </c>
      <c r="S38" s="8" t="str">
        <f>IF(OR(Table15[[#This Row],[Product]]="Wealth Management",Table15[[#This Row],[Revenue]]&gt;=40000),"Yes","No")</f>
        <v>Yes</v>
      </c>
    </row>
    <row r="39" spans="1:19" x14ac:dyDescent="0.3">
      <c r="A39" s="5" t="s">
        <v>97</v>
      </c>
      <c r="B39" s="6">
        <v>46221</v>
      </c>
      <c r="C39" s="7" t="s">
        <v>91</v>
      </c>
      <c r="D39" s="7" t="s">
        <v>45</v>
      </c>
      <c r="E39" s="7" t="s">
        <v>39</v>
      </c>
      <c r="F39" s="7" t="s">
        <v>35</v>
      </c>
      <c r="G39" s="7" t="s">
        <v>56</v>
      </c>
      <c r="H39" s="7" t="s">
        <v>31</v>
      </c>
      <c r="I39" s="7">
        <v>49</v>
      </c>
      <c r="J39" s="7">
        <v>103</v>
      </c>
      <c r="K39" s="20">
        <v>24372.560000000001</v>
      </c>
      <c r="L39" s="20">
        <v>456.29</v>
      </c>
      <c r="M39" s="7">
        <v>77.819999999999993</v>
      </c>
      <c r="N39" s="20">
        <f>Table15[[#This Row],[Processing Fee]]-Table15[[#This Row],[Discount Applied]]</f>
        <v>378.47</v>
      </c>
      <c r="O39" s="7" t="str">
        <f>IF(Table15[[#This Row],[Revenue]]&gt;35000,"Achieved","Not Achieved")</f>
        <v>Not Achieved</v>
      </c>
      <c r="P39" s="8">
        <v>4</v>
      </c>
      <c r="Q39" s="7" t="str">
        <f>IF(AND(Table15[[#This Row],[CSAT Score]]&lt;=3,Table15[[#This Row],[Revenue]]&gt;=20000),"High-Risk","Stable")</f>
        <v>Stable</v>
      </c>
      <c r="R39" s="8" t="str" cm="1">
        <f t="array" ref="R39">_xlfn.IFS(Table15[[#This Row],[Revenue]]&gt;=35000,"Platinum",Table15[[#This Row],[Revenue]]&gt;=15000,"Gold",TRUE,"Standard")</f>
        <v>Gold</v>
      </c>
      <c r="S39" s="8" t="str">
        <f>IF(OR(Table15[[#This Row],[Product]]="Wealth Management",Table15[[#This Row],[Revenue]]&gt;=40000),"Yes","No")</f>
        <v>No</v>
      </c>
    </row>
    <row r="40" spans="1:19" x14ac:dyDescent="0.3">
      <c r="A40" s="5" t="s">
        <v>98</v>
      </c>
      <c r="B40" s="6">
        <v>45890</v>
      </c>
      <c r="C40" s="7" t="s">
        <v>91</v>
      </c>
      <c r="D40" s="7" t="s">
        <v>77</v>
      </c>
      <c r="E40" s="7" t="s">
        <v>28</v>
      </c>
      <c r="F40" s="7" t="s">
        <v>29</v>
      </c>
      <c r="G40" s="7" t="s">
        <v>65</v>
      </c>
      <c r="H40" s="7" t="s">
        <v>53</v>
      </c>
      <c r="I40" s="7">
        <v>43</v>
      </c>
      <c r="J40" s="7">
        <v>23</v>
      </c>
      <c r="K40" s="20">
        <v>3336.86</v>
      </c>
      <c r="L40" s="20">
        <v>363.54</v>
      </c>
      <c r="M40" s="7">
        <v>127.23</v>
      </c>
      <c r="N40" s="20">
        <f>Table15[[#This Row],[Processing Fee]]-Table15[[#This Row],[Discount Applied]]</f>
        <v>236.31</v>
      </c>
      <c r="O40" s="7" t="str">
        <f>IF(Table15[[#This Row],[Revenue]]&gt;35000,"Achieved","Not Achieved")</f>
        <v>Not Achieved</v>
      </c>
      <c r="P40" s="8">
        <v>4</v>
      </c>
      <c r="Q40" s="7" t="str">
        <f>IF(AND(Table15[[#This Row],[CSAT Score]]&lt;=3,Table15[[#This Row],[Revenue]]&gt;=20000),"High-Risk","Stable")</f>
        <v>Stable</v>
      </c>
      <c r="R40" s="8" t="str" cm="1">
        <f t="array" ref="R40">_xlfn.IFS(Table15[[#This Row],[Revenue]]&gt;=35000,"Platinum",Table15[[#This Row],[Revenue]]&gt;=15000,"Gold",TRUE,"Standard")</f>
        <v>Standard</v>
      </c>
      <c r="S40" s="8" t="str">
        <f>IF(OR(Table15[[#This Row],[Product]]="Wealth Management",Table15[[#This Row],[Revenue]]&gt;=40000),"Yes","No")</f>
        <v>No</v>
      </c>
    </row>
    <row r="41" spans="1:19" x14ac:dyDescent="0.3">
      <c r="A41" s="5" t="s">
        <v>99</v>
      </c>
      <c r="B41" s="6">
        <v>46134</v>
      </c>
      <c r="C41" s="7" t="s">
        <v>42</v>
      </c>
      <c r="D41" s="7" t="s">
        <v>27</v>
      </c>
      <c r="E41" s="7" t="s">
        <v>21</v>
      </c>
      <c r="F41" s="7" t="s">
        <v>40</v>
      </c>
      <c r="G41" s="7" t="s">
        <v>23</v>
      </c>
      <c r="H41" s="7" t="s">
        <v>24</v>
      </c>
      <c r="I41" s="7">
        <v>26</v>
      </c>
      <c r="J41" s="7">
        <v>91</v>
      </c>
      <c r="K41" s="20">
        <v>9142.2000000000007</v>
      </c>
      <c r="L41" s="20">
        <v>93.49</v>
      </c>
      <c r="M41" s="7">
        <v>90.84</v>
      </c>
      <c r="N41" s="20">
        <f>Table15[[#This Row],[Processing Fee]]-Table15[[#This Row],[Discount Applied]]</f>
        <v>2.6499999999999915</v>
      </c>
      <c r="O41" s="7" t="str">
        <f>IF(Table15[[#This Row],[Revenue]]&gt;35000,"Achieved","Not Achieved")</f>
        <v>Not Achieved</v>
      </c>
      <c r="P41" s="8">
        <v>4</v>
      </c>
      <c r="Q41" s="7" t="str">
        <f>IF(AND(Table15[[#This Row],[CSAT Score]]&lt;=3,Table15[[#This Row],[Revenue]]&gt;=20000),"High-Risk","Stable")</f>
        <v>Stable</v>
      </c>
      <c r="R41" s="8" t="str" cm="1">
        <f t="array" ref="R41">_xlfn.IFS(Table15[[#This Row],[Revenue]]&gt;=35000,"Platinum",Table15[[#This Row],[Revenue]]&gt;=15000,"Gold",TRUE,"Standard")</f>
        <v>Standard</v>
      </c>
      <c r="S41" s="8" t="str">
        <f>IF(OR(Table15[[#This Row],[Product]]="Wealth Management",Table15[[#This Row],[Revenue]]&gt;=40000),"Yes","No")</f>
        <v>No</v>
      </c>
    </row>
    <row r="42" spans="1:19" x14ac:dyDescent="0.3">
      <c r="A42" s="5" t="s">
        <v>100</v>
      </c>
      <c r="B42" s="6">
        <v>46126</v>
      </c>
      <c r="C42" s="7" t="s">
        <v>42</v>
      </c>
      <c r="D42" s="7" t="s">
        <v>38</v>
      </c>
      <c r="E42" s="7" t="s">
        <v>21</v>
      </c>
      <c r="F42" s="7" t="s">
        <v>29</v>
      </c>
      <c r="G42" s="7" t="s">
        <v>30</v>
      </c>
      <c r="H42" s="7" t="s">
        <v>57</v>
      </c>
      <c r="I42" s="7">
        <v>52</v>
      </c>
      <c r="J42" s="7">
        <v>45</v>
      </c>
      <c r="K42" s="20">
        <v>35517.599999999999</v>
      </c>
      <c r="L42" s="20">
        <v>173.37</v>
      </c>
      <c r="M42" s="7">
        <v>172.69</v>
      </c>
      <c r="N42" s="20">
        <f>Table15[[#This Row],[Processing Fee]]-Table15[[#This Row],[Discount Applied]]</f>
        <v>0.68000000000000682</v>
      </c>
      <c r="O42" s="7" t="str">
        <f>IF(Table15[[#This Row],[Revenue]]&gt;35000,"Achieved","Not Achieved")</f>
        <v>Achieved</v>
      </c>
      <c r="P42" s="8">
        <v>3</v>
      </c>
      <c r="Q42" s="7" t="str">
        <f>IF(AND(Table15[[#This Row],[CSAT Score]]&lt;=3,Table15[[#This Row],[Revenue]]&gt;=20000),"High-Risk","Stable")</f>
        <v>High-Risk</v>
      </c>
      <c r="R42" s="8" t="str" cm="1">
        <f t="array" ref="R42">_xlfn.IFS(Table15[[#This Row],[Revenue]]&gt;=35000,"Platinum",Table15[[#This Row],[Revenue]]&gt;=15000,"Gold",TRUE,"Standard")</f>
        <v>Platinum</v>
      </c>
      <c r="S42" s="8" t="str">
        <f>IF(OR(Table15[[#This Row],[Product]]="Wealth Management",Table15[[#This Row],[Revenue]]&gt;=40000),"Yes","No")</f>
        <v>No</v>
      </c>
    </row>
    <row r="43" spans="1:19" x14ac:dyDescent="0.3">
      <c r="A43" s="5" t="s">
        <v>101</v>
      </c>
      <c r="B43" s="6">
        <v>46054</v>
      </c>
      <c r="C43" s="7" t="s">
        <v>19</v>
      </c>
      <c r="D43" s="7" t="s">
        <v>20</v>
      </c>
      <c r="E43" s="7" t="s">
        <v>46</v>
      </c>
      <c r="F43" s="7" t="s">
        <v>69</v>
      </c>
      <c r="G43" s="7" t="s">
        <v>36</v>
      </c>
      <c r="H43" s="7" t="s">
        <v>24</v>
      </c>
      <c r="I43" s="7">
        <v>62</v>
      </c>
      <c r="J43" s="7">
        <v>44</v>
      </c>
      <c r="K43" s="20">
        <v>35733.01</v>
      </c>
      <c r="L43" s="20">
        <v>194.03</v>
      </c>
      <c r="M43" s="7">
        <v>183.39</v>
      </c>
      <c r="N43" s="20">
        <f>Table15[[#This Row],[Processing Fee]]-Table15[[#This Row],[Discount Applied]]</f>
        <v>10.640000000000015</v>
      </c>
      <c r="O43" s="7" t="str">
        <f>IF(Table15[[#This Row],[Revenue]]&gt;35000,"Achieved","Not Achieved")</f>
        <v>Achieved</v>
      </c>
      <c r="P43" s="8">
        <v>2</v>
      </c>
      <c r="Q43" s="7" t="str">
        <f>IF(AND(Table15[[#This Row],[CSAT Score]]&lt;=3,Table15[[#This Row],[Revenue]]&gt;=20000),"High-Risk","Stable")</f>
        <v>High-Risk</v>
      </c>
      <c r="R43" s="8" t="str" cm="1">
        <f t="array" ref="R43">_xlfn.IFS(Table15[[#This Row],[Revenue]]&gt;=35000,"Platinum",Table15[[#This Row],[Revenue]]&gt;=15000,"Gold",TRUE,"Standard")</f>
        <v>Platinum</v>
      </c>
      <c r="S43" s="8" t="str">
        <f>IF(OR(Table15[[#This Row],[Product]]="Wealth Management",Table15[[#This Row],[Revenue]]&gt;=40000),"Yes","No")</f>
        <v>No</v>
      </c>
    </row>
    <row r="44" spans="1:19" x14ac:dyDescent="0.3">
      <c r="A44" s="5" t="s">
        <v>102</v>
      </c>
      <c r="B44" s="6">
        <v>46025</v>
      </c>
      <c r="C44" s="7" t="s">
        <v>55</v>
      </c>
      <c r="D44" s="7" t="s">
        <v>83</v>
      </c>
      <c r="E44" s="7" t="s">
        <v>39</v>
      </c>
      <c r="F44" s="7" t="s">
        <v>29</v>
      </c>
      <c r="G44" s="7" t="s">
        <v>36</v>
      </c>
      <c r="H44" s="7" t="s">
        <v>31</v>
      </c>
      <c r="I44" s="7">
        <v>38</v>
      </c>
      <c r="J44" s="7">
        <v>82</v>
      </c>
      <c r="K44" s="20">
        <v>44968.59</v>
      </c>
      <c r="L44" s="20">
        <v>393.42</v>
      </c>
      <c r="M44" s="7">
        <v>299.04000000000002</v>
      </c>
      <c r="N44" s="20">
        <f>Table15[[#This Row],[Processing Fee]]-Table15[[#This Row],[Discount Applied]]</f>
        <v>94.38</v>
      </c>
      <c r="O44" s="7" t="str">
        <f>IF(Table15[[#This Row],[Revenue]]&gt;35000,"Achieved","Not Achieved")</f>
        <v>Achieved</v>
      </c>
      <c r="P44" s="8">
        <v>3</v>
      </c>
      <c r="Q44" s="7" t="str">
        <f>IF(AND(Table15[[#This Row],[CSAT Score]]&lt;=3,Table15[[#This Row],[Revenue]]&gt;=20000),"High-Risk","Stable")</f>
        <v>High-Risk</v>
      </c>
      <c r="R44" s="8" t="str" cm="1">
        <f t="array" ref="R44">_xlfn.IFS(Table15[[#This Row],[Revenue]]&gt;=35000,"Platinum",Table15[[#This Row],[Revenue]]&gt;=15000,"Gold",TRUE,"Standard")</f>
        <v>Platinum</v>
      </c>
      <c r="S44" s="8" t="str">
        <f>IF(OR(Table15[[#This Row],[Product]]="Wealth Management",Table15[[#This Row],[Revenue]]&gt;=40000),"Yes","No")</f>
        <v>Yes</v>
      </c>
    </row>
    <row r="45" spans="1:19" x14ac:dyDescent="0.3">
      <c r="A45" s="5" t="s">
        <v>103</v>
      </c>
      <c r="B45" s="6">
        <v>46011</v>
      </c>
      <c r="C45" s="7" t="s">
        <v>44</v>
      </c>
      <c r="D45" s="7" t="s">
        <v>83</v>
      </c>
      <c r="E45" s="7" t="s">
        <v>59</v>
      </c>
      <c r="F45" s="7" t="s">
        <v>69</v>
      </c>
      <c r="G45" s="7" t="s">
        <v>65</v>
      </c>
      <c r="H45" s="7" t="s">
        <v>57</v>
      </c>
      <c r="I45" s="7">
        <v>35</v>
      </c>
      <c r="J45" s="7">
        <v>88</v>
      </c>
      <c r="K45" s="20">
        <v>29342.959999999999</v>
      </c>
      <c r="L45" s="20">
        <v>411.01</v>
      </c>
      <c r="M45" s="7">
        <v>30.74</v>
      </c>
      <c r="N45" s="20">
        <f>Table15[[#This Row],[Processing Fee]]-Table15[[#This Row],[Discount Applied]]</f>
        <v>380.27</v>
      </c>
      <c r="O45" s="7" t="str">
        <f>IF(Table15[[#This Row],[Revenue]]&gt;35000,"Achieved","Not Achieved")</f>
        <v>Not Achieved</v>
      </c>
      <c r="P45" s="8">
        <v>1</v>
      </c>
      <c r="Q45" s="7" t="str">
        <f>IF(AND(Table15[[#This Row],[CSAT Score]]&lt;=3,Table15[[#This Row],[Revenue]]&gt;=20000),"High-Risk","Stable")</f>
        <v>High-Risk</v>
      </c>
      <c r="R45" s="8" t="str" cm="1">
        <f t="array" ref="R45">_xlfn.IFS(Table15[[#This Row],[Revenue]]&gt;=35000,"Platinum",Table15[[#This Row],[Revenue]]&gt;=15000,"Gold",TRUE,"Standard")</f>
        <v>Gold</v>
      </c>
      <c r="S45" s="8" t="str">
        <f>IF(OR(Table15[[#This Row],[Product]]="Wealth Management",Table15[[#This Row],[Revenue]]&gt;=40000),"Yes","No")</f>
        <v>No</v>
      </c>
    </row>
    <row r="46" spans="1:19" x14ac:dyDescent="0.3">
      <c r="A46" s="5" t="s">
        <v>104</v>
      </c>
      <c r="B46" s="6">
        <v>46101</v>
      </c>
      <c r="C46" s="7" t="s">
        <v>26</v>
      </c>
      <c r="D46" s="7" t="s">
        <v>34</v>
      </c>
      <c r="E46" s="7" t="s">
        <v>39</v>
      </c>
      <c r="F46" s="7" t="s">
        <v>69</v>
      </c>
      <c r="G46" s="7" t="s">
        <v>36</v>
      </c>
      <c r="H46" s="7" t="s">
        <v>31</v>
      </c>
      <c r="I46" s="7">
        <v>60</v>
      </c>
      <c r="J46" s="7">
        <v>115</v>
      </c>
      <c r="K46" s="20">
        <v>6643.31</v>
      </c>
      <c r="L46" s="20">
        <v>223.3</v>
      </c>
      <c r="M46" s="7">
        <v>258.88</v>
      </c>
      <c r="N46" s="20">
        <f>Table15[[#This Row],[Processing Fee]]-Table15[[#This Row],[Discount Applied]]</f>
        <v>-35.579999999999984</v>
      </c>
      <c r="O46" s="7" t="str">
        <f>IF(Table15[[#This Row],[Revenue]]&gt;35000,"Achieved","Not Achieved")</f>
        <v>Not Achieved</v>
      </c>
      <c r="P46" s="8">
        <v>2</v>
      </c>
      <c r="Q46" s="7" t="str">
        <f>IF(AND(Table15[[#This Row],[CSAT Score]]&lt;=3,Table15[[#This Row],[Revenue]]&gt;=20000),"High-Risk","Stable")</f>
        <v>Stable</v>
      </c>
      <c r="R46" s="8" t="str" cm="1">
        <f t="array" ref="R46">_xlfn.IFS(Table15[[#This Row],[Revenue]]&gt;=35000,"Platinum",Table15[[#This Row],[Revenue]]&gt;=15000,"Gold",TRUE,"Standard")</f>
        <v>Standard</v>
      </c>
      <c r="S46" s="8" t="str">
        <f>IF(OR(Table15[[#This Row],[Product]]="Wealth Management",Table15[[#This Row],[Revenue]]&gt;=40000),"Yes","No")</f>
        <v>No</v>
      </c>
    </row>
    <row r="47" spans="1:19" x14ac:dyDescent="0.3">
      <c r="A47" s="5" t="s">
        <v>105</v>
      </c>
      <c r="B47" s="6">
        <v>46081</v>
      </c>
      <c r="C47" s="7" t="s">
        <v>26</v>
      </c>
      <c r="D47" s="7" t="s">
        <v>50</v>
      </c>
      <c r="E47" s="7" t="s">
        <v>39</v>
      </c>
      <c r="F47" s="7" t="s">
        <v>40</v>
      </c>
      <c r="G47" s="7" t="s">
        <v>36</v>
      </c>
      <c r="H47" s="7" t="s">
        <v>53</v>
      </c>
      <c r="I47" s="7">
        <v>52</v>
      </c>
      <c r="J47" s="7">
        <v>47</v>
      </c>
      <c r="K47" s="20">
        <v>6510.04</v>
      </c>
      <c r="L47" s="20">
        <v>238.05</v>
      </c>
      <c r="M47" s="7">
        <v>53.2</v>
      </c>
      <c r="N47" s="20">
        <f>Table15[[#This Row],[Processing Fee]]-Table15[[#This Row],[Discount Applied]]</f>
        <v>184.85000000000002</v>
      </c>
      <c r="O47" s="7" t="str">
        <f>IF(Table15[[#This Row],[Revenue]]&gt;35000,"Achieved","Not Achieved")</f>
        <v>Not Achieved</v>
      </c>
      <c r="P47" s="8">
        <v>4</v>
      </c>
      <c r="Q47" s="7" t="str">
        <f>IF(AND(Table15[[#This Row],[CSAT Score]]&lt;=3,Table15[[#This Row],[Revenue]]&gt;=20000),"High-Risk","Stable")</f>
        <v>Stable</v>
      </c>
      <c r="R47" s="8" t="str" cm="1">
        <f t="array" ref="R47">_xlfn.IFS(Table15[[#This Row],[Revenue]]&gt;=35000,"Platinum",Table15[[#This Row],[Revenue]]&gt;=15000,"Gold",TRUE,"Standard")</f>
        <v>Standard</v>
      </c>
      <c r="S47" s="8" t="str">
        <f>IF(OR(Table15[[#This Row],[Product]]="Wealth Management",Table15[[#This Row],[Revenue]]&gt;=40000),"Yes","No")</f>
        <v>No</v>
      </c>
    </row>
    <row r="48" spans="1:19" x14ac:dyDescent="0.3">
      <c r="A48" s="5" t="s">
        <v>106</v>
      </c>
      <c r="B48" s="6">
        <v>46054</v>
      </c>
      <c r="C48" s="7" t="s">
        <v>44</v>
      </c>
      <c r="D48" s="7" t="s">
        <v>34</v>
      </c>
      <c r="E48" s="7" t="s">
        <v>46</v>
      </c>
      <c r="F48" s="7" t="s">
        <v>35</v>
      </c>
      <c r="G48" s="7" t="s">
        <v>23</v>
      </c>
      <c r="H48" s="7" t="s">
        <v>31</v>
      </c>
      <c r="I48" s="7">
        <v>29</v>
      </c>
      <c r="J48" s="7">
        <v>40</v>
      </c>
      <c r="K48" s="20">
        <v>36196.050000000003</v>
      </c>
      <c r="L48" s="20">
        <v>70.03</v>
      </c>
      <c r="M48" s="7">
        <v>177.24</v>
      </c>
      <c r="N48" s="20">
        <f>Table15[[#This Row],[Processing Fee]]-Table15[[#This Row],[Discount Applied]]</f>
        <v>-107.21000000000001</v>
      </c>
      <c r="O48" s="7" t="str">
        <f>IF(Table15[[#This Row],[Revenue]]&gt;35000,"Achieved","Not Achieved")</f>
        <v>Achieved</v>
      </c>
      <c r="P48" s="8">
        <v>5</v>
      </c>
      <c r="Q48" s="7" t="str">
        <f>IF(AND(Table15[[#This Row],[CSAT Score]]&lt;=3,Table15[[#This Row],[Revenue]]&gt;=20000),"High-Risk","Stable")</f>
        <v>Stable</v>
      </c>
      <c r="R48" s="8" t="str" cm="1">
        <f t="array" ref="R48">_xlfn.IFS(Table15[[#This Row],[Revenue]]&gt;=35000,"Platinum",Table15[[#This Row],[Revenue]]&gt;=15000,"Gold",TRUE,"Standard")</f>
        <v>Platinum</v>
      </c>
      <c r="S48" s="8" t="str">
        <f>IF(OR(Table15[[#This Row],[Product]]="Wealth Management",Table15[[#This Row],[Revenue]]&gt;=40000),"Yes","No")</f>
        <v>No</v>
      </c>
    </row>
    <row r="49" spans="1:19" x14ac:dyDescent="0.3">
      <c r="A49" s="5" t="s">
        <v>107</v>
      </c>
      <c r="B49" s="6">
        <v>46024</v>
      </c>
      <c r="C49" s="7" t="s">
        <v>19</v>
      </c>
      <c r="D49" s="7" t="s">
        <v>68</v>
      </c>
      <c r="E49" s="7" t="s">
        <v>59</v>
      </c>
      <c r="F49" s="7" t="s">
        <v>29</v>
      </c>
      <c r="G49" s="7" t="s">
        <v>56</v>
      </c>
      <c r="H49" s="7" t="s">
        <v>31</v>
      </c>
      <c r="I49" s="7">
        <v>57</v>
      </c>
      <c r="J49" s="7">
        <v>51</v>
      </c>
      <c r="K49" s="20">
        <v>9597.34</v>
      </c>
      <c r="L49" s="20">
        <v>180.11</v>
      </c>
      <c r="M49" s="7">
        <v>151.72999999999999</v>
      </c>
      <c r="N49" s="20">
        <f>Table15[[#This Row],[Processing Fee]]-Table15[[#This Row],[Discount Applied]]</f>
        <v>28.380000000000024</v>
      </c>
      <c r="O49" s="7" t="str">
        <f>IF(Table15[[#This Row],[Revenue]]&gt;35000,"Achieved","Not Achieved")</f>
        <v>Not Achieved</v>
      </c>
      <c r="P49" s="8">
        <v>2</v>
      </c>
      <c r="Q49" s="7" t="str">
        <f>IF(AND(Table15[[#This Row],[CSAT Score]]&lt;=3,Table15[[#This Row],[Revenue]]&gt;=20000),"High-Risk","Stable")</f>
        <v>Stable</v>
      </c>
      <c r="R49" s="8" t="str" cm="1">
        <f t="array" ref="R49">_xlfn.IFS(Table15[[#This Row],[Revenue]]&gt;=35000,"Platinum",Table15[[#This Row],[Revenue]]&gt;=15000,"Gold",TRUE,"Standard")</f>
        <v>Standard</v>
      </c>
      <c r="S49" s="8" t="str">
        <f>IF(OR(Table15[[#This Row],[Product]]="Wealth Management",Table15[[#This Row],[Revenue]]&gt;=40000),"Yes","No")</f>
        <v>No</v>
      </c>
    </row>
    <row r="50" spans="1:19" x14ac:dyDescent="0.3">
      <c r="A50" s="5" t="s">
        <v>108</v>
      </c>
      <c r="B50" s="6">
        <v>46000</v>
      </c>
      <c r="C50" s="7" t="s">
        <v>75</v>
      </c>
      <c r="D50" s="7" t="s">
        <v>38</v>
      </c>
      <c r="E50" s="7" t="s">
        <v>46</v>
      </c>
      <c r="F50" s="7" t="s">
        <v>69</v>
      </c>
      <c r="G50" s="7" t="s">
        <v>65</v>
      </c>
      <c r="H50" s="7" t="s">
        <v>53</v>
      </c>
      <c r="I50" s="7">
        <v>30</v>
      </c>
      <c r="J50" s="7">
        <v>42</v>
      </c>
      <c r="K50" s="20">
        <v>16755.080000000002</v>
      </c>
      <c r="L50" s="20">
        <v>253.08</v>
      </c>
      <c r="M50" s="7">
        <v>3.6</v>
      </c>
      <c r="N50" s="20">
        <f>Table15[[#This Row],[Processing Fee]]-Table15[[#This Row],[Discount Applied]]</f>
        <v>249.48000000000002</v>
      </c>
      <c r="O50" s="7" t="str">
        <f>IF(Table15[[#This Row],[Revenue]]&gt;35000,"Achieved","Not Achieved")</f>
        <v>Not Achieved</v>
      </c>
      <c r="P50" s="8">
        <v>4</v>
      </c>
      <c r="Q50" s="7" t="str">
        <f>IF(AND(Table15[[#This Row],[CSAT Score]]&lt;=3,Table15[[#This Row],[Revenue]]&gt;=20000),"High-Risk","Stable")</f>
        <v>Stable</v>
      </c>
      <c r="R50" s="8" t="str" cm="1">
        <f t="array" ref="R50">_xlfn.IFS(Table15[[#This Row],[Revenue]]&gt;=35000,"Platinum",Table15[[#This Row],[Revenue]]&gt;=15000,"Gold",TRUE,"Standard")</f>
        <v>Gold</v>
      </c>
      <c r="S50" s="8" t="str">
        <f>IF(OR(Table15[[#This Row],[Product]]="Wealth Management",Table15[[#This Row],[Revenue]]&gt;=40000),"Yes","No")</f>
        <v>No</v>
      </c>
    </row>
    <row r="51" spans="1:19" x14ac:dyDescent="0.3">
      <c r="A51" s="5" t="s">
        <v>109</v>
      </c>
      <c r="B51" s="6">
        <v>46155</v>
      </c>
      <c r="C51" s="7" t="s">
        <v>75</v>
      </c>
      <c r="D51" s="7" t="s">
        <v>63</v>
      </c>
      <c r="E51" s="7" t="s">
        <v>59</v>
      </c>
      <c r="F51" s="7" t="s">
        <v>29</v>
      </c>
      <c r="G51" s="7" t="s">
        <v>23</v>
      </c>
      <c r="H51" s="7" t="s">
        <v>24</v>
      </c>
      <c r="I51" s="7">
        <v>40</v>
      </c>
      <c r="J51" s="7">
        <v>7</v>
      </c>
      <c r="K51" s="20">
        <v>24616.99</v>
      </c>
      <c r="L51" s="20">
        <v>102.64</v>
      </c>
      <c r="M51" s="7">
        <v>186.55</v>
      </c>
      <c r="N51" s="20">
        <f>Table15[[#This Row],[Processing Fee]]-Table15[[#This Row],[Discount Applied]]</f>
        <v>-83.910000000000011</v>
      </c>
      <c r="O51" s="7" t="str">
        <f>IF(Table15[[#This Row],[Revenue]]&gt;35000,"Achieved","Not Achieved")</f>
        <v>Not Achieved</v>
      </c>
      <c r="P51" s="8">
        <v>2</v>
      </c>
      <c r="Q51" s="7" t="str">
        <f>IF(AND(Table15[[#This Row],[CSAT Score]]&lt;=3,Table15[[#This Row],[Revenue]]&gt;=20000),"High-Risk","Stable")</f>
        <v>High-Risk</v>
      </c>
      <c r="R51" s="8" t="str" cm="1">
        <f t="array" ref="R51">_xlfn.IFS(Table15[[#This Row],[Revenue]]&gt;=35000,"Platinum",Table15[[#This Row],[Revenue]]&gt;=15000,"Gold",TRUE,"Standard")</f>
        <v>Gold</v>
      </c>
      <c r="S51" s="8" t="str">
        <f>IF(OR(Table15[[#This Row],[Product]]="Wealth Management",Table15[[#This Row],[Revenue]]&gt;=40000),"Yes","No")</f>
        <v>No</v>
      </c>
    </row>
    <row r="52" spans="1:19" x14ac:dyDescent="0.3">
      <c r="A52" s="5" t="s">
        <v>110</v>
      </c>
      <c r="B52" s="6">
        <v>45990</v>
      </c>
      <c r="C52" s="7" t="s">
        <v>19</v>
      </c>
      <c r="D52" s="7" t="s">
        <v>27</v>
      </c>
      <c r="E52" s="7" t="s">
        <v>28</v>
      </c>
      <c r="F52" s="7" t="s">
        <v>35</v>
      </c>
      <c r="G52" s="7" t="s">
        <v>56</v>
      </c>
      <c r="H52" s="7" t="s">
        <v>53</v>
      </c>
      <c r="I52" s="7">
        <v>26</v>
      </c>
      <c r="J52" s="7">
        <v>50</v>
      </c>
      <c r="K52" s="20">
        <v>1725.86</v>
      </c>
      <c r="L52" s="20">
        <v>253.97</v>
      </c>
      <c r="M52" s="7">
        <v>15.67</v>
      </c>
      <c r="N52" s="20">
        <f>Table15[[#This Row],[Processing Fee]]-Table15[[#This Row],[Discount Applied]]</f>
        <v>238.3</v>
      </c>
      <c r="O52" s="7" t="str">
        <f>IF(Table15[[#This Row],[Revenue]]&gt;35000,"Achieved","Not Achieved")</f>
        <v>Not Achieved</v>
      </c>
      <c r="P52" s="8">
        <v>2</v>
      </c>
      <c r="Q52" s="7" t="str">
        <f>IF(AND(Table15[[#This Row],[CSAT Score]]&lt;=3,Table15[[#This Row],[Revenue]]&gt;=20000),"High-Risk","Stable")</f>
        <v>Stable</v>
      </c>
      <c r="R52" s="8" t="str" cm="1">
        <f t="array" ref="R52">_xlfn.IFS(Table15[[#This Row],[Revenue]]&gt;=35000,"Platinum",Table15[[#This Row],[Revenue]]&gt;=15000,"Gold",TRUE,"Standard")</f>
        <v>Standard</v>
      </c>
      <c r="S52" s="8" t="str">
        <f>IF(OR(Table15[[#This Row],[Product]]="Wealth Management",Table15[[#This Row],[Revenue]]&gt;=40000),"Yes","No")</f>
        <v>No</v>
      </c>
    </row>
    <row r="53" spans="1:19" x14ac:dyDescent="0.3">
      <c r="A53" s="5" t="s">
        <v>111</v>
      </c>
      <c r="B53" s="6">
        <v>45914</v>
      </c>
      <c r="C53" s="7" t="s">
        <v>75</v>
      </c>
      <c r="D53" s="7" t="s">
        <v>34</v>
      </c>
      <c r="E53" s="7" t="s">
        <v>59</v>
      </c>
      <c r="F53" s="7" t="s">
        <v>35</v>
      </c>
      <c r="G53" s="7" t="s">
        <v>23</v>
      </c>
      <c r="H53" s="7" t="s">
        <v>53</v>
      </c>
      <c r="I53" s="7">
        <v>68</v>
      </c>
      <c r="J53" s="7">
        <v>48</v>
      </c>
      <c r="K53" s="20">
        <v>12816.54</v>
      </c>
      <c r="L53" s="20">
        <v>433.93</v>
      </c>
      <c r="M53" s="7">
        <v>137.63999999999999</v>
      </c>
      <c r="N53" s="20">
        <f>Table15[[#This Row],[Processing Fee]]-Table15[[#This Row],[Discount Applied]]</f>
        <v>296.29000000000002</v>
      </c>
      <c r="O53" s="7" t="str">
        <f>IF(Table15[[#This Row],[Revenue]]&gt;35000,"Achieved","Not Achieved")</f>
        <v>Not Achieved</v>
      </c>
      <c r="P53" s="8">
        <v>3</v>
      </c>
      <c r="Q53" s="7" t="str">
        <f>IF(AND(Table15[[#This Row],[CSAT Score]]&lt;=3,Table15[[#This Row],[Revenue]]&gt;=20000),"High-Risk","Stable")</f>
        <v>Stable</v>
      </c>
      <c r="R53" s="8" t="str" cm="1">
        <f t="array" ref="R53">_xlfn.IFS(Table15[[#This Row],[Revenue]]&gt;=35000,"Platinum",Table15[[#This Row],[Revenue]]&gt;=15000,"Gold",TRUE,"Standard")</f>
        <v>Standard</v>
      </c>
      <c r="S53" s="8" t="str">
        <f>IF(OR(Table15[[#This Row],[Product]]="Wealth Management",Table15[[#This Row],[Revenue]]&gt;=40000),"Yes","No")</f>
        <v>No</v>
      </c>
    </row>
    <row r="54" spans="1:19" x14ac:dyDescent="0.3">
      <c r="A54" s="5" t="s">
        <v>112</v>
      </c>
      <c r="B54" s="6">
        <v>46086</v>
      </c>
      <c r="C54" s="7" t="s">
        <v>42</v>
      </c>
      <c r="D54" s="7" t="s">
        <v>45</v>
      </c>
      <c r="E54" s="7" t="s">
        <v>46</v>
      </c>
      <c r="F54" s="7" t="s">
        <v>22</v>
      </c>
      <c r="G54" s="7" t="s">
        <v>23</v>
      </c>
      <c r="H54" s="7" t="s">
        <v>31</v>
      </c>
      <c r="I54" s="7">
        <v>23</v>
      </c>
      <c r="J54" s="7">
        <v>84</v>
      </c>
      <c r="K54" s="20">
        <v>20690.54</v>
      </c>
      <c r="L54" s="20">
        <v>311.58999999999997</v>
      </c>
      <c r="M54" s="7">
        <v>235.5</v>
      </c>
      <c r="N54" s="20">
        <f>Table15[[#This Row],[Processing Fee]]-Table15[[#This Row],[Discount Applied]]</f>
        <v>76.089999999999975</v>
      </c>
      <c r="O54" s="7" t="str">
        <f>IF(Table15[[#This Row],[Revenue]]&gt;35000,"Achieved","Not Achieved")</f>
        <v>Not Achieved</v>
      </c>
      <c r="P54" s="8">
        <v>1</v>
      </c>
      <c r="Q54" s="7" t="str">
        <f>IF(AND(Table15[[#This Row],[CSAT Score]]&lt;=3,Table15[[#This Row],[Revenue]]&gt;=20000),"High-Risk","Stable")</f>
        <v>High-Risk</v>
      </c>
      <c r="R54" s="8" t="str" cm="1">
        <f t="array" ref="R54">_xlfn.IFS(Table15[[#This Row],[Revenue]]&gt;=35000,"Platinum",Table15[[#This Row],[Revenue]]&gt;=15000,"Gold",TRUE,"Standard")</f>
        <v>Gold</v>
      </c>
      <c r="S54" s="8" t="str">
        <f>IF(OR(Table15[[#This Row],[Product]]="Wealth Management",Table15[[#This Row],[Revenue]]&gt;=40000),"Yes","No")</f>
        <v>Yes</v>
      </c>
    </row>
    <row r="55" spans="1:19" x14ac:dyDescent="0.3">
      <c r="A55" s="5" t="s">
        <v>113</v>
      </c>
      <c r="B55" s="6">
        <v>46149</v>
      </c>
      <c r="C55" s="7" t="s">
        <v>26</v>
      </c>
      <c r="D55" s="7" t="s">
        <v>87</v>
      </c>
      <c r="E55" s="7" t="s">
        <v>39</v>
      </c>
      <c r="F55" s="7" t="s">
        <v>35</v>
      </c>
      <c r="G55" s="7" t="s">
        <v>36</v>
      </c>
      <c r="H55" s="7" t="s">
        <v>24</v>
      </c>
      <c r="I55" s="7">
        <v>62</v>
      </c>
      <c r="J55" s="7">
        <v>91</v>
      </c>
      <c r="K55" s="20">
        <v>14342</v>
      </c>
      <c r="L55" s="20">
        <v>85.52</v>
      </c>
      <c r="M55" s="7">
        <v>159.06</v>
      </c>
      <c r="N55" s="20">
        <f>Table15[[#This Row],[Processing Fee]]-Table15[[#This Row],[Discount Applied]]</f>
        <v>-73.540000000000006</v>
      </c>
      <c r="O55" s="7" t="str">
        <f>IF(Table15[[#This Row],[Revenue]]&gt;35000,"Achieved","Not Achieved")</f>
        <v>Not Achieved</v>
      </c>
      <c r="P55" s="8">
        <v>5</v>
      </c>
      <c r="Q55" s="7" t="str">
        <f>IF(AND(Table15[[#This Row],[CSAT Score]]&lt;=3,Table15[[#This Row],[Revenue]]&gt;=20000),"High-Risk","Stable")</f>
        <v>Stable</v>
      </c>
      <c r="R55" s="8" t="str" cm="1">
        <f t="array" ref="R55">_xlfn.IFS(Table15[[#This Row],[Revenue]]&gt;=35000,"Platinum",Table15[[#This Row],[Revenue]]&gt;=15000,"Gold",TRUE,"Standard")</f>
        <v>Standard</v>
      </c>
      <c r="S55" s="8" t="str">
        <f>IF(OR(Table15[[#This Row],[Product]]="Wealth Management",Table15[[#This Row],[Revenue]]&gt;=40000),"Yes","No")</f>
        <v>No</v>
      </c>
    </row>
    <row r="56" spans="1:19" x14ac:dyDescent="0.3">
      <c r="A56" s="5" t="s">
        <v>114</v>
      </c>
      <c r="B56" s="6">
        <v>45904</v>
      </c>
      <c r="C56" s="7" t="s">
        <v>19</v>
      </c>
      <c r="D56" s="7" t="s">
        <v>20</v>
      </c>
      <c r="E56" s="7" t="s">
        <v>59</v>
      </c>
      <c r="F56" s="7" t="s">
        <v>40</v>
      </c>
      <c r="G56" s="7" t="s">
        <v>56</v>
      </c>
      <c r="H56" s="7" t="s">
        <v>57</v>
      </c>
      <c r="I56" s="7">
        <v>31</v>
      </c>
      <c r="J56" s="7">
        <v>6</v>
      </c>
      <c r="K56" s="20">
        <v>7250.33</v>
      </c>
      <c r="L56" s="20">
        <v>136.25</v>
      </c>
      <c r="M56" s="7">
        <v>27.1</v>
      </c>
      <c r="N56" s="20">
        <f>Table15[[#This Row],[Processing Fee]]-Table15[[#This Row],[Discount Applied]]</f>
        <v>109.15</v>
      </c>
      <c r="O56" s="7" t="str">
        <f>IF(Table15[[#This Row],[Revenue]]&gt;35000,"Achieved","Not Achieved")</f>
        <v>Not Achieved</v>
      </c>
      <c r="P56" s="8">
        <v>4</v>
      </c>
      <c r="Q56" s="7" t="str">
        <f>IF(AND(Table15[[#This Row],[CSAT Score]]&lt;=3,Table15[[#This Row],[Revenue]]&gt;=20000),"High-Risk","Stable")</f>
        <v>Stable</v>
      </c>
      <c r="R56" s="8" t="str" cm="1">
        <f t="array" ref="R56">_xlfn.IFS(Table15[[#This Row],[Revenue]]&gt;=35000,"Platinum",Table15[[#This Row],[Revenue]]&gt;=15000,"Gold",TRUE,"Standard")</f>
        <v>Standard</v>
      </c>
      <c r="S56" s="8" t="str">
        <f>IF(OR(Table15[[#This Row],[Product]]="Wealth Management",Table15[[#This Row],[Revenue]]&gt;=40000),"Yes","No")</f>
        <v>No</v>
      </c>
    </row>
    <row r="57" spans="1:19" x14ac:dyDescent="0.3">
      <c r="A57" s="5" t="s">
        <v>115</v>
      </c>
      <c r="B57" s="6">
        <v>45942</v>
      </c>
      <c r="C57" s="7" t="s">
        <v>26</v>
      </c>
      <c r="D57" s="7" t="s">
        <v>52</v>
      </c>
      <c r="E57" s="7" t="s">
        <v>59</v>
      </c>
      <c r="F57" s="7" t="s">
        <v>69</v>
      </c>
      <c r="G57" s="7" t="s">
        <v>65</v>
      </c>
      <c r="H57" s="7" t="s">
        <v>53</v>
      </c>
      <c r="I57" s="7">
        <v>63</v>
      </c>
      <c r="J57" s="7">
        <v>91</v>
      </c>
      <c r="K57" s="20">
        <v>36536.61</v>
      </c>
      <c r="L57" s="20">
        <v>263.54000000000002</v>
      </c>
      <c r="M57" s="7">
        <v>89.51</v>
      </c>
      <c r="N57" s="20">
        <f>Table15[[#This Row],[Processing Fee]]-Table15[[#This Row],[Discount Applied]]</f>
        <v>174.03000000000003</v>
      </c>
      <c r="O57" s="7" t="str">
        <f>IF(Table15[[#This Row],[Revenue]]&gt;35000,"Achieved","Not Achieved")</f>
        <v>Achieved</v>
      </c>
      <c r="P57" s="8">
        <v>2</v>
      </c>
      <c r="Q57" s="7" t="str">
        <f>IF(AND(Table15[[#This Row],[CSAT Score]]&lt;=3,Table15[[#This Row],[Revenue]]&gt;=20000),"High-Risk","Stable")</f>
        <v>High-Risk</v>
      </c>
      <c r="R57" s="8" t="str" cm="1">
        <f t="array" ref="R57">_xlfn.IFS(Table15[[#This Row],[Revenue]]&gt;=35000,"Platinum",Table15[[#This Row],[Revenue]]&gt;=15000,"Gold",TRUE,"Standard")</f>
        <v>Platinum</v>
      </c>
      <c r="S57" s="8" t="str">
        <f>IF(OR(Table15[[#This Row],[Product]]="Wealth Management",Table15[[#This Row],[Revenue]]&gt;=40000),"Yes","No")</f>
        <v>No</v>
      </c>
    </row>
    <row r="58" spans="1:19" x14ac:dyDescent="0.3">
      <c r="A58" s="5" t="s">
        <v>116</v>
      </c>
      <c r="B58" s="6">
        <v>45882</v>
      </c>
      <c r="C58" s="7" t="s">
        <v>44</v>
      </c>
      <c r="D58" s="7" t="s">
        <v>34</v>
      </c>
      <c r="E58" s="7" t="s">
        <v>21</v>
      </c>
      <c r="F58" s="7" t="s">
        <v>22</v>
      </c>
      <c r="G58" s="7" t="s">
        <v>65</v>
      </c>
      <c r="H58" s="7" t="s">
        <v>24</v>
      </c>
      <c r="I58" s="7">
        <v>37</v>
      </c>
      <c r="J58" s="7">
        <v>9</v>
      </c>
      <c r="K58" s="20">
        <v>40750.81</v>
      </c>
      <c r="L58" s="20">
        <v>212.67</v>
      </c>
      <c r="M58" s="7">
        <v>165.89</v>
      </c>
      <c r="N58" s="20">
        <f>Table15[[#This Row],[Processing Fee]]-Table15[[#This Row],[Discount Applied]]</f>
        <v>46.78</v>
      </c>
      <c r="O58" s="7" t="str">
        <f>IF(Table15[[#This Row],[Revenue]]&gt;35000,"Achieved","Not Achieved")</f>
        <v>Achieved</v>
      </c>
      <c r="P58" s="8">
        <v>5</v>
      </c>
      <c r="Q58" s="7" t="str">
        <f>IF(AND(Table15[[#This Row],[CSAT Score]]&lt;=3,Table15[[#This Row],[Revenue]]&gt;=20000),"High-Risk","Stable")</f>
        <v>Stable</v>
      </c>
      <c r="R58" s="8" t="str" cm="1">
        <f t="array" ref="R58">_xlfn.IFS(Table15[[#This Row],[Revenue]]&gt;=35000,"Platinum",Table15[[#This Row],[Revenue]]&gt;=15000,"Gold",TRUE,"Standard")</f>
        <v>Platinum</v>
      </c>
      <c r="S58" s="8" t="str">
        <f>IF(OR(Table15[[#This Row],[Product]]="Wealth Management",Table15[[#This Row],[Revenue]]&gt;=40000),"Yes","No")</f>
        <v>Yes</v>
      </c>
    </row>
    <row r="59" spans="1:19" x14ac:dyDescent="0.3">
      <c r="A59" s="5" t="s">
        <v>117</v>
      </c>
      <c r="B59" s="6">
        <v>45871</v>
      </c>
      <c r="C59" s="7" t="s">
        <v>91</v>
      </c>
      <c r="D59" s="7" t="s">
        <v>45</v>
      </c>
      <c r="E59" s="7" t="s">
        <v>39</v>
      </c>
      <c r="F59" s="7" t="s">
        <v>40</v>
      </c>
      <c r="G59" s="7" t="s">
        <v>56</v>
      </c>
      <c r="H59" s="7" t="s">
        <v>53</v>
      </c>
      <c r="I59" s="7">
        <v>52</v>
      </c>
      <c r="J59" s="7">
        <v>117</v>
      </c>
      <c r="K59" s="20">
        <v>13245.21</v>
      </c>
      <c r="L59" s="20">
        <v>211.43</v>
      </c>
      <c r="M59" s="7">
        <v>60.54</v>
      </c>
      <c r="N59" s="20">
        <f>Table15[[#This Row],[Processing Fee]]-Table15[[#This Row],[Discount Applied]]</f>
        <v>150.89000000000001</v>
      </c>
      <c r="O59" s="7" t="str">
        <f>IF(Table15[[#This Row],[Revenue]]&gt;35000,"Achieved","Not Achieved")</f>
        <v>Not Achieved</v>
      </c>
      <c r="P59" s="8">
        <v>2</v>
      </c>
      <c r="Q59" s="7" t="str">
        <f>IF(AND(Table15[[#This Row],[CSAT Score]]&lt;=3,Table15[[#This Row],[Revenue]]&gt;=20000),"High-Risk","Stable")</f>
        <v>Stable</v>
      </c>
      <c r="R59" s="8" t="str" cm="1">
        <f t="array" ref="R59">_xlfn.IFS(Table15[[#This Row],[Revenue]]&gt;=35000,"Platinum",Table15[[#This Row],[Revenue]]&gt;=15000,"Gold",TRUE,"Standard")</f>
        <v>Standard</v>
      </c>
      <c r="S59" s="8" t="str">
        <f>IF(OR(Table15[[#This Row],[Product]]="Wealth Management",Table15[[#This Row],[Revenue]]&gt;=40000),"Yes","No")</f>
        <v>No</v>
      </c>
    </row>
    <row r="60" spans="1:19" x14ac:dyDescent="0.3">
      <c r="A60" s="5" t="s">
        <v>118</v>
      </c>
      <c r="B60" s="6">
        <v>46221</v>
      </c>
      <c r="C60" s="7" t="s">
        <v>42</v>
      </c>
      <c r="D60" s="7" t="s">
        <v>27</v>
      </c>
      <c r="E60" s="7" t="s">
        <v>28</v>
      </c>
      <c r="F60" s="7" t="s">
        <v>29</v>
      </c>
      <c r="G60" s="7" t="s">
        <v>36</v>
      </c>
      <c r="H60" s="7" t="s">
        <v>53</v>
      </c>
      <c r="I60" s="7">
        <v>24</v>
      </c>
      <c r="J60" s="7">
        <v>109</v>
      </c>
      <c r="K60" s="20">
        <v>38833.760000000002</v>
      </c>
      <c r="L60" s="20">
        <v>288.17</v>
      </c>
      <c r="M60" s="7">
        <v>93.55</v>
      </c>
      <c r="N60" s="20">
        <f>Table15[[#This Row],[Processing Fee]]-Table15[[#This Row],[Discount Applied]]</f>
        <v>194.62</v>
      </c>
      <c r="O60" s="7" t="str">
        <f>IF(Table15[[#This Row],[Revenue]]&gt;35000,"Achieved","Not Achieved")</f>
        <v>Achieved</v>
      </c>
      <c r="P60" s="8">
        <v>1</v>
      </c>
      <c r="Q60" s="7" t="str">
        <f>IF(AND(Table15[[#This Row],[CSAT Score]]&lt;=3,Table15[[#This Row],[Revenue]]&gt;=20000),"High-Risk","Stable")</f>
        <v>High-Risk</v>
      </c>
      <c r="R60" s="8" t="str" cm="1">
        <f t="array" ref="R60">_xlfn.IFS(Table15[[#This Row],[Revenue]]&gt;=35000,"Platinum",Table15[[#This Row],[Revenue]]&gt;=15000,"Gold",TRUE,"Standard")</f>
        <v>Platinum</v>
      </c>
      <c r="S60" s="8" t="str">
        <f>IF(OR(Table15[[#This Row],[Product]]="Wealth Management",Table15[[#This Row],[Revenue]]&gt;=40000),"Yes","No")</f>
        <v>No</v>
      </c>
    </row>
    <row r="61" spans="1:19" x14ac:dyDescent="0.3">
      <c r="A61" s="5" t="s">
        <v>119</v>
      </c>
      <c r="B61" s="6">
        <v>45941</v>
      </c>
      <c r="C61" s="7" t="s">
        <v>33</v>
      </c>
      <c r="D61" s="7" t="s">
        <v>45</v>
      </c>
      <c r="E61" s="7" t="s">
        <v>46</v>
      </c>
      <c r="F61" s="7" t="s">
        <v>69</v>
      </c>
      <c r="G61" s="7" t="s">
        <v>30</v>
      </c>
      <c r="H61" s="7" t="s">
        <v>53</v>
      </c>
      <c r="I61" s="7">
        <v>24</v>
      </c>
      <c r="J61" s="7">
        <v>57</v>
      </c>
      <c r="K61" s="20">
        <v>19584.900000000001</v>
      </c>
      <c r="L61" s="20">
        <v>312.98</v>
      </c>
      <c r="M61" s="7">
        <v>54.56</v>
      </c>
      <c r="N61" s="20">
        <f>Table15[[#This Row],[Processing Fee]]-Table15[[#This Row],[Discount Applied]]</f>
        <v>258.42</v>
      </c>
      <c r="O61" s="7" t="str">
        <f>IF(Table15[[#This Row],[Revenue]]&gt;35000,"Achieved","Not Achieved")</f>
        <v>Not Achieved</v>
      </c>
      <c r="P61" s="8">
        <v>5</v>
      </c>
      <c r="Q61" s="7" t="str">
        <f>IF(AND(Table15[[#This Row],[CSAT Score]]&lt;=3,Table15[[#This Row],[Revenue]]&gt;=20000),"High-Risk","Stable")</f>
        <v>Stable</v>
      </c>
      <c r="R61" s="8" t="str" cm="1">
        <f t="array" ref="R61">_xlfn.IFS(Table15[[#This Row],[Revenue]]&gt;=35000,"Platinum",Table15[[#This Row],[Revenue]]&gt;=15000,"Gold",TRUE,"Standard")</f>
        <v>Gold</v>
      </c>
      <c r="S61" s="8" t="str">
        <f>IF(OR(Table15[[#This Row],[Product]]="Wealth Management",Table15[[#This Row],[Revenue]]&gt;=40000),"Yes","No")</f>
        <v>No</v>
      </c>
    </row>
    <row r="62" spans="1:19" x14ac:dyDescent="0.3">
      <c r="A62" s="5" t="s">
        <v>120</v>
      </c>
      <c r="B62" s="6">
        <v>46214</v>
      </c>
      <c r="C62" s="7" t="s">
        <v>42</v>
      </c>
      <c r="D62" s="7" t="s">
        <v>20</v>
      </c>
      <c r="E62" s="7" t="s">
        <v>28</v>
      </c>
      <c r="F62" s="7" t="s">
        <v>35</v>
      </c>
      <c r="G62" s="7" t="s">
        <v>23</v>
      </c>
      <c r="H62" s="7" t="s">
        <v>53</v>
      </c>
      <c r="I62" s="7">
        <v>37</v>
      </c>
      <c r="J62" s="7">
        <v>31</v>
      </c>
      <c r="K62" s="20">
        <v>25580.95</v>
      </c>
      <c r="L62" s="20">
        <v>408.59</v>
      </c>
      <c r="M62" s="7">
        <v>92.71</v>
      </c>
      <c r="N62" s="20">
        <f>Table15[[#This Row],[Processing Fee]]-Table15[[#This Row],[Discount Applied]]</f>
        <v>315.88</v>
      </c>
      <c r="O62" s="7" t="str">
        <f>IF(Table15[[#This Row],[Revenue]]&gt;35000,"Achieved","Not Achieved")</f>
        <v>Not Achieved</v>
      </c>
      <c r="P62" s="8">
        <v>4</v>
      </c>
      <c r="Q62" s="7" t="str">
        <f>IF(AND(Table15[[#This Row],[CSAT Score]]&lt;=3,Table15[[#This Row],[Revenue]]&gt;=20000),"High-Risk","Stable")</f>
        <v>Stable</v>
      </c>
      <c r="R62" s="8" t="str" cm="1">
        <f t="array" ref="R62">_xlfn.IFS(Table15[[#This Row],[Revenue]]&gt;=35000,"Platinum",Table15[[#This Row],[Revenue]]&gt;=15000,"Gold",TRUE,"Standard")</f>
        <v>Gold</v>
      </c>
      <c r="S62" s="8" t="str">
        <f>IF(OR(Table15[[#This Row],[Product]]="Wealth Management",Table15[[#This Row],[Revenue]]&gt;=40000),"Yes","No")</f>
        <v>No</v>
      </c>
    </row>
    <row r="63" spans="1:19" x14ac:dyDescent="0.3">
      <c r="A63" s="5" t="s">
        <v>121</v>
      </c>
      <c r="B63" s="6">
        <v>46084</v>
      </c>
      <c r="C63" s="7" t="s">
        <v>19</v>
      </c>
      <c r="D63" s="7" t="s">
        <v>63</v>
      </c>
      <c r="E63" s="7" t="s">
        <v>39</v>
      </c>
      <c r="F63" s="7" t="s">
        <v>69</v>
      </c>
      <c r="G63" s="7" t="s">
        <v>36</v>
      </c>
      <c r="H63" s="7" t="s">
        <v>31</v>
      </c>
      <c r="I63" s="7">
        <v>61</v>
      </c>
      <c r="J63" s="7">
        <v>21</v>
      </c>
      <c r="K63" s="20">
        <v>42872.05</v>
      </c>
      <c r="L63" s="20">
        <v>203.43</v>
      </c>
      <c r="M63" s="7">
        <v>266.36</v>
      </c>
      <c r="N63" s="20">
        <f>Table15[[#This Row],[Processing Fee]]-Table15[[#This Row],[Discount Applied]]</f>
        <v>-62.930000000000007</v>
      </c>
      <c r="O63" s="7" t="str">
        <f>IF(Table15[[#This Row],[Revenue]]&gt;35000,"Achieved","Not Achieved")</f>
        <v>Achieved</v>
      </c>
      <c r="P63" s="8">
        <v>2</v>
      </c>
      <c r="Q63" s="7" t="str">
        <f>IF(AND(Table15[[#This Row],[CSAT Score]]&lt;=3,Table15[[#This Row],[Revenue]]&gt;=20000),"High-Risk","Stable")</f>
        <v>High-Risk</v>
      </c>
      <c r="R63" s="8" t="str" cm="1">
        <f t="array" ref="R63">_xlfn.IFS(Table15[[#This Row],[Revenue]]&gt;=35000,"Platinum",Table15[[#This Row],[Revenue]]&gt;=15000,"Gold",TRUE,"Standard")</f>
        <v>Platinum</v>
      </c>
      <c r="S63" s="8" t="str">
        <f>IF(OR(Table15[[#This Row],[Product]]="Wealth Management",Table15[[#This Row],[Revenue]]&gt;=40000),"Yes","No")</f>
        <v>Yes</v>
      </c>
    </row>
    <row r="64" spans="1:19" x14ac:dyDescent="0.3">
      <c r="A64" s="5" t="s">
        <v>122</v>
      </c>
      <c r="B64" s="6">
        <v>46225</v>
      </c>
      <c r="C64" s="7" t="s">
        <v>33</v>
      </c>
      <c r="D64" s="7" t="s">
        <v>45</v>
      </c>
      <c r="E64" s="7" t="s">
        <v>59</v>
      </c>
      <c r="F64" s="7" t="s">
        <v>29</v>
      </c>
      <c r="G64" s="7" t="s">
        <v>56</v>
      </c>
      <c r="H64" s="7" t="s">
        <v>24</v>
      </c>
      <c r="I64" s="7">
        <v>39</v>
      </c>
      <c r="J64" s="7">
        <v>90</v>
      </c>
      <c r="K64" s="20">
        <v>37622.71</v>
      </c>
      <c r="L64" s="20">
        <v>412.46</v>
      </c>
      <c r="M64" s="7">
        <v>91.02</v>
      </c>
      <c r="N64" s="20">
        <f>Table15[[#This Row],[Processing Fee]]-Table15[[#This Row],[Discount Applied]]</f>
        <v>321.44</v>
      </c>
      <c r="O64" s="7" t="str">
        <f>IF(Table15[[#This Row],[Revenue]]&gt;35000,"Achieved","Not Achieved")</f>
        <v>Achieved</v>
      </c>
      <c r="P64" s="8">
        <v>1</v>
      </c>
      <c r="Q64" s="7" t="str">
        <f>IF(AND(Table15[[#This Row],[CSAT Score]]&lt;=3,Table15[[#This Row],[Revenue]]&gt;=20000),"High-Risk","Stable")</f>
        <v>High-Risk</v>
      </c>
      <c r="R64" s="8" t="str" cm="1">
        <f t="array" ref="R64">_xlfn.IFS(Table15[[#This Row],[Revenue]]&gt;=35000,"Platinum",Table15[[#This Row],[Revenue]]&gt;=15000,"Gold",TRUE,"Standard")</f>
        <v>Platinum</v>
      </c>
      <c r="S64" s="8" t="str">
        <f>IF(OR(Table15[[#This Row],[Product]]="Wealth Management",Table15[[#This Row],[Revenue]]&gt;=40000),"Yes","No")</f>
        <v>No</v>
      </c>
    </row>
    <row r="65" spans="1:19" x14ac:dyDescent="0.3">
      <c r="A65" s="5" t="s">
        <v>123</v>
      </c>
      <c r="B65" s="6">
        <v>45947</v>
      </c>
      <c r="C65" s="7" t="s">
        <v>91</v>
      </c>
      <c r="D65" s="7" t="s">
        <v>87</v>
      </c>
      <c r="E65" s="7" t="s">
        <v>59</v>
      </c>
      <c r="F65" s="7" t="s">
        <v>22</v>
      </c>
      <c r="G65" s="7" t="s">
        <v>23</v>
      </c>
      <c r="H65" s="7" t="s">
        <v>24</v>
      </c>
      <c r="I65" s="7">
        <v>25</v>
      </c>
      <c r="J65" s="7">
        <v>40</v>
      </c>
      <c r="K65" s="20">
        <v>40353.279999999999</v>
      </c>
      <c r="L65" s="20">
        <v>202.38</v>
      </c>
      <c r="M65" s="7">
        <v>111.18</v>
      </c>
      <c r="N65" s="20">
        <f>Table15[[#This Row],[Processing Fee]]-Table15[[#This Row],[Discount Applied]]</f>
        <v>91.199999999999989</v>
      </c>
      <c r="O65" s="7" t="str">
        <f>IF(Table15[[#This Row],[Revenue]]&gt;35000,"Achieved","Not Achieved")</f>
        <v>Achieved</v>
      </c>
      <c r="P65" s="8">
        <v>5</v>
      </c>
      <c r="Q65" s="7" t="str">
        <f>IF(AND(Table15[[#This Row],[CSAT Score]]&lt;=3,Table15[[#This Row],[Revenue]]&gt;=20000),"High-Risk","Stable")</f>
        <v>Stable</v>
      </c>
      <c r="R65" s="8" t="str" cm="1">
        <f t="array" ref="R65">_xlfn.IFS(Table15[[#This Row],[Revenue]]&gt;=35000,"Platinum",Table15[[#This Row],[Revenue]]&gt;=15000,"Gold",TRUE,"Standard")</f>
        <v>Platinum</v>
      </c>
      <c r="S65" s="8" t="str">
        <f>IF(OR(Table15[[#This Row],[Product]]="Wealth Management",Table15[[#This Row],[Revenue]]&gt;=40000),"Yes","No")</f>
        <v>Yes</v>
      </c>
    </row>
    <row r="66" spans="1:19" x14ac:dyDescent="0.3">
      <c r="A66" s="5" t="s">
        <v>124</v>
      </c>
      <c r="B66" s="6">
        <v>46042</v>
      </c>
      <c r="C66" s="7" t="s">
        <v>19</v>
      </c>
      <c r="D66" s="7" t="s">
        <v>45</v>
      </c>
      <c r="E66" s="7" t="s">
        <v>39</v>
      </c>
      <c r="F66" s="7" t="s">
        <v>22</v>
      </c>
      <c r="G66" s="7" t="s">
        <v>65</v>
      </c>
      <c r="H66" s="7" t="s">
        <v>24</v>
      </c>
      <c r="I66" s="7">
        <v>52</v>
      </c>
      <c r="J66" s="7">
        <v>112</v>
      </c>
      <c r="K66" s="20">
        <v>7273.84</v>
      </c>
      <c r="L66" s="20">
        <v>74.94</v>
      </c>
      <c r="M66" s="7">
        <v>80.8</v>
      </c>
      <c r="N66" s="20">
        <f>Table15[[#This Row],[Processing Fee]]-Table15[[#This Row],[Discount Applied]]</f>
        <v>-5.8599999999999994</v>
      </c>
      <c r="O66" s="7" t="str">
        <f>IF(Table15[[#This Row],[Revenue]]&gt;35000,"Achieved","Not Achieved")</f>
        <v>Not Achieved</v>
      </c>
      <c r="P66" s="8">
        <v>2</v>
      </c>
      <c r="Q66" s="7" t="str">
        <f>IF(AND(Table15[[#This Row],[CSAT Score]]&lt;=3,Table15[[#This Row],[Revenue]]&gt;=20000),"High-Risk","Stable")</f>
        <v>Stable</v>
      </c>
      <c r="R66" s="8" t="str" cm="1">
        <f t="array" ref="R66">_xlfn.IFS(Table15[[#This Row],[Revenue]]&gt;=35000,"Platinum",Table15[[#This Row],[Revenue]]&gt;=15000,"Gold",TRUE,"Standard")</f>
        <v>Standard</v>
      </c>
      <c r="S66" s="8" t="str">
        <f>IF(OR(Table15[[#This Row],[Product]]="Wealth Management",Table15[[#This Row],[Revenue]]&gt;=40000),"Yes","No")</f>
        <v>Yes</v>
      </c>
    </row>
    <row r="67" spans="1:19" x14ac:dyDescent="0.3">
      <c r="A67" s="5" t="s">
        <v>125</v>
      </c>
      <c r="B67" s="6">
        <v>46160</v>
      </c>
      <c r="C67" s="7" t="s">
        <v>55</v>
      </c>
      <c r="D67" s="7" t="s">
        <v>45</v>
      </c>
      <c r="E67" s="7" t="s">
        <v>59</v>
      </c>
      <c r="F67" s="7" t="s">
        <v>22</v>
      </c>
      <c r="G67" s="7" t="s">
        <v>30</v>
      </c>
      <c r="H67" s="7" t="s">
        <v>53</v>
      </c>
      <c r="I67" s="7">
        <v>42</v>
      </c>
      <c r="J67" s="7">
        <v>45</v>
      </c>
      <c r="K67" s="20">
        <v>3951.11</v>
      </c>
      <c r="L67" s="20">
        <v>299.38</v>
      </c>
      <c r="M67" s="7">
        <v>92.02</v>
      </c>
      <c r="N67" s="20">
        <f>Table15[[#This Row],[Processing Fee]]-Table15[[#This Row],[Discount Applied]]</f>
        <v>207.36</v>
      </c>
      <c r="O67" s="7" t="str">
        <f>IF(Table15[[#This Row],[Revenue]]&gt;35000,"Achieved","Not Achieved")</f>
        <v>Not Achieved</v>
      </c>
      <c r="P67" s="8">
        <v>2</v>
      </c>
      <c r="Q67" s="7" t="str">
        <f>IF(AND(Table15[[#This Row],[CSAT Score]]&lt;=3,Table15[[#This Row],[Revenue]]&gt;=20000),"High-Risk","Stable")</f>
        <v>Stable</v>
      </c>
      <c r="R67" s="8" t="str" cm="1">
        <f t="array" ref="R67">_xlfn.IFS(Table15[[#This Row],[Revenue]]&gt;=35000,"Platinum",Table15[[#This Row],[Revenue]]&gt;=15000,"Gold",TRUE,"Standard")</f>
        <v>Standard</v>
      </c>
      <c r="S67" s="8" t="str">
        <f>IF(OR(Table15[[#This Row],[Product]]="Wealth Management",Table15[[#This Row],[Revenue]]&gt;=40000),"Yes","No")</f>
        <v>Yes</v>
      </c>
    </row>
    <row r="68" spans="1:19" x14ac:dyDescent="0.3">
      <c r="A68" s="5" t="s">
        <v>126</v>
      </c>
      <c r="B68" s="6">
        <v>46096</v>
      </c>
      <c r="C68" s="7" t="s">
        <v>26</v>
      </c>
      <c r="D68" s="7" t="s">
        <v>45</v>
      </c>
      <c r="E68" s="7" t="s">
        <v>59</v>
      </c>
      <c r="F68" s="7" t="s">
        <v>35</v>
      </c>
      <c r="G68" s="7" t="s">
        <v>65</v>
      </c>
      <c r="H68" s="7" t="s">
        <v>31</v>
      </c>
      <c r="I68" s="7">
        <v>26</v>
      </c>
      <c r="J68" s="7">
        <v>77</v>
      </c>
      <c r="K68" s="20">
        <v>44723.53</v>
      </c>
      <c r="L68" s="20">
        <v>314.56</v>
      </c>
      <c r="M68" s="7">
        <v>4.54</v>
      </c>
      <c r="N68" s="20">
        <f>Table15[[#This Row],[Processing Fee]]-Table15[[#This Row],[Discount Applied]]</f>
        <v>310.02</v>
      </c>
      <c r="O68" s="7" t="str">
        <f>IF(Table15[[#This Row],[Revenue]]&gt;35000,"Achieved","Not Achieved")</f>
        <v>Achieved</v>
      </c>
      <c r="P68" s="8">
        <v>4</v>
      </c>
      <c r="Q68" s="7" t="str">
        <f>IF(AND(Table15[[#This Row],[CSAT Score]]&lt;=3,Table15[[#This Row],[Revenue]]&gt;=20000),"High-Risk","Stable")</f>
        <v>Stable</v>
      </c>
      <c r="R68" s="8" t="str" cm="1">
        <f t="array" ref="R68">_xlfn.IFS(Table15[[#This Row],[Revenue]]&gt;=35000,"Platinum",Table15[[#This Row],[Revenue]]&gt;=15000,"Gold",TRUE,"Standard")</f>
        <v>Platinum</v>
      </c>
      <c r="S68" s="8" t="str">
        <f>IF(OR(Table15[[#This Row],[Product]]="Wealth Management",Table15[[#This Row],[Revenue]]&gt;=40000),"Yes","No")</f>
        <v>Yes</v>
      </c>
    </row>
    <row r="69" spans="1:19" x14ac:dyDescent="0.3">
      <c r="A69" s="5" t="s">
        <v>127</v>
      </c>
      <c r="B69" s="6">
        <v>46000</v>
      </c>
      <c r="C69" s="7" t="s">
        <v>91</v>
      </c>
      <c r="D69" s="7" t="s">
        <v>77</v>
      </c>
      <c r="E69" s="7" t="s">
        <v>59</v>
      </c>
      <c r="F69" s="7" t="s">
        <v>40</v>
      </c>
      <c r="G69" s="7" t="s">
        <v>56</v>
      </c>
      <c r="H69" s="7" t="s">
        <v>53</v>
      </c>
      <c r="I69" s="7">
        <v>55</v>
      </c>
      <c r="J69" s="7">
        <v>49</v>
      </c>
      <c r="K69" s="20">
        <v>19697.8</v>
      </c>
      <c r="L69" s="20">
        <v>470.54</v>
      </c>
      <c r="M69" s="7">
        <v>56.75</v>
      </c>
      <c r="N69" s="20">
        <f>Table15[[#This Row],[Processing Fee]]-Table15[[#This Row],[Discount Applied]]</f>
        <v>413.79</v>
      </c>
      <c r="O69" s="7" t="str">
        <f>IF(Table15[[#This Row],[Revenue]]&gt;35000,"Achieved","Not Achieved")</f>
        <v>Not Achieved</v>
      </c>
      <c r="P69" s="8">
        <v>1</v>
      </c>
      <c r="Q69" s="7" t="str">
        <f>IF(AND(Table15[[#This Row],[CSAT Score]]&lt;=3,Table15[[#This Row],[Revenue]]&gt;=20000),"High-Risk","Stable")</f>
        <v>Stable</v>
      </c>
      <c r="R69" s="8" t="str" cm="1">
        <f t="array" ref="R69">_xlfn.IFS(Table15[[#This Row],[Revenue]]&gt;=35000,"Platinum",Table15[[#This Row],[Revenue]]&gt;=15000,"Gold",TRUE,"Standard")</f>
        <v>Gold</v>
      </c>
      <c r="S69" s="8" t="str">
        <f>IF(OR(Table15[[#This Row],[Product]]="Wealth Management",Table15[[#This Row],[Revenue]]&gt;=40000),"Yes","No")</f>
        <v>No</v>
      </c>
    </row>
    <row r="70" spans="1:19" x14ac:dyDescent="0.3">
      <c r="A70" s="5" t="s">
        <v>128</v>
      </c>
      <c r="B70" s="6">
        <v>46107</v>
      </c>
      <c r="C70" s="7" t="s">
        <v>26</v>
      </c>
      <c r="D70" s="7" t="s">
        <v>77</v>
      </c>
      <c r="E70" s="7" t="s">
        <v>46</v>
      </c>
      <c r="F70" s="7" t="s">
        <v>40</v>
      </c>
      <c r="G70" s="7" t="s">
        <v>23</v>
      </c>
      <c r="H70" s="7" t="s">
        <v>53</v>
      </c>
      <c r="I70" s="7">
        <v>42</v>
      </c>
      <c r="J70" s="7">
        <v>87</v>
      </c>
      <c r="K70" s="20">
        <v>14750.04</v>
      </c>
      <c r="L70" s="20">
        <v>376.73</v>
      </c>
      <c r="M70" s="7">
        <v>87.32</v>
      </c>
      <c r="N70" s="20">
        <f>Table15[[#This Row],[Processing Fee]]-Table15[[#This Row],[Discount Applied]]</f>
        <v>289.41000000000003</v>
      </c>
      <c r="O70" s="7" t="str">
        <f>IF(Table15[[#This Row],[Revenue]]&gt;35000,"Achieved","Not Achieved")</f>
        <v>Not Achieved</v>
      </c>
      <c r="P70" s="8">
        <v>3</v>
      </c>
      <c r="Q70" s="7" t="str">
        <f>IF(AND(Table15[[#This Row],[CSAT Score]]&lt;=3,Table15[[#This Row],[Revenue]]&gt;=20000),"High-Risk","Stable")</f>
        <v>Stable</v>
      </c>
      <c r="R70" s="8" t="str" cm="1">
        <f t="array" ref="R70">_xlfn.IFS(Table15[[#This Row],[Revenue]]&gt;=35000,"Platinum",Table15[[#This Row],[Revenue]]&gt;=15000,"Gold",TRUE,"Standard")</f>
        <v>Standard</v>
      </c>
      <c r="S70" s="8" t="str">
        <f>IF(OR(Table15[[#This Row],[Product]]="Wealth Management",Table15[[#This Row],[Revenue]]&gt;=40000),"Yes","No")</f>
        <v>No</v>
      </c>
    </row>
    <row r="71" spans="1:19" x14ac:dyDescent="0.3">
      <c r="A71" s="5" t="s">
        <v>129</v>
      </c>
      <c r="B71" s="6">
        <v>46089</v>
      </c>
      <c r="C71" s="7" t="s">
        <v>75</v>
      </c>
      <c r="D71" s="7" t="s">
        <v>63</v>
      </c>
      <c r="E71" s="7" t="s">
        <v>46</v>
      </c>
      <c r="F71" s="7" t="s">
        <v>69</v>
      </c>
      <c r="G71" s="7" t="s">
        <v>56</v>
      </c>
      <c r="H71" s="7" t="s">
        <v>24</v>
      </c>
      <c r="I71" s="7">
        <v>21</v>
      </c>
      <c r="J71" s="7">
        <v>20</v>
      </c>
      <c r="K71" s="20">
        <v>36372.46</v>
      </c>
      <c r="L71" s="20">
        <v>463</v>
      </c>
      <c r="M71" s="7">
        <v>126.76</v>
      </c>
      <c r="N71" s="20">
        <f>Table15[[#This Row],[Processing Fee]]-Table15[[#This Row],[Discount Applied]]</f>
        <v>336.24</v>
      </c>
      <c r="O71" s="7" t="str">
        <f>IF(Table15[[#This Row],[Revenue]]&gt;35000,"Achieved","Not Achieved")</f>
        <v>Achieved</v>
      </c>
      <c r="P71" s="8">
        <v>2</v>
      </c>
      <c r="Q71" s="7" t="str">
        <f>IF(AND(Table15[[#This Row],[CSAT Score]]&lt;=3,Table15[[#This Row],[Revenue]]&gt;=20000),"High-Risk","Stable")</f>
        <v>High-Risk</v>
      </c>
      <c r="R71" s="8" t="str" cm="1">
        <f t="array" ref="R71">_xlfn.IFS(Table15[[#This Row],[Revenue]]&gt;=35000,"Platinum",Table15[[#This Row],[Revenue]]&gt;=15000,"Gold",TRUE,"Standard")</f>
        <v>Platinum</v>
      </c>
      <c r="S71" s="8" t="str">
        <f>IF(OR(Table15[[#This Row],[Product]]="Wealth Management",Table15[[#This Row],[Revenue]]&gt;=40000),"Yes","No")</f>
        <v>No</v>
      </c>
    </row>
    <row r="72" spans="1:19" x14ac:dyDescent="0.3">
      <c r="A72" s="5" t="s">
        <v>130</v>
      </c>
      <c r="B72" s="6">
        <v>46185</v>
      </c>
      <c r="C72" s="7" t="s">
        <v>55</v>
      </c>
      <c r="D72" s="7" t="s">
        <v>34</v>
      </c>
      <c r="E72" s="7" t="s">
        <v>21</v>
      </c>
      <c r="F72" s="7" t="s">
        <v>35</v>
      </c>
      <c r="G72" s="7" t="s">
        <v>23</v>
      </c>
      <c r="H72" s="7" t="s">
        <v>53</v>
      </c>
      <c r="I72" s="7">
        <v>40</v>
      </c>
      <c r="J72" s="7">
        <v>101</v>
      </c>
      <c r="K72" s="20">
        <v>41902.57</v>
      </c>
      <c r="L72" s="20">
        <v>458.76</v>
      </c>
      <c r="M72" s="7">
        <v>90.01</v>
      </c>
      <c r="N72" s="20">
        <f>Table15[[#This Row],[Processing Fee]]-Table15[[#This Row],[Discount Applied]]</f>
        <v>368.75</v>
      </c>
      <c r="O72" s="7" t="str">
        <f>IF(Table15[[#This Row],[Revenue]]&gt;35000,"Achieved","Not Achieved")</f>
        <v>Achieved</v>
      </c>
      <c r="P72" s="8">
        <v>5</v>
      </c>
      <c r="Q72" s="7" t="str">
        <f>IF(AND(Table15[[#This Row],[CSAT Score]]&lt;=3,Table15[[#This Row],[Revenue]]&gt;=20000),"High-Risk","Stable")</f>
        <v>Stable</v>
      </c>
      <c r="R72" s="8" t="str" cm="1">
        <f t="array" ref="R72">_xlfn.IFS(Table15[[#This Row],[Revenue]]&gt;=35000,"Platinum",Table15[[#This Row],[Revenue]]&gt;=15000,"Gold",TRUE,"Standard")</f>
        <v>Platinum</v>
      </c>
      <c r="S72" s="8" t="str">
        <f>IF(OR(Table15[[#This Row],[Product]]="Wealth Management",Table15[[#This Row],[Revenue]]&gt;=40000),"Yes","No")</f>
        <v>Yes</v>
      </c>
    </row>
    <row r="73" spans="1:19" x14ac:dyDescent="0.3">
      <c r="A73" s="5" t="s">
        <v>131</v>
      </c>
      <c r="B73" s="6">
        <v>45922</v>
      </c>
      <c r="C73" s="7" t="s">
        <v>55</v>
      </c>
      <c r="D73" s="7" t="s">
        <v>45</v>
      </c>
      <c r="E73" s="7" t="s">
        <v>28</v>
      </c>
      <c r="F73" s="7" t="s">
        <v>22</v>
      </c>
      <c r="G73" s="7" t="s">
        <v>36</v>
      </c>
      <c r="H73" s="7" t="s">
        <v>57</v>
      </c>
      <c r="I73" s="7">
        <v>42</v>
      </c>
      <c r="J73" s="7">
        <v>118</v>
      </c>
      <c r="K73" s="20">
        <v>43193.24</v>
      </c>
      <c r="L73" s="20">
        <v>322.06</v>
      </c>
      <c r="M73" s="7">
        <v>67.56</v>
      </c>
      <c r="N73" s="20">
        <f>Table15[[#This Row],[Processing Fee]]-Table15[[#This Row],[Discount Applied]]</f>
        <v>254.5</v>
      </c>
      <c r="O73" s="7" t="str">
        <f>IF(Table15[[#This Row],[Revenue]]&gt;35000,"Achieved","Not Achieved")</f>
        <v>Achieved</v>
      </c>
      <c r="P73" s="8">
        <v>4</v>
      </c>
      <c r="Q73" s="7" t="str">
        <f>IF(AND(Table15[[#This Row],[CSAT Score]]&lt;=3,Table15[[#This Row],[Revenue]]&gt;=20000),"High-Risk","Stable")</f>
        <v>Stable</v>
      </c>
      <c r="R73" s="8" t="str" cm="1">
        <f t="array" ref="R73">_xlfn.IFS(Table15[[#This Row],[Revenue]]&gt;=35000,"Platinum",Table15[[#This Row],[Revenue]]&gt;=15000,"Gold",TRUE,"Standard")</f>
        <v>Platinum</v>
      </c>
      <c r="S73" s="8" t="str">
        <f>IF(OR(Table15[[#This Row],[Product]]="Wealth Management",Table15[[#This Row],[Revenue]]&gt;=40000),"Yes","No")</f>
        <v>Yes</v>
      </c>
    </row>
    <row r="74" spans="1:19" x14ac:dyDescent="0.3">
      <c r="A74" s="5" t="s">
        <v>132</v>
      </c>
      <c r="B74" s="6">
        <v>46014</v>
      </c>
      <c r="C74" s="7" t="s">
        <v>91</v>
      </c>
      <c r="D74" s="7" t="s">
        <v>61</v>
      </c>
      <c r="E74" s="7" t="s">
        <v>39</v>
      </c>
      <c r="F74" s="7" t="s">
        <v>22</v>
      </c>
      <c r="G74" s="7" t="s">
        <v>30</v>
      </c>
      <c r="H74" s="7" t="s">
        <v>53</v>
      </c>
      <c r="I74" s="7">
        <v>68</v>
      </c>
      <c r="J74" s="7">
        <v>117</v>
      </c>
      <c r="K74" s="20">
        <v>16141.86</v>
      </c>
      <c r="L74" s="20">
        <v>287.49</v>
      </c>
      <c r="M74" s="7">
        <v>77.62</v>
      </c>
      <c r="N74" s="20">
        <f>Table15[[#This Row],[Processing Fee]]-Table15[[#This Row],[Discount Applied]]</f>
        <v>209.87</v>
      </c>
      <c r="O74" s="7" t="str">
        <f>IF(Table15[[#This Row],[Revenue]]&gt;35000,"Achieved","Not Achieved")</f>
        <v>Not Achieved</v>
      </c>
      <c r="P74" s="8">
        <v>4</v>
      </c>
      <c r="Q74" s="7" t="str">
        <f>IF(AND(Table15[[#This Row],[CSAT Score]]&lt;=3,Table15[[#This Row],[Revenue]]&gt;=20000),"High-Risk","Stable")</f>
        <v>Stable</v>
      </c>
      <c r="R74" s="8" t="str" cm="1">
        <f t="array" ref="R74">_xlfn.IFS(Table15[[#This Row],[Revenue]]&gt;=35000,"Platinum",Table15[[#This Row],[Revenue]]&gt;=15000,"Gold",TRUE,"Standard")</f>
        <v>Gold</v>
      </c>
      <c r="S74" s="8" t="str">
        <f>IF(OR(Table15[[#This Row],[Product]]="Wealth Management",Table15[[#This Row],[Revenue]]&gt;=40000),"Yes","No")</f>
        <v>Yes</v>
      </c>
    </row>
    <row r="75" spans="1:19" x14ac:dyDescent="0.3">
      <c r="A75" s="5" t="s">
        <v>133</v>
      </c>
      <c r="B75" s="6">
        <v>46090</v>
      </c>
      <c r="C75" s="7" t="s">
        <v>55</v>
      </c>
      <c r="D75" s="7" t="s">
        <v>38</v>
      </c>
      <c r="E75" s="7" t="s">
        <v>39</v>
      </c>
      <c r="F75" s="7" t="s">
        <v>29</v>
      </c>
      <c r="G75" s="7" t="s">
        <v>36</v>
      </c>
      <c r="H75" s="7" t="s">
        <v>57</v>
      </c>
      <c r="I75" s="7">
        <v>31</v>
      </c>
      <c r="J75" s="7">
        <v>92</v>
      </c>
      <c r="K75" s="20">
        <v>42684.51</v>
      </c>
      <c r="L75" s="20">
        <v>300.85000000000002</v>
      </c>
      <c r="M75" s="7">
        <v>48.46</v>
      </c>
      <c r="N75" s="20">
        <f>Table15[[#This Row],[Processing Fee]]-Table15[[#This Row],[Discount Applied]]</f>
        <v>252.39000000000001</v>
      </c>
      <c r="O75" s="7" t="str">
        <f>IF(Table15[[#This Row],[Revenue]]&gt;35000,"Achieved","Not Achieved")</f>
        <v>Achieved</v>
      </c>
      <c r="P75" s="8">
        <v>2</v>
      </c>
      <c r="Q75" s="7" t="str">
        <f>IF(AND(Table15[[#This Row],[CSAT Score]]&lt;=3,Table15[[#This Row],[Revenue]]&gt;=20000),"High-Risk","Stable")</f>
        <v>High-Risk</v>
      </c>
      <c r="R75" s="8" t="str" cm="1">
        <f t="array" ref="R75">_xlfn.IFS(Table15[[#This Row],[Revenue]]&gt;=35000,"Platinum",Table15[[#This Row],[Revenue]]&gt;=15000,"Gold",TRUE,"Standard")</f>
        <v>Platinum</v>
      </c>
      <c r="S75" s="8" t="str">
        <f>IF(OR(Table15[[#This Row],[Product]]="Wealth Management",Table15[[#This Row],[Revenue]]&gt;=40000),"Yes","No")</f>
        <v>Yes</v>
      </c>
    </row>
    <row r="76" spans="1:19" x14ac:dyDescent="0.3">
      <c r="A76" s="5" t="s">
        <v>134</v>
      </c>
      <c r="B76" s="6">
        <v>45988</v>
      </c>
      <c r="C76" s="7" t="s">
        <v>33</v>
      </c>
      <c r="D76" s="7" t="s">
        <v>61</v>
      </c>
      <c r="E76" s="7" t="s">
        <v>39</v>
      </c>
      <c r="F76" s="7" t="s">
        <v>29</v>
      </c>
      <c r="G76" s="7" t="s">
        <v>36</v>
      </c>
      <c r="H76" s="7" t="s">
        <v>53</v>
      </c>
      <c r="I76" s="7">
        <v>33</v>
      </c>
      <c r="J76" s="7">
        <v>17</v>
      </c>
      <c r="K76" s="20">
        <v>2526.23</v>
      </c>
      <c r="L76" s="20">
        <v>490.25</v>
      </c>
      <c r="M76" s="7">
        <v>184.9</v>
      </c>
      <c r="N76" s="20">
        <f>Table15[[#This Row],[Processing Fee]]-Table15[[#This Row],[Discount Applied]]</f>
        <v>305.35000000000002</v>
      </c>
      <c r="O76" s="7" t="str">
        <f>IF(Table15[[#This Row],[Revenue]]&gt;35000,"Achieved","Not Achieved")</f>
        <v>Not Achieved</v>
      </c>
      <c r="P76" s="8">
        <v>2</v>
      </c>
      <c r="Q76" s="7" t="str">
        <f>IF(AND(Table15[[#This Row],[CSAT Score]]&lt;=3,Table15[[#This Row],[Revenue]]&gt;=20000),"High-Risk","Stable")</f>
        <v>Stable</v>
      </c>
      <c r="R76" s="8" t="str" cm="1">
        <f t="array" ref="R76">_xlfn.IFS(Table15[[#This Row],[Revenue]]&gt;=35000,"Platinum",Table15[[#This Row],[Revenue]]&gt;=15000,"Gold",TRUE,"Standard")</f>
        <v>Standard</v>
      </c>
      <c r="S76" s="8" t="str">
        <f>IF(OR(Table15[[#This Row],[Product]]="Wealth Management",Table15[[#This Row],[Revenue]]&gt;=40000),"Yes","No")</f>
        <v>No</v>
      </c>
    </row>
    <row r="77" spans="1:19" x14ac:dyDescent="0.3">
      <c r="A77" s="5" t="s">
        <v>135</v>
      </c>
      <c r="B77" s="6">
        <v>46079</v>
      </c>
      <c r="C77" s="7" t="s">
        <v>55</v>
      </c>
      <c r="D77" s="7" t="s">
        <v>34</v>
      </c>
      <c r="E77" s="7" t="s">
        <v>21</v>
      </c>
      <c r="F77" s="7" t="s">
        <v>22</v>
      </c>
      <c r="G77" s="7" t="s">
        <v>56</v>
      </c>
      <c r="H77" s="7" t="s">
        <v>31</v>
      </c>
      <c r="I77" s="7">
        <v>62</v>
      </c>
      <c r="J77" s="7">
        <v>28</v>
      </c>
      <c r="K77" s="20">
        <v>2958.24</v>
      </c>
      <c r="L77" s="20">
        <v>397.93</v>
      </c>
      <c r="M77" s="7">
        <v>156.52000000000001</v>
      </c>
      <c r="N77" s="20">
        <f>Table15[[#This Row],[Processing Fee]]-Table15[[#This Row],[Discount Applied]]</f>
        <v>241.41</v>
      </c>
      <c r="O77" s="7" t="str">
        <f>IF(Table15[[#This Row],[Revenue]]&gt;35000,"Achieved","Not Achieved")</f>
        <v>Not Achieved</v>
      </c>
      <c r="P77" s="8">
        <v>2</v>
      </c>
      <c r="Q77" s="7" t="str">
        <f>IF(AND(Table15[[#This Row],[CSAT Score]]&lt;=3,Table15[[#This Row],[Revenue]]&gt;=20000),"High-Risk","Stable")</f>
        <v>Stable</v>
      </c>
      <c r="R77" s="8" t="str" cm="1">
        <f t="array" ref="R77">_xlfn.IFS(Table15[[#This Row],[Revenue]]&gt;=35000,"Platinum",Table15[[#This Row],[Revenue]]&gt;=15000,"Gold",TRUE,"Standard")</f>
        <v>Standard</v>
      </c>
      <c r="S77" s="8" t="str">
        <f>IF(OR(Table15[[#This Row],[Product]]="Wealth Management",Table15[[#This Row],[Revenue]]&gt;=40000),"Yes","No")</f>
        <v>Yes</v>
      </c>
    </row>
    <row r="78" spans="1:19" x14ac:dyDescent="0.3">
      <c r="A78" s="5" t="s">
        <v>136</v>
      </c>
      <c r="B78" s="6">
        <v>46142</v>
      </c>
      <c r="C78" s="7" t="s">
        <v>26</v>
      </c>
      <c r="D78" s="7" t="s">
        <v>63</v>
      </c>
      <c r="E78" s="7" t="s">
        <v>46</v>
      </c>
      <c r="F78" s="7" t="s">
        <v>22</v>
      </c>
      <c r="G78" s="7" t="s">
        <v>30</v>
      </c>
      <c r="H78" s="7" t="s">
        <v>31</v>
      </c>
      <c r="I78" s="7">
        <v>23</v>
      </c>
      <c r="J78" s="7">
        <v>41</v>
      </c>
      <c r="K78" s="20">
        <v>31364.2</v>
      </c>
      <c r="L78" s="20">
        <v>97.82</v>
      </c>
      <c r="M78" s="7">
        <v>4.0199999999999996</v>
      </c>
      <c r="N78" s="20">
        <f>Table15[[#This Row],[Processing Fee]]-Table15[[#This Row],[Discount Applied]]</f>
        <v>93.8</v>
      </c>
      <c r="O78" s="7" t="str">
        <f>IF(Table15[[#This Row],[Revenue]]&gt;35000,"Achieved","Not Achieved")</f>
        <v>Not Achieved</v>
      </c>
      <c r="P78" s="8">
        <v>3</v>
      </c>
      <c r="Q78" s="7" t="str">
        <f>IF(AND(Table15[[#This Row],[CSAT Score]]&lt;=3,Table15[[#This Row],[Revenue]]&gt;=20000),"High-Risk","Stable")</f>
        <v>High-Risk</v>
      </c>
      <c r="R78" s="8" t="str" cm="1">
        <f t="array" ref="R78">_xlfn.IFS(Table15[[#This Row],[Revenue]]&gt;=35000,"Platinum",Table15[[#This Row],[Revenue]]&gt;=15000,"Gold",TRUE,"Standard")</f>
        <v>Gold</v>
      </c>
      <c r="S78" s="8" t="str">
        <f>IF(OR(Table15[[#This Row],[Product]]="Wealth Management",Table15[[#This Row],[Revenue]]&gt;=40000),"Yes","No")</f>
        <v>Yes</v>
      </c>
    </row>
    <row r="79" spans="1:19" x14ac:dyDescent="0.3">
      <c r="A79" s="5" t="s">
        <v>137</v>
      </c>
      <c r="B79" s="6">
        <v>45879</v>
      </c>
      <c r="C79" s="7" t="s">
        <v>26</v>
      </c>
      <c r="D79" s="7" t="s">
        <v>50</v>
      </c>
      <c r="E79" s="7" t="s">
        <v>21</v>
      </c>
      <c r="F79" s="7" t="s">
        <v>35</v>
      </c>
      <c r="G79" s="7" t="s">
        <v>23</v>
      </c>
      <c r="H79" s="7" t="s">
        <v>24</v>
      </c>
      <c r="I79" s="7">
        <v>29</v>
      </c>
      <c r="J79" s="7">
        <v>66</v>
      </c>
      <c r="K79" s="20">
        <v>3623.77</v>
      </c>
      <c r="L79" s="20">
        <v>400.29</v>
      </c>
      <c r="M79" s="7">
        <v>3.89</v>
      </c>
      <c r="N79" s="20">
        <f>Table15[[#This Row],[Processing Fee]]-Table15[[#This Row],[Discount Applied]]</f>
        <v>396.40000000000003</v>
      </c>
      <c r="O79" s="7" t="str">
        <f>IF(Table15[[#This Row],[Revenue]]&gt;35000,"Achieved","Not Achieved")</f>
        <v>Not Achieved</v>
      </c>
      <c r="P79" s="8">
        <v>2</v>
      </c>
      <c r="Q79" s="7" t="str">
        <f>IF(AND(Table15[[#This Row],[CSAT Score]]&lt;=3,Table15[[#This Row],[Revenue]]&gt;=20000),"High-Risk","Stable")</f>
        <v>Stable</v>
      </c>
      <c r="R79" s="8" t="str" cm="1">
        <f t="array" ref="R79">_xlfn.IFS(Table15[[#This Row],[Revenue]]&gt;=35000,"Platinum",Table15[[#This Row],[Revenue]]&gt;=15000,"Gold",TRUE,"Standard")</f>
        <v>Standard</v>
      </c>
      <c r="S79" s="8" t="str">
        <f>IF(OR(Table15[[#This Row],[Product]]="Wealth Management",Table15[[#This Row],[Revenue]]&gt;=40000),"Yes","No")</f>
        <v>No</v>
      </c>
    </row>
    <row r="80" spans="1:19" x14ac:dyDescent="0.3">
      <c r="A80" s="5" t="s">
        <v>138</v>
      </c>
      <c r="B80" s="6">
        <v>46147</v>
      </c>
      <c r="C80" s="7" t="s">
        <v>19</v>
      </c>
      <c r="D80" s="7" t="s">
        <v>50</v>
      </c>
      <c r="E80" s="7" t="s">
        <v>39</v>
      </c>
      <c r="F80" s="7" t="s">
        <v>40</v>
      </c>
      <c r="G80" s="7" t="s">
        <v>23</v>
      </c>
      <c r="H80" s="7" t="s">
        <v>53</v>
      </c>
      <c r="I80" s="7">
        <v>32</v>
      </c>
      <c r="J80" s="7">
        <v>25</v>
      </c>
      <c r="K80" s="20">
        <v>16568.150000000001</v>
      </c>
      <c r="L80" s="20">
        <v>126.74</v>
      </c>
      <c r="M80" s="7">
        <v>194.59</v>
      </c>
      <c r="N80" s="20">
        <f>Table15[[#This Row],[Processing Fee]]-Table15[[#This Row],[Discount Applied]]</f>
        <v>-67.850000000000009</v>
      </c>
      <c r="O80" s="7" t="str">
        <f>IF(Table15[[#This Row],[Revenue]]&gt;35000,"Achieved","Not Achieved")</f>
        <v>Not Achieved</v>
      </c>
      <c r="P80" s="8">
        <v>1</v>
      </c>
      <c r="Q80" s="7" t="str">
        <f>IF(AND(Table15[[#This Row],[CSAT Score]]&lt;=3,Table15[[#This Row],[Revenue]]&gt;=20000),"High-Risk","Stable")</f>
        <v>Stable</v>
      </c>
      <c r="R80" s="8" t="str" cm="1">
        <f t="array" ref="R80">_xlfn.IFS(Table15[[#This Row],[Revenue]]&gt;=35000,"Platinum",Table15[[#This Row],[Revenue]]&gt;=15000,"Gold",TRUE,"Standard")</f>
        <v>Gold</v>
      </c>
      <c r="S80" s="8" t="str">
        <f>IF(OR(Table15[[#This Row],[Product]]="Wealth Management",Table15[[#This Row],[Revenue]]&gt;=40000),"Yes","No")</f>
        <v>No</v>
      </c>
    </row>
    <row r="81" spans="1:19" x14ac:dyDescent="0.3">
      <c r="A81" s="5" t="s">
        <v>139</v>
      </c>
      <c r="B81" s="6">
        <v>46216</v>
      </c>
      <c r="C81" s="7" t="s">
        <v>26</v>
      </c>
      <c r="D81" s="7" t="s">
        <v>48</v>
      </c>
      <c r="E81" s="7" t="s">
        <v>28</v>
      </c>
      <c r="F81" s="7" t="s">
        <v>29</v>
      </c>
      <c r="G81" s="7" t="s">
        <v>65</v>
      </c>
      <c r="H81" s="7" t="s">
        <v>57</v>
      </c>
      <c r="I81" s="7">
        <v>43</v>
      </c>
      <c r="J81" s="7">
        <v>58</v>
      </c>
      <c r="K81" s="20">
        <v>33801.42</v>
      </c>
      <c r="L81" s="20">
        <v>251.31</v>
      </c>
      <c r="M81" s="7">
        <v>44.29</v>
      </c>
      <c r="N81" s="20">
        <f>Table15[[#This Row],[Processing Fee]]-Table15[[#This Row],[Discount Applied]]</f>
        <v>207.02</v>
      </c>
      <c r="O81" s="7" t="str">
        <f>IF(Table15[[#This Row],[Revenue]]&gt;35000,"Achieved","Not Achieved")</f>
        <v>Not Achieved</v>
      </c>
      <c r="P81" s="8">
        <v>5</v>
      </c>
      <c r="Q81" s="7" t="str">
        <f>IF(AND(Table15[[#This Row],[CSAT Score]]&lt;=3,Table15[[#This Row],[Revenue]]&gt;=20000),"High-Risk","Stable")</f>
        <v>Stable</v>
      </c>
      <c r="R81" s="8" t="str" cm="1">
        <f t="array" ref="R81">_xlfn.IFS(Table15[[#This Row],[Revenue]]&gt;=35000,"Platinum",Table15[[#This Row],[Revenue]]&gt;=15000,"Gold",TRUE,"Standard")</f>
        <v>Gold</v>
      </c>
      <c r="S81" s="8" t="str">
        <f>IF(OR(Table15[[#This Row],[Product]]="Wealth Management",Table15[[#This Row],[Revenue]]&gt;=40000),"Yes","No")</f>
        <v>No</v>
      </c>
    </row>
    <row r="82" spans="1:19" x14ac:dyDescent="0.3">
      <c r="A82" s="5" t="s">
        <v>140</v>
      </c>
      <c r="B82" s="6">
        <v>46153</v>
      </c>
      <c r="C82" s="7" t="s">
        <v>19</v>
      </c>
      <c r="D82" s="7" t="s">
        <v>61</v>
      </c>
      <c r="E82" s="7" t="s">
        <v>59</v>
      </c>
      <c r="F82" s="7" t="s">
        <v>40</v>
      </c>
      <c r="G82" s="7" t="s">
        <v>23</v>
      </c>
      <c r="H82" s="7" t="s">
        <v>57</v>
      </c>
      <c r="I82" s="7">
        <v>34</v>
      </c>
      <c r="J82" s="7">
        <v>114</v>
      </c>
      <c r="K82" s="20">
        <v>17194.71</v>
      </c>
      <c r="L82" s="20">
        <v>144.71</v>
      </c>
      <c r="M82" s="7">
        <v>161.12</v>
      </c>
      <c r="N82" s="20">
        <f>Table15[[#This Row],[Processing Fee]]-Table15[[#This Row],[Discount Applied]]</f>
        <v>-16.409999999999997</v>
      </c>
      <c r="O82" s="7" t="str">
        <f>IF(Table15[[#This Row],[Revenue]]&gt;35000,"Achieved","Not Achieved")</f>
        <v>Not Achieved</v>
      </c>
      <c r="P82" s="8">
        <v>2</v>
      </c>
      <c r="Q82" s="7" t="str">
        <f>IF(AND(Table15[[#This Row],[CSAT Score]]&lt;=3,Table15[[#This Row],[Revenue]]&gt;=20000),"High-Risk","Stable")</f>
        <v>Stable</v>
      </c>
      <c r="R82" s="8" t="str" cm="1">
        <f t="array" ref="R82">_xlfn.IFS(Table15[[#This Row],[Revenue]]&gt;=35000,"Platinum",Table15[[#This Row],[Revenue]]&gt;=15000,"Gold",TRUE,"Standard")</f>
        <v>Gold</v>
      </c>
      <c r="S82" s="8" t="str">
        <f>IF(OR(Table15[[#This Row],[Product]]="Wealth Management",Table15[[#This Row],[Revenue]]&gt;=40000),"Yes","No")</f>
        <v>No</v>
      </c>
    </row>
    <row r="83" spans="1:19" x14ac:dyDescent="0.3">
      <c r="A83" s="5" t="s">
        <v>141</v>
      </c>
      <c r="B83" s="6">
        <v>46179</v>
      </c>
      <c r="C83" s="7" t="s">
        <v>26</v>
      </c>
      <c r="D83" s="7" t="s">
        <v>34</v>
      </c>
      <c r="E83" s="7" t="s">
        <v>46</v>
      </c>
      <c r="F83" s="7" t="s">
        <v>35</v>
      </c>
      <c r="G83" s="7" t="s">
        <v>56</v>
      </c>
      <c r="H83" s="7" t="s">
        <v>53</v>
      </c>
      <c r="I83" s="7">
        <v>53</v>
      </c>
      <c r="J83" s="7">
        <v>41</v>
      </c>
      <c r="K83" s="20">
        <v>9390.19</v>
      </c>
      <c r="L83" s="20">
        <v>360.31</v>
      </c>
      <c r="M83" s="7">
        <v>11.66</v>
      </c>
      <c r="N83" s="20">
        <f>Table15[[#This Row],[Processing Fee]]-Table15[[#This Row],[Discount Applied]]</f>
        <v>348.65</v>
      </c>
      <c r="O83" s="7" t="str">
        <f>IF(Table15[[#This Row],[Revenue]]&gt;35000,"Achieved","Not Achieved")</f>
        <v>Not Achieved</v>
      </c>
      <c r="P83" s="8">
        <v>3</v>
      </c>
      <c r="Q83" s="7" t="str">
        <f>IF(AND(Table15[[#This Row],[CSAT Score]]&lt;=3,Table15[[#This Row],[Revenue]]&gt;=20000),"High-Risk","Stable")</f>
        <v>Stable</v>
      </c>
      <c r="R83" s="8" t="str" cm="1">
        <f t="array" ref="R83">_xlfn.IFS(Table15[[#This Row],[Revenue]]&gt;=35000,"Platinum",Table15[[#This Row],[Revenue]]&gt;=15000,"Gold",TRUE,"Standard")</f>
        <v>Standard</v>
      </c>
      <c r="S83" s="8" t="str">
        <f>IF(OR(Table15[[#This Row],[Product]]="Wealth Management",Table15[[#This Row],[Revenue]]&gt;=40000),"Yes","No")</f>
        <v>No</v>
      </c>
    </row>
    <row r="84" spans="1:19" x14ac:dyDescent="0.3">
      <c r="A84" s="5" t="s">
        <v>142</v>
      </c>
      <c r="B84" s="6">
        <v>46224</v>
      </c>
      <c r="C84" s="7" t="s">
        <v>33</v>
      </c>
      <c r="D84" s="7" t="s">
        <v>34</v>
      </c>
      <c r="E84" s="7" t="s">
        <v>46</v>
      </c>
      <c r="F84" s="7" t="s">
        <v>22</v>
      </c>
      <c r="G84" s="7" t="s">
        <v>36</v>
      </c>
      <c r="H84" s="7" t="s">
        <v>57</v>
      </c>
      <c r="I84" s="7">
        <v>38</v>
      </c>
      <c r="J84" s="7">
        <v>6</v>
      </c>
      <c r="K84" s="20">
        <v>14426.86</v>
      </c>
      <c r="L84" s="20">
        <v>444.79</v>
      </c>
      <c r="M84" s="7">
        <v>184.23</v>
      </c>
      <c r="N84" s="20">
        <f>Table15[[#This Row],[Processing Fee]]-Table15[[#This Row],[Discount Applied]]</f>
        <v>260.56000000000006</v>
      </c>
      <c r="O84" s="7" t="str">
        <f>IF(Table15[[#This Row],[Revenue]]&gt;35000,"Achieved","Not Achieved")</f>
        <v>Not Achieved</v>
      </c>
      <c r="P84" s="8">
        <v>5</v>
      </c>
      <c r="Q84" s="7" t="str">
        <f>IF(AND(Table15[[#This Row],[CSAT Score]]&lt;=3,Table15[[#This Row],[Revenue]]&gt;=20000),"High-Risk","Stable")</f>
        <v>Stable</v>
      </c>
      <c r="R84" s="8" t="str" cm="1">
        <f t="array" ref="R84">_xlfn.IFS(Table15[[#This Row],[Revenue]]&gt;=35000,"Platinum",Table15[[#This Row],[Revenue]]&gt;=15000,"Gold",TRUE,"Standard")</f>
        <v>Standard</v>
      </c>
      <c r="S84" s="8" t="str">
        <f>IF(OR(Table15[[#This Row],[Product]]="Wealth Management",Table15[[#This Row],[Revenue]]&gt;=40000),"Yes","No")</f>
        <v>Yes</v>
      </c>
    </row>
    <row r="85" spans="1:19" x14ac:dyDescent="0.3">
      <c r="A85" s="5" t="s">
        <v>143</v>
      </c>
      <c r="B85" s="6">
        <v>46131</v>
      </c>
      <c r="C85" s="7" t="s">
        <v>44</v>
      </c>
      <c r="D85" s="7" t="s">
        <v>79</v>
      </c>
      <c r="E85" s="7" t="s">
        <v>21</v>
      </c>
      <c r="F85" s="7" t="s">
        <v>40</v>
      </c>
      <c r="G85" s="7" t="s">
        <v>36</v>
      </c>
      <c r="H85" s="7" t="s">
        <v>31</v>
      </c>
      <c r="I85" s="7">
        <v>69</v>
      </c>
      <c r="J85" s="7">
        <v>75</v>
      </c>
      <c r="K85" s="20">
        <v>23149.98</v>
      </c>
      <c r="L85" s="20">
        <v>180.66</v>
      </c>
      <c r="M85" s="7">
        <v>262.32</v>
      </c>
      <c r="N85" s="20">
        <f>Table15[[#This Row],[Processing Fee]]-Table15[[#This Row],[Discount Applied]]</f>
        <v>-81.66</v>
      </c>
      <c r="O85" s="7" t="str">
        <f>IF(Table15[[#This Row],[Revenue]]&gt;35000,"Achieved","Not Achieved")</f>
        <v>Not Achieved</v>
      </c>
      <c r="P85" s="8">
        <v>4</v>
      </c>
      <c r="Q85" s="7" t="str">
        <f>IF(AND(Table15[[#This Row],[CSAT Score]]&lt;=3,Table15[[#This Row],[Revenue]]&gt;=20000),"High-Risk","Stable")</f>
        <v>Stable</v>
      </c>
      <c r="R85" s="8" t="str" cm="1">
        <f t="array" ref="R85">_xlfn.IFS(Table15[[#This Row],[Revenue]]&gt;=35000,"Platinum",Table15[[#This Row],[Revenue]]&gt;=15000,"Gold",TRUE,"Standard")</f>
        <v>Gold</v>
      </c>
      <c r="S85" s="8" t="str">
        <f>IF(OR(Table15[[#This Row],[Product]]="Wealth Management",Table15[[#This Row],[Revenue]]&gt;=40000),"Yes","No")</f>
        <v>No</v>
      </c>
    </row>
    <row r="86" spans="1:19" x14ac:dyDescent="0.3">
      <c r="A86" s="5" t="s">
        <v>144</v>
      </c>
      <c r="B86" s="6">
        <v>46072</v>
      </c>
      <c r="C86" s="7" t="s">
        <v>19</v>
      </c>
      <c r="D86" s="7" t="s">
        <v>68</v>
      </c>
      <c r="E86" s="7" t="s">
        <v>46</v>
      </c>
      <c r="F86" s="7" t="s">
        <v>22</v>
      </c>
      <c r="G86" s="7" t="s">
        <v>36</v>
      </c>
      <c r="H86" s="7" t="s">
        <v>57</v>
      </c>
      <c r="I86" s="7">
        <v>61</v>
      </c>
      <c r="J86" s="7">
        <v>38</v>
      </c>
      <c r="K86" s="20">
        <v>24031.599999999999</v>
      </c>
      <c r="L86" s="20">
        <v>86.9</v>
      </c>
      <c r="M86" s="7">
        <v>114.22</v>
      </c>
      <c r="N86" s="20">
        <f>Table15[[#This Row],[Processing Fee]]-Table15[[#This Row],[Discount Applied]]</f>
        <v>-27.319999999999993</v>
      </c>
      <c r="O86" s="7" t="str">
        <f>IF(Table15[[#This Row],[Revenue]]&gt;35000,"Achieved","Not Achieved")</f>
        <v>Not Achieved</v>
      </c>
      <c r="P86" s="8">
        <v>2</v>
      </c>
      <c r="Q86" s="7" t="str">
        <f>IF(AND(Table15[[#This Row],[CSAT Score]]&lt;=3,Table15[[#This Row],[Revenue]]&gt;=20000),"High-Risk","Stable")</f>
        <v>High-Risk</v>
      </c>
      <c r="R86" s="8" t="str" cm="1">
        <f t="array" ref="R86">_xlfn.IFS(Table15[[#This Row],[Revenue]]&gt;=35000,"Platinum",Table15[[#This Row],[Revenue]]&gt;=15000,"Gold",TRUE,"Standard")</f>
        <v>Gold</v>
      </c>
      <c r="S86" s="8" t="str">
        <f>IF(OR(Table15[[#This Row],[Product]]="Wealth Management",Table15[[#This Row],[Revenue]]&gt;=40000),"Yes","No")</f>
        <v>Yes</v>
      </c>
    </row>
    <row r="87" spans="1:19" x14ac:dyDescent="0.3">
      <c r="A87" s="5" t="s">
        <v>145</v>
      </c>
      <c r="B87" s="6">
        <v>46120</v>
      </c>
      <c r="C87" s="7" t="s">
        <v>42</v>
      </c>
      <c r="D87" s="7" t="s">
        <v>52</v>
      </c>
      <c r="E87" s="7" t="s">
        <v>39</v>
      </c>
      <c r="F87" s="7" t="s">
        <v>22</v>
      </c>
      <c r="G87" s="7" t="s">
        <v>30</v>
      </c>
      <c r="H87" s="7" t="s">
        <v>24</v>
      </c>
      <c r="I87" s="7">
        <v>29</v>
      </c>
      <c r="J87" s="7">
        <v>6</v>
      </c>
      <c r="K87" s="20">
        <v>39258.51</v>
      </c>
      <c r="L87" s="20">
        <v>184.32</v>
      </c>
      <c r="M87" s="7">
        <v>1.8</v>
      </c>
      <c r="N87" s="20">
        <f>Table15[[#This Row],[Processing Fee]]-Table15[[#This Row],[Discount Applied]]</f>
        <v>182.51999999999998</v>
      </c>
      <c r="O87" s="7" t="str">
        <f>IF(Table15[[#This Row],[Revenue]]&gt;35000,"Achieved","Not Achieved")</f>
        <v>Achieved</v>
      </c>
      <c r="P87" s="8">
        <v>5</v>
      </c>
      <c r="Q87" s="7" t="str">
        <f>IF(AND(Table15[[#This Row],[CSAT Score]]&lt;=3,Table15[[#This Row],[Revenue]]&gt;=20000),"High-Risk","Stable")</f>
        <v>Stable</v>
      </c>
      <c r="R87" s="8" t="str" cm="1">
        <f t="array" ref="R87">_xlfn.IFS(Table15[[#This Row],[Revenue]]&gt;=35000,"Platinum",Table15[[#This Row],[Revenue]]&gt;=15000,"Gold",TRUE,"Standard")</f>
        <v>Platinum</v>
      </c>
      <c r="S87" s="8" t="str">
        <f>IF(OR(Table15[[#This Row],[Product]]="Wealth Management",Table15[[#This Row],[Revenue]]&gt;=40000),"Yes","No")</f>
        <v>Yes</v>
      </c>
    </row>
    <row r="88" spans="1:19" x14ac:dyDescent="0.3">
      <c r="A88" s="5" t="s">
        <v>146</v>
      </c>
      <c r="B88" s="6">
        <v>46127</v>
      </c>
      <c r="C88" s="7" t="s">
        <v>75</v>
      </c>
      <c r="D88" s="7" t="s">
        <v>27</v>
      </c>
      <c r="E88" s="7" t="s">
        <v>39</v>
      </c>
      <c r="F88" s="7" t="s">
        <v>69</v>
      </c>
      <c r="G88" s="7" t="s">
        <v>23</v>
      </c>
      <c r="H88" s="7" t="s">
        <v>31</v>
      </c>
      <c r="I88" s="7">
        <v>43</v>
      </c>
      <c r="J88" s="7">
        <v>45</v>
      </c>
      <c r="K88" s="20">
        <v>37632.58</v>
      </c>
      <c r="L88" s="20">
        <v>352.56</v>
      </c>
      <c r="M88" s="7">
        <v>77.34</v>
      </c>
      <c r="N88" s="20">
        <f>Table15[[#This Row],[Processing Fee]]-Table15[[#This Row],[Discount Applied]]</f>
        <v>275.22000000000003</v>
      </c>
      <c r="O88" s="7" t="str">
        <f>IF(Table15[[#This Row],[Revenue]]&gt;35000,"Achieved","Not Achieved")</f>
        <v>Achieved</v>
      </c>
      <c r="P88" s="8">
        <v>4</v>
      </c>
      <c r="Q88" s="7" t="str">
        <f>IF(AND(Table15[[#This Row],[CSAT Score]]&lt;=3,Table15[[#This Row],[Revenue]]&gt;=20000),"High-Risk","Stable")</f>
        <v>Stable</v>
      </c>
      <c r="R88" s="8" t="str" cm="1">
        <f t="array" ref="R88">_xlfn.IFS(Table15[[#This Row],[Revenue]]&gt;=35000,"Platinum",Table15[[#This Row],[Revenue]]&gt;=15000,"Gold",TRUE,"Standard")</f>
        <v>Platinum</v>
      </c>
      <c r="S88" s="8" t="str">
        <f>IF(OR(Table15[[#This Row],[Product]]="Wealth Management",Table15[[#This Row],[Revenue]]&gt;=40000),"Yes","No")</f>
        <v>No</v>
      </c>
    </row>
    <row r="89" spans="1:19" x14ac:dyDescent="0.3">
      <c r="A89" s="5" t="s">
        <v>147</v>
      </c>
      <c r="B89" s="6">
        <v>45953</v>
      </c>
      <c r="C89" s="7" t="s">
        <v>91</v>
      </c>
      <c r="D89" s="7" t="s">
        <v>79</v>
      </c>
      <c r="E89" s="7" t="s">
        <v>21</v>
      </c>
      <c r="F89" s="7" t="s">
        <v>40</v>
      </c>
      <c r="G89" s="7" t="s">
        <v>56</v>
      </c>
      <c r="H89" s="7" t="s">
        <v>31</v>
      </c>
      <c r="I89" s="7">
        <v>30</v>
      </c>
      <c r="J89" s="7">
        <v>75</v>
      </c>
      <c r="K89" s="20">
        <v>23112.48</v>
      </c>
      <c r="L89" s="20">
        <v>197.94</v>
      </c>
      <c r="M89" s="7">
        <v>122.04</v>
      </c>
      <c r="N89" s="20">
        <f>Table15[[#This Row],[Processing Fee]]-Table15[[#This Row],[Discount Applied]]</f>
        <v>75.899999999999991</v>
      </c>
      <c r="O89" s="7" t="str">
        <f>IF(Table15[[#This Row],[Revenue]]&gt;35000,"Achieved","Not Achieved")</f>
        <v>Not Achieved</v>
      </c>
      <c r="P89" s="8">
        <v>3</v>
      </c>
      <c r="Q89" s="7" t="str">
        <f>IF(AND(Table15[[#This Row],[CSAT Score]]&lt;=3,Table15[[#This Row],[Revenue]]&gt;=20000),"High-Risk","Stable")</f>
        <v>High-Risk</v>
      </c>
      <c r="R89" s="8" t="str" cm="1">
        <f t="array" ref="R89">_xlfn.IFS(Table15[[#This Row],[Revenue]]&gt;=35000,"Platinum",Table15[[#This Row],[Revenue]]&gt;=15000,"Gold",TRUE,"Standard")</f>
        <v>Gold</v>
      </c>
      <c r="S89" s="8" t="str">
        <f>IF(OR(Table15[[#This Row],[Product]]="Wealth Management",Table15[[#This Row],[Revenue]]&gt;=40000),"Yes","No")</f>
        <v>No</v>
      </c>
    </row>
    <row r="90" spans="1:19" x14ac:dyDescent="0.3">
      <c r="A90" s="5" t="s">
        <v>148</v>
      </c>
      <c r="B90" s="6">
        <v>46154</v>
      </c>
      <c r="C90" s="7" t="s">
        <v>26</v>
      </c>
      <c r="D90" s="7" t="s">
        <v>87</v>
      </c>
      <c r="E90" s="7" t="s">
        <v>39</v>
      </c>
      <c r="F90" s="7" t="s">
        <v>40</v>
      </c>
      <c r="G90" s="7" t="s">
        <v>30</v>
      </c>
      <c r="H90" s="7" t="s">
        <v>31</v>
      </c>
      <c r="I90" s="7">
        <v>39</v>
      </c>
      <c r="J90" s="7">
        <v>14</v>
      </c>
      <c r="K90" s="20">
        <v>42360.53</v>
      </c>
      <c r="L90" s="20">
        <v>175.15</v>
      </c>
      <c r="M90" s="7">
        <v>138.02000000000001</v>
      </c>
      <c r="N90" s="20">
        <f>Table15[[#This Row],[Processing Fee]]-Table15[[#This Row],[Discount Applied]]</f>
        <v>37.129999999999995</v>
      </c>
      <c r="O90" s="7" t="str">
        <f>IF(Table15[[#This Row],[Revenue]]&gt;35000,"Achieved","Not Achieved")</f>
        <v>Achieved</v>
      </c>
      <c r="P90" s="8">
        <v>1</v>
      </c>
      <c r="Q90" s="7" t="str">
        <f>IF(AND(Table15[[#This Row],[CSAT Score]]&lt;=3,Table15[[#This Row],[Revenue]]&gt;=20000),"High-Risk","Stable")</f>
        <v>High-Risk</v>
      </c>
      <c r="R90" s="8" t="str" cm="1">
        <f t="array" ref="R90">_xlfn.IFS(Table15[[#This Row],[Revenue]]&gt;=35000,"Platinum",Table15[[#This Row],[Revenue]]&gt;=15000,"Gold",TRUE,"Standard")</f>
        <v>Platinum</v>
      </c>
      <c r="S90" s="8" t="str">
        <f>IF(OR(Table15[[#This Row],[Product]]="Wealth Management",Table15[[#This Row],[Revenue]]&gt;=40000),"Yes","No")</f>
        <v>Yes</v>
      </c>
    </row>
    <row r="91" spans="1:19" x14ac:dyDescent="0.3">
      <c r="A91" s="5" t="s">
        <v>149</v>
      </c>
      <c r="B91" s="6">
        <v>45958</v>
      </c>
      <c r="C91" s="7" t="s">
        <v>55</v>
      </c>
      <c r="D91" s="7" t="s">
        <v>77</v>
      </c>
      <c r="E91" s="7" t="s">
        <v>28</v>
      </c>
      <c r="F91" s="7" t="s">
        <v>22</v>
      </c>
      <c r="G91" s="7" t="s">
        <v>65</v>
      </c>
      <c r="H91" s="7" t="s">
        <v>53</v>
      </c>
      <c r="I91" s="7">
        <v>67</v>
      </c>
      <c r="J91" s="7">
        <v>66</v>
      </c>
      <c r="K91" s="20">
        <v>6154.74</v>
      </c>
      <c r="L91" s="20">
        <v>133</v>
      </c>
      <c r="M91" s="7">
        <v>59.54</v>
      </c>
      <c r="N91" s="20">
        <f>Table15[[#This Row],[Processing Fee]]-Table15[[#This Row],[Discount Applied]]</f>
        <v>73.460000000000008</v>
      </c>
      <c r="O91" s="7" t="str">
        <f>IF(Table15[[#This Row],[Revenue]]&gt;35000,"Achieved","Not Achieved")</f>
        <v>Not Achieved</v>
      </c>
      <c r="P91" s="8">
        <v>2</v>
      </c>
      <c r="Q91" s="7" t="str">
        <f>IF(AND(Table15[[#This Row],[CSAT Score]]&lt;=3,Table15[[#This Row],[Revenue]]&gt;=20000),"High-Risk","Stable")</f>
        <v>Stable</v>
      </c>
      <c r="R91" s="8" t="str" cm="1">
        <f t="array" ref="R91">_xlfn.IFS(Table15[[#This Row],[Revenue]]&gt;=35000,"Platinum",Table15[[#This Row],[Revenue]]&gt;=15000,"Gold",TRUE,"Standard")</f>
        <v>Standard</v>
      </c>
      <c r="S91" s="8" t="str">
        <f>IF(OR(Table15[[#This Row],[Product]]="Wealth Management",Table15[[#This Row],[Revenue]]&gt;=40000),"Yes","No")</f>
        <v>Yes</v>
      </c>
    </row>
    <row r="92" spans="1:19" x14ac:dyDescent="0.3">
      <c r="A92" s="5" t="s">
        <v>150</v>
      </c>
      <c r="B92" s="6">
        <v>45956</v>
      </c>
      <c r="C92" s="7" t="s">
        <v>44</v>
      </c>
      <c r="D92" s="7" t="s">
        <v>77</v>
      </c>
      <c r="E92" s="7" t="s">
        <v>21</v>
      </c>
      <c r="F92" s="7" t="s">
        <v>35</v>
      </c>
      <c r="G92" s="7" t="s">
        <v>56</v>
      </c>
      <c r="H92" s="7" t="s">
        <v>53</v>
      </c>
      <c r="I92" s="7">
        <v>25</v>
      </c>
      <c r="J92" s="7">
        <v>40</v>
      </c>
      <c r="K92" s="20">
        <v>13139.99</v>
      </c>
      <c r="L92" s="20">
        <v>273.88</v>
      </c>
      <c r="M92" s="7">
        <v>6.59</v>
      </c>
      <c r="N92" s="20">
        <f>Table15[[#This Row],[Processing Fee]]-Table15[[#This Row],[Discount Applied]]</f>
        <v>267.29000000000002</v>
      </c>
      <c r="O92" s="7" t="str">
        <f>IF(Table15[[#This Row],[Revenue]]&gt;35000,"Achieved","Not Achieved")</f>
        <v>Not Achieved</v>
      </c>
      <c r="P92" s="8">
        <v>1</v>
      </c>
      <c r="Q92" s="7" t="str">
        <f>IF(AND(Table15[[#This Row],[CSAT Score]]&lt;=3,Table15[[#This Row],[Revenue]]&gt;=20000),"High-Risk","Stable")</f>
        <v>Stable</v>
      </c>
      <c r="R92" s="8" t="str" cm="1">
        <f t="array" ref="R92">_xlfn.IFS(Table15[[#This Row],[Revenue]]&gt;=35000,"Platinum",Table15[[#This Row],[Revenue]]&gt;=15000,"Gold",TRUE,"Standard")</f>
        <v>Standard</v>
      </c>
      <c r="S92" s="8" t="str">
        <f>IF(OR(Table15[[#This Row],[Product]]="Wealth Management",Table15[[#This Row],[Revenue]]&gt;=40000),"Yes","No")</f>
        <v>No</v>
      </c>
    </row>
    <row r="93" spans="1:19" x14ac:dyDescent="0.3">
      <c r="A93" s="5" t="s">
        <v>151</v>
      </c>
      <c r="B93" s="6">
        <v>46148</v>
      </c>
      <c r="C93" s="7" t="s">
        <v>26</v>
      </c>
      <c r="D93" s="7" t="s">
        <v>68</v>
      </c>
      <c r="E93" s="7" t="s">
        <v>28</v>
      </c>
      <c r="F93" s="7" t="s">
        <v>69</v>
      </c>
      <c r="G93" s="7" t="s">
        <v>56</v>
      </c>
      <c r="H93" s="7" t="s">
        <v>31</v>
      </c>
      <c r="I93" s="7">
        <v>67</v>
      </c>
      <c r="J93" s="7">
        <v>3</v>
      </c>
      <c r="K93" s="20">
        <v>41484.83</v>
      </c>
      <c r="L93" s="20">
        <v>174.18</v>
      </c>
      <c r="M93" s="7">
        <v>177.04</v>
      </c>
      <c r="N93" s="20">
        <f>Table15[[#This Row],[Processing Fee]]-Table15[[#This Row],[Discount Applied]]</f>
        <v>-2.8599999999999852</v>
      </c>
      <c r="O93" s="7" t="str">
        <f>IF(Table15[[#This Row],[Revenue]]&gt;35000,"Achieved","Not Achieved")</f>
        <v>Achieved</v>
      </c>
      <c r="P93" s="8">
        <v>3</v>
      </c>
      <c r="Q93" s="7" t="str">
        <f>IF(AND(Table15[[#This Row],[CSAT Score]]&lt;=3,Table15[[#This Row],[Revenue]]&gt;=20000),"High-Risk","Stable")</f>
        <v>High-Risk</v>
      </c>
      <c r="R93" s="8" t="str" cm="1">
        <f t="array" ref="R93">_xlfn.IFS(Table15[[#This Row],[Revenue]]&gt;=35000,"Platinum",Table15[[#This Row],[Revenue]]&gt;=15000,"Gold",TRUE,"Standard")</f>
        <v>Platinum</v>
      </c>
      <c r="S93" s="8" t="str">
        <f>IF(OR(Table15[[#This Row],[Product]]="Wealth Management",Table15[[#This Row],[Revenue]]&gt;=40000),"Yes","No")</f>
        <v>Yes</v>
      </c>
    </row>
    <row r="94" spans="1:19" x14ac:dyDescent="0.3">
      <c r="A94" s="5" t="s">
        <v>152</v>
      </c>
      <c r="B94" s="6">
        <v>46031</v>
      </c>
      <c r="C94" s="7" t="s">
        <v>55</v>
      </c>
      <c r="D94" s="7" t="s">
        <v>20</v>
      </c>
      <c r="E94" s="7" t="s">
        <v>59</v>
      </c>
      <c r="F94" s="7" t="s">
        <v>22</v>
      </c>
      <c r="G94" s="7" t="s">
        <v>56</v>
      </c>
      <c r="H94" s="7" t="s">
        <v>53</v>
      </c>
      <c r="I94" s="7">
        <v>72</v>
      </c>
      <c r="J94" s="7">
        <v>119</v>
      </c>
      <c r="K94" s="20">
        <v>19210.7</v>
      </c>
      <c r="L94" s="20">
        <v>378.95</v>
      </c>
      <c r="M94" s="7">
        <v>104.83</v>
      </c>
      <c r="N94" s="20">
        <f>Table15[[#This Row],[Processing Fee]]-Table15[[#This Row],[Discount Applied]]</f>
        <v>274.12</v>
      </c>
      <c r="O94" s="7" t="str">
        <f>IF(Table15[[#This Row],[Revenue]]&gt;35000,"Achieved","Not Achieved")</f>
        <v>Not Achieved</v>
      </c>
      <c r="P94" s="8">
        <v>5</v>
      </c>
      <c r="Q94" s="7" t="str">
        <f>IF(AND(Table15[[#This Row],[CSAT Score]]&lt;=3,Table15[[#This Row],[Revenue]]&gt;=20000),"High-Risk","Stable")</f>
        <v>Stable</v>
      </c>
      <c r="R94" s="8" t="str" cm="1">
        <f t="array" ref="R94">_xlfn.IFS(Table15[[#This Row],[Revenue]]&gt;=35000,"Platinum",Table15[[#This Row],[Revenue]]&gt;=15000,"Gold",TRUE,"Standard")</f>
        <v>Gold</v>
      </c>
      <c r="S94" s="8" t="str">
        <f>IF(OR(Table15[[#This Row],[Product]]="Wealth Management",Table15[[#This Row],[Revenue]]&gt;=40000),"Yes","No")</f>
        <v>Yes</v>
      </c>
    </row>
    <row r="95" spans="1:19" x14ac:dyDescent="0.3">
      <c r="A95" s="5" t="s">
        <v>153</v>
      </c>
      <c r="B95" s="6">
        <v>46032</v>
      </c>
      <c r="C95" s="7" t="s">
        <v>75</v>
      </c>
      <c r="D95" s="7" t="s">
        <v>20</v>
      </c>
      <c r="E95" s="7" t="s">
        <v>28</v>
      </c>
      <c r="F95" s="7" t="s">
        <v>29</v>
      </c>
      <c r="G95" s="7" t="s">
        <v>36</v>
      </c>
      <c r="H95" s="7" t="s">
        <v>57</v>
      </c>
      <c r="I95" s="7">
        <v>43</v>
      </c>
      <c r="J95" s="7">
        <v>117</v>
      </c>
      <c r="K95" s="20">
        <v>49068.49</v>
      </c>
      <c r="L95" s="20">
        <v>84.48</v>
      </c>
      <c r="M95" s="7">
        <v>56.6</v>
      </c>
      <c r="N95" s="20">
        <f>Table15[[#This Row],[Processing Fee]]-Table15[[#This Row],[Discount Applied]]</f>
        <v>27.880000000000003</v>
      </c>
      <c r="O95" s="7" t="str">
        <f>IF(Table15[[#This Row],[Revenue]]&gt;35000,"Achieved","Not Achieved")</f>
        <v>Achieved</v>
      </c>
      <c r="P95" s="8">
        <v>5</v>
      </c>
      <c r="Q95" s="7" t="str">
        <f>IF(AND(Table15[[#This Row],[CSAT Score]]&lt;=3,Table15[[#This Row],[Revenue]]&gt;=20000),"High-Risk","Stable")</f>
        <v>Stable</v>
      </c>
      <c r="R95" s="8" t="str" cm="1">
        <f t="array" ref="R95">_xlfn.IFS(Table15[[#This Row],[Revenue]]&gt;=35000,"Platinum",Table15[[#This Row],[Revenue]]&gt;=15000,"Gold",TRUE,"Standard")</f>
        <v>Platinum</v>
      </c>
      <c r="S95" s="8" t="str">
        <f>IF(OR(Table15[[#This Row],[Product]]="Wealth Management",Table15[[#This Row],[Revenue]]&gt;=40000),"Yes","No")</f>
        <v>Yes</v>
      </c>
    </row>
    <row r="96" spans="1:19" x14ac:dyDescent="0.3">
      <c r="A96" s="5" t="s">
        <v>154</v>
      </c>
      <c r="B96" s="6">
        <v>45919</v>
      </c>
      <c r="C96" s="7" t="s">
        <v>75</v>
      </c>
      <c r="D96" s="7" t="s">
        <v>63</v>
      </c>
      <c r="E96" s="7" t="s">
        <v>59</v>
      </c>
      <c r="F96" s="7" t="s">
        <v>29</v>
      </c>
      <c r="G96" s="7" t="s">
        <v>56</v>
      </c>
      <c r="H96" s="7" t="s">
        <v>53</v>
      </c>
      <c r="I96" s="7">
        <v>50</v>
      </c>
      <c r="J96" s="7">
        <v>99</v>
      </c>
      <c r="K96" s="20">
        <v>23579.54</v>
      </c>
      <c r="L96" s="20">
        <v>348.81</v>
      </c>
      <c r="M96" s="7">
        <v>7.6</v>
      </c>
      <c r="N96" s="20">
        <f>Table15[[#This Row],[Processing Fee]]-Table15[[#This Row],[Discount Applied]]</f>
        <v>341.21</v>
      </c>
      <c r="O96" s="7" t="str">
        <f>IF(Table15[[#This Row],[Revenue]]&gt;35000,"Achieved","Not Achieved")</f>
        <v>Not Achieved</v>
      </c>
      <c r="P96" s="8">
        <v>3</v>
      </c>
      <c r="Q96" s="7" t="str">
        <f>IF(AND(Table15[[#This Row],[CSAT Score]]&lt;=3,Table15[[#This Row],[Revenue]]&gt;=20000),"High-Risk","Stable")</f>
        <v>High-Risk</v>
      </c>
      <c r="R96" s="8" t="str" cm="1">
        <f t="array" ref="R96">_xlfn.IFS(Table15[[#This Row],[Revenue]]&gt;=35000,"Platinum",Table15[[#This Row],[Revenue]]&gt;=15000,"Gold",TRUE,"Standard")</f>
        <v>Gold</v>
      </c>
      <c r="S96" s="8" t="str">
        <f>IF(OR(Table15[[#This Row],[Product]]="Wealth Management",Table15[[#This Row],[Revenue]]&gt;=40000),"Yes","No")</f>
        <v>No</v>
      </c>
    </row>
    <row r="97" spans="1:19" x14ac:dyDescent="0.3">
      <c r="A97" s="5" t="s">
        <v>155</v>
      </c>
      <c r="B97" s="6">
        <v>46031</v>
      </c>
      <c r="C97" s="7" t="s">
        <v>75</v>
      </c>
      <c r="D97" s="7" t="s">
        <v>83</v>
      </c>
      <c r="E97" s="7" t="s">
        <v>59</v>
      </c>
      <c r="F97" s="7" t="s">
        <v>69</v>
      </c>
      <c r="G97" s="7" t="s">
        <v>23</v>
      </c>
      <c r="H97" s="7" t="s">
        <v>53</v>
      </c>
      <c r="I97" s="7">
        <v>45</v>
      </c>
      <c r="J97" s="7">
        <v>97</v>
      </c>
      <c r="K97" s="20">
        <v>39700.81</v>
      </c>
      <c r="L97" s="20">
        <v>156.9</v>
      </c>
      <c r="M97" s="7">
        <v>198.92</v>
      </c>
      <c r="N97" s="20">
        <f>Table15[[#This Row],[Processing Fee]]-Table15[[#This Row],[Discount Applied]]</f>
        <v>-42.019999999999982</v>
      </c>
      <c r="O97" s="7" t="str">
        <f>IF(Table15[[#This Row],[Revenue]]&gt;35000,"Achieved","Not Achieved")</f>
        <v>Achieved</v>
      </c>
      <c r="P97" s="8">
        <v>3</v>
      </c>
      <c r="Q97" s="7" t="str">
        <f>IF(AND(Table15[[#This Row],[CSAT Score]]&lt;=3,Table15[[#This Row],[Revenue]]&gt;=20000),"High-Risk","Stable")</f>
        <v>High-Risk</v>
      </c>
      <c r="R97" s="8" t="str" cm="1">
        <f t="array" ref="R97">_xlfn.IFS(Table15[[#This Row],[Revenue]]&gt;=35000,"Platinum",Table15[[#This Row],[Revenue]]&gt;=15000,"Gold",TRUE,"Standard")</f>
        <v>Platinum</v>
      </c>
      <c r="S97" s="8" t="str">
        <f>IF(OR(Table15[[#This Row],[Product]]="Wealth Management",Table15[[#This Row],[Revenue]]&gt;=40000),"Yes","No")</f>
        <v>No</v>
      </c>
    </row>
    <row r="98" spans="1:19" x14ac:dyDescent="0.3">
      <c r="A98" s="5" t="s">
        <v>156</v>
      </c>
      <c r="B98" s="6">
        <v>45971</v>
      </c>
      <c r="C98" s="7" t="s">
        <v>55</v>
      </c>
      <c r="D98" s="7" t="s">
        <v>68</v>
      </c>
      <c r="E98" s="7" t="s">
        <v>28</v>
      </c>
      <c r="F98" s="7" t="s">
        <v>35</v>
      </c>
      <c r="G98" s="7" t="s">
        <v>56</v>
      </c>
      <c r="H98" s="7" t="s">
        <v>31</v>
      </c>
      <c r="I98" s="7">
        <v>48</v>
      </c>
      <c r="J98" s="7">
        <v>24</v>
      </c>
      <c r="K98" s="20">
        <v>20414.2</v>
      </c>
      <c r="L98" s="20">
        <v>270.18</v>
      </c>
      <c r="M98" s="7">
        <v>144.6</v>
      </c>
      <c r="N98" s="20">
        <f>Table15[[#This Row],[Processing Fee]]-Table15[[#This Row],[Discount Applied]]</f>
        <v>125.58000000000001</v>
      </c>
      <c r="O98" s="7" t="str">
        <f>IF(Table15[[#This Row],[Revenue]]&gt;35000,"Achieved","Not Achieved")</f>
        <v>Not Achieved</v>
      </c>
      <c r="P98" s="8">
        <v>2</v>
      </c>
      <c r="Q98" s="7" t="str">
        <f>IF(AND(Table15[[#This Row],[CSAT Score]]&lt;=3,Table15[[#This Row],[Revenue]]&gt;=20000),"High-Risk","Stable")</f>
        <v>High-Risk</v>
      </c>
      <c r="R98" s="8" t="str" cm="1">
        <f t="array" ref="R98">_xlfn.IFS(Table15[[#This Row],[Revenue]]&gt;=35000,"Platinum",Table15[[#This Row],[Revenue]]&gt;=15000,"Gold",TRUE,"Standard")</f>
        <v>Gold</v>
      </c>
      <c r="S98" s="8" t="str">
        <f>IF(OR(Table15[[#This Row],[Product]]="Wealth Management",Table15[[#This Row],[Revenue]]&gt;=40000),"Yes","No")</f>
        <v>No</v>
      </c>
    </row>
    <row r="99" spans="1:19" x14ac:dyDescent="0.3">
      <c r="A99" s="5" t="s">
        <v>157</v>
      </c>
      <c r="B99" s="6">
        <v>46038</v>
      </c>
      <c r="C99" s="7" t="s">
        <v>26</v>
      </c>
      <c r="D99" s="7" t="s">
        <v>52</v>
      </c>
      <c r="E99" s="7" t="s">
        <v>21</v>
      </c>
      <c r="F99" s="7" t="s">
        <v>22</v>
      </c>
      <c r="G99" s="7" t="s">
        <v>36</v>
      </c>
      <c r="H99" s="7" t="s">
        <v>24</v>
      </c>
      <c r="I99" s="7">
        <v>54</v>
      </c>
      <c r="J99" s="7">
        <v>19</v>
      </c>
      <c r="K99" s="20">
        <v>21535.200000000001</v>
      </c>
      <c r="L99" s="20">
        <v>178.74</v>
      </c>
      <c r="M99" s="7">
        <v>151.19999999999999</v>
      </c>
      <c r="N99" s="20">
        <f>Table15[[#This Row],[Processing Fee]]-Table15[[#This Row],[Discount Applied]]</f>
        <v>27.54000000000002</v>
      </c>
      <c r="O99" s="7" t="str">
        <f>IF(Table15[[#This Row],[Revenue]]&gt;35000,"Achieved","Not Achieved")</f>
        <v>Not Achieved</v>
      </c>
      <c r="P99" s="8">
        <v>4</v>
      </c>
      <c r="Q99" s="7" t="str">
        <f>IF(AND(Table15[[#This Row],[CSAT Score]]&lt;=3,Table15[[#This Row],[Revenue]]&gt;=20000),"High-Risk","Stable")</f>
        <v>Stable</v>
      </c>
      <c r="R99" s="8" t="str" cm="1">
        <f t="array" ref="R99">_xlfn.IFS(Table15[[#This Row],[Revenue]]&gt;=35000,"Platinum",Table15[[#This Row],[Revenue]]&gt;=15000,"Gold",TRUE,"Standard")</f>
        <v>Gold</v>
      </c>
      <c r="S99" s="8" t="str">
        <f>IF(OR(Table15[[#This Row],[Product]]="Wealth Management",Table15[[#This Row],[Revenue]]&gt;=40000),"Yes","No")</f>
        <v>Yes</v>
      </c>
    </row>
    <row r="100" spans="1:19" x14ac:dyDescent="0.3">
      <c r="A100" s="5" t="s">
        <v>158</v>
      </c>
      <c r="B100" s="6">
        <v>46056</v>
      </c>
      <c r="C100" s="7" t="s">
        <v>75</v>
      </c>
      <c r="D100" s="7" t="s">
        <v>34</v>
      </c>
      <c r="E100" s="7" t="s">
        <v>39</v>
      </c>
      <c r="F100" s="7" t="s">
        <v>40</v>
      </c>
      <c r="G100" s="7" t="s">
        <v>56</v>
      </c>
      <c r="H100" s="7" t="s">
        <v>24</v>
      </c>
      <c r="I100" s="7">
        <v>65</v>
      </c>
      <c r="J100" s="7">
        <v>18</v>
      </c>
      <c r="K100" s="20">
        <v>19452.72</v>
      </c>
      <c r="L100" s="20">
        <v>375.25</v>
      </c>
      <c r="M100" s="7">
        <v>90.46</v>
      </c>
      <c r="N100" s="20">
        <f>Table15[[#This Row],[Processing Fee]]-Table15[[#This Row],[Discount Applied]]</f>
        <v>284.79000000000002</v>
      </c>
      <c r="O100" s="7" t="str">
        <f>IF(Table15[[#This Row],[Revenue]]&gt;35000,"Achieved","Not Achieved")</f>
        <v>Not Achieved</v>
      </c>
      <c r="P100" s="8">
        <v>1</v>
      </c>
      <c r="Q100" s="7" t="str">
        <f>IF(AND(Table15[[#This Row],[CSAT Score]]&lt;=3,Table15[[#This Row],[Revenue]]&gt;=20000),"High-Risk","Stable")</f>
        <v>Stable</v>
      </c>
      <c r="R100" s="8" t="str" cm="1">
        <f t="array" ref="R100">_xlfn.IFS(Table15[[#This Row],[Revenue]]&gt;=35000,"Platinum",Table15[[#This Row],[Revenue]]&gt;=15000,"Gold",TRUE,"Standard")</f>
        <v>Gold</v>
      </c>
      <c r="S100" s="8" t="str">
        <f>IF(OR(Table15[[#This Row],[Product]]="Wealth Management",Table15[[#This Row],[Revenue]]&gt;=40000),"Yes","No")</f>
        <v>No</v>
      </c>
    </row>
    <row r="101" spans="1:19" x14ac:dyDescent="0.3">
      <c r="A101" s="5" t="s">
        <v>159</v>
      </c>
      <c r="B101" s="6">
        <v>45984</v>
      </c>
      <c r="C101" s="7" t="s">
        <v>33</v>
      </c>
      <c r="D101" s="7" t="s">
        <v>20</v>
      </c>
      <c r="E101" s="7" t="s">
        <v>39</v>
      </c>
      <c r="F101" s="7" t="s">
        <v>69</v>
      </c>
      <c r="G101" s="7" t="s">
        <v>65</v>
      </c>
      <c r="H101" s="7" t="s">
        <v>24</v>
      </c>
      <c r="I101" s="7">
        <v>68</v>
      </c>
      <c r="J101" s="7">
        <v>64</v>
      </c>
      <c r="K101" s="20">
        <v>36094.239999999998</v>
      </c>
      <c r="L101" s="20">
        <v>475.39</v>
      </c>
      <c r="M101" s="7">
        <v>8.6300000000000008</v>
      </c>
      <c r="N101" s="20">
        <f>Table15[[#This Row],[Processing Fee]]-Table15[[#This Row],[Discount Applied]]</f>
        <v>466.76</v>
      </c>
      <c r="O101" s="7" t="str">
        <f>IF(Table15[[#This Row],[Revenue]]&gt;35000,"Achieved","Not Achieved")</f>
        <v>Achieved</v>
      </c>
      <c r="P101" s="8">
        <v>1</v>
      </c>
      <c r="Q101" s="7" t="str">
        <f>IF(AND(Table15[[#This Row],[CSAT Score]]&lt;=3,Table15[[#This Row],[Revenue]]&gt;=20000),"High-Risk","Stable")</f>
        <v>High-Risk</v>
      </c>
      <c r="R101" s="8" t="str" cm="1">
        <f t="array" ref="R101">_xlfn.IFS(Table15[[#This Row],[Revenue]]&gt;=35000,"Platinum",Table15[[#This Row],[Revenue]]&gt;=15000,"Gold",TRUE,"Standard")</f>
        <v>Platinum</v>
      </c>
      <c r="S101" s="8" t="str">
        <f>IF(OR(Table15[[#This Row],[Product]]="Wealth Management",Table15[[#This Row],[Revenue]]&gt;=40000),"Yes","No")</f>
        <v>No</v>
      </c>
    </row>
    <row r="102" spans="1:19" x14ac:dyDescent="0.3">
      <c r="A102" s="5" t="s">
        <v>160</v>
      </c>
      <c r="B102" s="6">
        <v>46136</v>
      </c>
      <c r="C102" s="7" t="s">
        <v>19</v>
      </c>
      <c r="D102" s="7" t="s">
        <v>52</v>
      </c>
      <c r="E102" s="7" t="s">
        <v>59</v>
      </c>
      <c r="F102" s="7" t="s">
        <v>35</v>
      </c>
      <c r="G102" s="7" t="s">
        <v>65</v>
      </c>
      <c r="H102" s="7" t="s">
        <v>57</v>
      </c>
      <c r="I102" s="7">
        <v>67</v>
      </c>
      <c r="J102" s="7">
        <v>113</v>
      </c>
      <c r="K102" s="20">
        <v>27602.14</v>
      </c>
      <c r="L102" s="20">
        <v>462.68</v>
      </c>
      <c r="M102" s="7">
        <v>61.92</v>
      </c>
      <c r="N102" s="20">
        <f>Table15[[#This Row],[Processing Fee]]-Table15[[#This Row],[Discount Applied]]</f>
        <v>400.76</v>
      </c>
      <c r="O102" s="7" t="str">
        <f>IF(Table15[[#This Row],[Revenue]]&gt;35000,"Achieved","Not Achieved")</f>
        <v>Not Achieved</v>
      </c>
      <c r="P102" s="8">
        <v>5</v>
      </c>
      <c r="Q102" s="7" t="str">
        <f>IF(AND(Table15[[#This Row],[CSAT Score]]&lt;=3,Table15[[#This Row],[Revenue]]&gt;=20000),"High-Risk","Stable")</f>
        <v>Stable</v>
      </c>
      <c r="R102" s="8" t="str" cm="1">
        <f t="array" ref="R102">_xlfn.IFS(Table15[[#This Row],[Revenue]]&gt;=35000,"Platinum",Table15[[#This Row],[Revenue]]&gt;=15000,"Gold",TRUE,"Standard")</f>
        <v>Gold</v>
      </c>
      <c r="S102" s="8" t="str">
        <f>IF(OR(Table15[[#This Row],[Product]]="Wealth Management",Table15[[#This Row],[Revenue]]&gt;=40000),"Yes","No")</f>
        <v>No</v>
      </c>
    </row>
    <row r="103" spans="1:19" x14ac:dyDescent="0.3">
      <c r="A103" s="5" t="s">
        <v>161</v>
      </c>
      <c r="B103" s="6">
        <v>46228</v>
      </c>
      <c r="C103" s="7" t="s">
        <v>55</v>
      </c>
      <c r="D103" s="7" t="s">
        <v>45</v>
      </c>
      <c r="E103" s="7" t="s">
        <v>59</v>
      </c>
      <c r="F103" s="7" t="s">
        <v>40</v>
      </c>
      <c r="G103" s="7" t="s">
        <v>36</v>
      </c>
      <c r="H103" s="7" t="s">
        <v>53</v>
      </c>
      <c r="I103" s="7">
        <v>45</v>
      </c>
      <c r="J103" s="7">
        <v>116</v>
      </c>
      <c r="K103" s="20">
        <v>47217.02</v>
      </c>
      <c r="L103" s="20">
        <v>312.54000000000002</v>
      </c>
      <c r="M103" s="7">
        <v>64.02</v>
      </c>
      <c r="N103" s="20">
        <f>Table15[[#This Row],[Processing Fee]]-Table15[[#This Row],[Discount Applied]]</f>
        <v>248.52000000000004</v>
      </c>
      <c r="O103" s="7" t="str">
        <f>IF(Table15[[#This Row],[Revenue]]&gt;35000,"Achieved","Not Achieved")</f>
        <v>Achieved</v>
      </c>
      <c r="P103" s="8">
        <v>5</v>
      </c>
      <c r="Q103" s="7" t="str">
        <f>IF(AND(Table15[[#This Row],[CSAT Score]]&lt;=3,Table15[[#This Row],[Revenue]]&gt;=20000),"High-Risk","Stable")</f>
        <v>Stable</v>
      </c>
      <c r="R103" s="8" t="str" cm="1">
        <f t="array" ref="R103">_xlfn.IFS(Table15[[#This Row],[Revenue]]&gt;=35000,"Platinum",Table15[[#This Row],[Revenue]]&gt;=15000,"Gold",TRUE,"Standard")</f>
        <v>Platinum</v>
      </c>
      <c r="S103" s="8" t="str">
        <f>IF(OR(Table15[[#This Row],[Product]]="Wealth Management",Table15[[#This Row],[Revenue]]&gt;=40000),"Yes","No")</f>
        <v>Yes</v>
      </c>
    </row>
    <row r="104" spans="1:19" x14ac:dyDescent="0.3">
      <c r="A104" s="5" t="s">
        <v>162</v>
      </c>
      <c r="B104" s="6">
        <v>46030</v>
      </c>
      <c r="C104" s="7" t="s">
        <v>55</v>
      </c>
      <c r="D104" s="7" t="s">
        <v>61</v>
      </c>
      <c r="E104" s="7" t="s">
        <v>21</v>
      </c>
      <c r="F104" s="7" t="s">
        <v>29</v>
      </c>
      <c r="G104" s="7" t="s">
        <v>23</v>
      </c>
      <c r="H104" s="7" t="s">
        <v>24</v>
      </c>
      <c r="I104" s="7">
        <v>30</v>
      </c>
      <c r="J104" s="7">
        <v>88</v>
      </c>
      <c r="K104" s="20">
        <v>12919.07</v>
      </c>
      <c r="L104" s="20">
        <v>258.17</v>
      </c>
      <c r="M104" s="7">
        <v>167.67</v>
      </c>
      <c r="N104" s="20">
        <f>Table15[[#This Row],[Processing Fee]]-Table15[[#This Row],[Discount Applied]]</f>
        <v>90.500000000000028</v>
      </c>
      <c r="O104" s="7" t="str">
        <f>IF(Table15[[#This Row],[Revenue]]&gt;35000,"Achieved","Not Achieved")</f>
        <v>Not Achieved</v>
      </c>
      <c r="P104" s="8">
        <v>2</v>
      </c>
      <c r="Q104" s="7" t="str">
        <f>IF(AND(Table15[[#This Row],[CSAT Score]]&lt;=3,Table15[[#This Row],[Revenue]]&gt;=20000),"High-Risk","Stable")</f>
        <v>Stable</v>
      </c>
      <c r="R104" s="8" t="str" cm="1">
        <f t="array" ref="R104">_xlfn.IFS(Table15[[#This Row],[Revenue]]&gt;=35000,"Platinum",Table15[[#This Row],[Revenue]]&gt;=15000,"Gold",TRUE,"Standard")</f>
        <v>Standard</v>
      </c>
      <c r="S104" s="8" t="str">
        <f>IF(OR(Table15[[#This Row],[Product]]="Wealth Management",Table15[[#This Row],[Revenue]]&gt;=40000),"Yes","No")</f>
        <v>No</v>
      </c>
    </row>
    <row r="105" spans="1:19" x14ac:dyDescent="0.3">
      <c r="A105" s="5" t="s">
        <v>163</v>
      </c>
      <c r="B105" s="6">
        <v>46049</v>
      </c>
      <c r="C105" s="7" t="s">
        <v>26</v>
      </c>
      <c r="D105" s="7" t="s">
        <v>61</v>
      </c>
      <c r="E105" s="7" t="s">
        <v>46</v>
      </c>
      <c r="F105" s="7" t="s">
        <v>29</v>
      </c>
      <c r="G105" s="7" t="s">
        <v>23</v>
      </c>
      <c r="H105" s="7" t="s">
        <v>31</v>
      </c>
      <c r="I105" s="7">
        <v>34</v>
      </c>
      <c r="J105" s="7">
        <v>109</v>
      </c>
      <c r="K105" s="20">
        <v>5477.86</v>
      </c>
      <c r="L105" s="20">
        <v>418.24</v>
      </c>
      <c r="M105" s="7">
        <v>196.27</v>
      </c>
      <c r="N105" s="20">
        <f>Table15[[#This Row],[Processing Fee]]-Table15[[#This Row],[Discount Applied]]</f>
        <v>221.97</v>
      </c>
      <c r="O105" s="7" t="str">
        <f>IF(Table15[[#This Row],[Revenue]]&gt;35000,"Achieved","Not Achieved")</f>
        <v>Not Achieved</v>
      </c>
      <c r="P105" s="8">
        <v>3</v>
      </c>
      <c r="Q105" s="7" t="str">
        <f>IF(AND(Table15[[#This Row],[CSAT Score]]&lt;=3,Table15[[#This Row],[Revenue]]&gt;=20000),"High-Risk","Stable")</f>
        <v>Stable</v>
      </c>
      <c r="R105" s="8" t="str" cm="1">
        <f t="array" ref="R105">_xlfn.IFS(Table15[[#This Row],[Revenue]]&gt;=35000,"Platinum",Table15[[#This Row],[Revenue]]&gt;=15000,"Gold",TRUE,"Standard")</f>
        <v>Standard</v>
      </c>
      <c r="S105" s="8" t="str">
        <f>IF(OR(Table15[[#This Row],[Product]]="Wealth Management",Table15[[#This Row],[Revenue]]&gt;=40000),"Yes","No")</f>
        <v>No</v>
      </c>
    </row>
    <row r="106" spans="1:19" x14ac:dyDescent="0.3">
      <c r="A106" s="5" t="s">
        <v>164</v>
      </c>
      <c r="B106" s="6">
        <v>46191</v>
      </c>
      <c r="C106" s="7" t="s">
        <v>55</v>
      </c>
      <c r="D106" s="7" t="s">
        <v>83</v>
      </c>
      <c r="E106" s="7" t="s">
        <v>28</v>
      </c>
      <c r="F106" s="7" t="s">
        <v>40</v>
      </c>
      <c r="G106" s="7" t="s">
        <v>30</v>
      </c>
      <c r="H106" s="7" t="s">
        <v>24</v>
      </c>
      <c r="I106" s="7">
        <v>62</v>
      </c>
      <c r="J106" s="7">
        <v>35</v>
      </c>
      <c r="K106" s="20">
        <v>19966.439999999999</v>
      </c>
      <c r="L106" s="20">
        <v>357.5</v>
      </c>
      <c r="M106" s="7">
        <v>55.09</v>
      </c>
      <c r="N106" s="20">
        <f>Table15[[#This Row],[Processing Fee]]-Table15[[#This Row],[Discount Applied]]</f>
        <v>302.40999999999997</v>
      </c>
      <c r="O106" s="7" t="str">
        <f>IF(Table15[[#This Row],[Revenue]]&gt;35000,"Achieved","Not Achieved")</f>
        <v>Not Achieved</v>
      </c>
      <c r="P106" s="8">
        <v>1</v>
      </c>
      <c r="Q106" s="7" t="str">
        <f>IF(AND(Table15[[#This Row],[CSAT Score]]&lt;=3,Table15[[#This Row],[Revenue]]&gt;=20000),"High-Risk","Stable")</f>
        <v>Stable</v>
      </c>
      <c r="R106" s="8" t="str" cm="1">
        <f t="array" ref="R106">_xlfn.IFS(Table15[[#This Row],[Revenue]]&gt;=35000,"Platinum",Table15[[#This Row],[Revenue]]&gt;=15000,"Gold",TRUE,"Standard")</f>
        <v>Gold</v>
      </c>
      <c r="S106" s="8" t="str">
        <f>IF(OR(Table15[[#This Row],[Product]]="Wealth Management",Table15[[#This Row],[Revenue]]&gt;=40000),"Yes","No")</f>
        <v>No</v>
      </c>
    </row>
    <row r="107" spans="1:19" x14ac:dyDescent="0.3">
      <c r="A107" s="5" t="s">
        <v>165</v>
      </c>
      <c r="B107" s="6">
        <v>46005</v>
      </c>
      <c r="C107" s="7" t="s">
        <v>55</v>
      </c>
      <c r="D107" s="7" t="s">
        <v>38</v>
      </c>
      <c r="E107" s="7" t="s">
        <v>59</v>
      </c>
      <c r="F107" s="7" t="s">
        <v>69</v>
      </c>
      <c r="G107" s="7" t="s">
        <v>36</v>
      </c>
      <c r="H107" s="7" t="s">
        <v>24</v>
      </c>
      <c r="I107" s="7">
        <v>66</v>
      </c>
      <c r="J107" s="7">
        <v>62</v>
      </c>
      <c r="K107" s="20">
        <v>31027.279999999999</v>
      </c>
      <c r="L107" s="20">
        <v>132.6</v>
      </c>
      <c r="M107" s="7">
        <v>193.55</v>
      </c>
      <c r="N107" s="20">
        <f>Table15[[#This Row],[Processing Fee]]-Table15[[#This Row],[Discount Applied]]</f>
        <v>-60.950000000000017</v>
      </c>
      <c r="O107" s="7" t="str">
        <f>IF(Table15[[#This Row],[Revenue]]&gt;35000,"Achieved","Not Achieved")</f>
        <v>Not Achieved</v>
      </c>
      <c r="P107" s="8">
        <v>2</v>
      </c>
      <c r="Q107" s="7" t="str">
        <f>IF(AND(Table15[[#This Row],[CSAT Score]]&lt;=3,Table15[[#This Row],[Revenue]]&gt;=20000),"High-Risk","Stable")</f>
        <v>High-Risk</v>
      </c>
      <c r="R107" s="8" t="str" cm="1">
        <f t="array" ref="R107">_xlfn.IFS(Table15[[#This Row],[Revenue]]&gt;=35000,"Platinum",Table15[[#This Row],[Revenue]]&gt;=15000,"Gold",TRUE,"Standard")</f>
        <v>Gold</v>
      </c>
      <c r="S107" s="8" t="str">
        <f>IF(OR(Table15[[#This Row],[Product]]="Wealth Management",Table15[[#This Row],[Revenue]]&gt;=40000),"Yes","No")</f>
        <v>No</v>
      </c>
    </row>
    <row r="108" spans="1:19" x14ac:dyDescent="0.3">
      <c r="A108" s="5" t="s">
        <v>166</v>
      </c>
      <c r="B108" s="6">
        <v>45979</v>
      </c>
      <c r="C108" s="7" t="s">
        <v>75</v>
      </c>
      <c r="D108" s="7" t="s">
        <v>34</v>
      </c>
      <c r="E108" s="7" t="s">
        <v>39</v>
      </c>
      <c r="F108" s="7" t="s">
        <v>29</v>
      </c>
      <c r="G108" s="7" t="s">
        <v>56</v>
      </c>
      <c r="H108" s="7" t="s">
        <v>53</v>
      </c>
      <c r="I108" s="7">
        <v>50</v>
      </c>
      <c r="J108" s="7">
        <v>1</v>
      </c>
      <c r="K108" s="20">
        <v>43109.55</v>
      </c>
      <c r="L108" s="20">
        <v>419.41</v>
      </c>
      <c r="M108" s="7">
        <v>64.31</v>
      </c>
      <c r="N108" s="20">
        <f>Table15[[#This Row],[Processing Fee]]-Table15[[#This Row],[Discount Applied]]</f>
        <v>355.1</v>
      </c>
      <c r="O108" s="7" t="str">
        <f>IF(Table15[[#This Row],[Revenue]]&gt;35000,"Achieved","Not Achieved")</f>
        <v>Achieved</v>
      </c>
      <c r="P108" s="8">
        <v>5</v>
      </c>
      <c r="Q108" s="7" t="str">
        <f>IF(AND(Table15[[#This Row],[CSAT Score]]&lt;=3,Table15[[#This Row],[Revenue]]&gt;=20000),"High-Risk","Stable")</f>
        <v>Stable</v>
      </c>
      <c r="R108" s="8" t="str" cm="1">
        <f t="array" ref="R108">_xlfn.IFS(Table15[[#This Row],[Revenue]]&gt;=35000,"Platinum",Table15[[#This Row],[Revenue]]&gt;=15000,"Gold",TRUE,"Standard")</f>
        <v>Platinum</v>
      </c>
      <c r="S108" s="8" t="str">
        <f>IF(OR(Table15[[#This Row],[Product]]="Wealth Management",Table15[[#This Row],[Revenue]]&gt;=40000),"Yes","No")</f>
        <v>Yes</v>
      </c>
    </row>
    <row r="109" spans="1:19" x14ac:dyDescent="0.3">
      <c r="A109" s="5" t="s">
        <v>167</v>
      </c>
      <c r="B109" s="6">
        <v>46067</v>
      </c>
      <c r="C109" s="7" t="s">
        <v>26</v>
      </c>
      <c r="D109" s="7" t="s">
        <v>27</v>
      </c>
      <c r="E109" s="7" t="s">
        <v>21</v>
      </c>
      <c r="F109" s="7" t="s">
        <v>22</v>
      </c>
      <c r="G109" s="7" t="s">
        <v>36</v>
      </c>
      <c r="H109" s="7" t="s">
        <v>53</v>
      </c>
      <c r="I109" s="7">
        <v>61</v>
      </c>
      <c r="J109" s="7">
        <v>100</v>
      </c>
      <c r="K109" s="20">
        <v>17636.75</v>
      </c>
      <c r="L109" s="20">
        <v>243</v>
      </c>
      <c r="M109" s="7">
        <v>199.65</v>
      </c>
      <c r="N109" s="20">
        <f>Table15[[#This Row],[Processing Fee]]-Table15[[#This Row],[Discount Applied]]</f>
        <v>43.349999999999994</v>
      </c>
      <c r="O109" s="7" t="str">
        <f>IF(Table15[[#This Row],[Revenue]]&gt;35000,"Achieved","Not Achieved")</f>
        <v>Not Achieved</v>
      </c>
      <c r="P109" s="8">
        <v>5</v>
      </c>
      <c r="Q109" s="7" t="str">
        <f>IF(AND(Table15[[#This Row],[CSAT Score]]&lt;=3,Table15[[#This Row],[Revenue]]&gt;=20000),"High-Risk","Stable")</f>
        <v>Stable</v>
      </c>
      <c r="R109" s="8" t="str" cm="1">
        <f t="array" ref="R109">_xlfn.IFS(Table15[[#This Row],[Revenue]]&gt;=35000,"Platinum",Table15[[#This Row],[Revenue]]&gt;=15000,"Gold",TRUE,"Standard")</f>
        <v>Gold</v>
      </c>
      <c r="S109" s="8" t="str">
        <f>IF(OR(Table15[[#This Row],[Product]]="Wealth Management",Table15[[#This Row],[Revenue]]&gt;=40000),"Yes","No")</f>
        <v>Yes</v>
      </c>
    </row>
    <row r="110" spans="1:19" x14ac:dyDescent="0.3">
      <c r="A110" s="5" t="s">
        <v>168</v>
      </c>
      <c r="B110" s="6">
        <v>45948</v>
      </c>
      <c r="C110" s="7" t="s">
        <v>75</v>
      </c>
      <c r="D110" s="7" t="s">
        <v>27</v>
      </c>
      <c r="E110" s="7" t="s">
        <v>28</v>
      </c>
      <c r="F110" s="7" t="s">
        <v>40</v>
      </c>
      <c r="G110" s="7" t="s">
        <v>30</v>
      </c>
      <c r="H110" s="7" t="s">
        <v>53</v>
      </c>
      <c r="I110" s="7">
        <v>45</v>
      </c>
      <c r="J110" s="7">
        <v>25</v>
      </c>
      <c r="K110" s="20">
        <v>32862.44</v>
      </c>
      <c r="L110" s="20">
        <v>135.04</v>
      </c>
      <c r="M110" s="7">
        <v>199.23</v>
      </c>
      <c r="N110" s="20">
        <f>Table15[[#This Row],[Processing Fee]]-Table15[[#This Row],[Discount Applied]]</f>
        <v>-64.19</v>
      </c>
      <c r="O110" s="7" t="str">
        <f>IF(Table15[[#This Row],[Revenue]]&gt;35000,"Achieved","Not Achieved")</f>
        <v>Not Achieved</v>
      </c>
      <c r="P110" s="8">
        <v>1</v>
      </c>
      <c r="Q110" s="7" t="str">
        <f>IF(AND(Table15[[#This Row],[CSAT Score]]&lt;=3,Table15[[#This Row],[Revenue]]&gt;=20000),"High-Risk","Stable")</f>
        <v>High-Risk</v>
      </c>
      <c r="R110" s="8" t="str" cm="1">
        <f t="array" ref="R110">_xlfn.IFS(Table15[[#This Row],[Revenue]]&gt;=35000,"Platinum",Table15[[#This Row],[Revenue]]&gt;=15000,"Gold",TRUE,"Standard")</f>
        <v>Gold</v>
      </c>
      <c r="S110" s="8" t="str">
        <f>IF(OR(Table15[[#This Row],[Product]]="Wealth Management",Table15[[#This Row],[Revenue]]&gt;=40000),"Yes","No")</f>
        <v>No</v>
      </c>
    </row>
    <row r="111" spans="1:19" x14ac:dyDescent="0.3">
      <c r="A111" s="5" t="s">
        <v>169</v>
      </c>
      <c r="B111" s="6">
        <v>45971</v>
      </c>
      <c r="C111" s="7" t="s">
        <v>19</v>
      </c>
      <c r="D111" s="7" t="s">
        <v>87</v>
      </c>
      <c r="E111" s="7" t="s">
        <v>21</v>
      </c>
      <c r="F111" s="7" t="s">
        <v>40</v>
      </c>
      <c r="G111" s="7" t="s">
        <v>36</v>
      </c>
      <c r="H111" s="7" t="s">
        <v>57</v>
      </c>
      <c r="I111" s="7">
        <v>34</v>
      </c>
      <c r="J111" s="7">
        <v>45</v>
      </c>
      <c r="K111" s="20">
        <v>17834.830000000002</v>
      </c>
      <c r="L111" s="20">
        <v>176.81</v>
      </c>
      <c r="M111" s="7">
        <v>38.24</v>
      </c>
      <c r="N111" s="20">
        <f>Table15[[#This Row],[Processing Fee]]-Table15[[#This Row],[Discount Applied]]</f>
        <v>138.57</v>
      </c>
      <c r="O111" s="7" t="str">
        <f>IF(Table15[[#This Row],[Revenue]]&gt;35000,"Achieved","Not Achieved")</f>
        <v>Not Achieved</v>
      </c>
      <c r="P111" s="8">
        <v>5</v>
      </c>
      <c r="Q111" s="7" t="str">
        <f>IF(AND(Table15[[#This Row],[CSAT Score]]&lt;=3,Table15[[#This Row],[Revenue]]&gt;=20000),"High-Risk","Stable")</f>
        <v>Stable</v>
      </c>
      <c r="R111" s="8" t="str" cm="1">
        <f t="array" ref="R111">_xlfn.IFS(Table15[[#This Row],[Revenue]]&gt;=35000,"Platinum",Table15[[#This Row],[Revenue]]&gt;=15000,"Gold",TRUE,"Standard")</f>
        <v>Gold</v>
      </c>
      <c r="S111" s="8" t="str">
        <f>IF(OR(Table15[[#This Row],[Product]]="Wealth Management",Table15[[#This Row],[Revenue]]&gt;=40000),"Yes","No")</f>
        <v>No</v>
      </c>
    </row>
    <row r="112" spans="1:19" x14ac:dyDescent="0.3">
      <c r="A112" s="5" t="s">
        <v>170</v>
      </c>
      <c r="B112" s="6">
        <v>45910</v>
      </c>
      <c r="C112" s="7" t="s">
        <v>44</v>
      </c>
      <c r="D112" s="7" t="s">
        <v>27</v>
      </c>
      <c r="E112" s="7" t="s">
        <v>28</v>
      </c>
      <c r="F112" s="7" t="s">
        <v>29</v>
      </c>
      <c r="G112" s="7" t="s">
        <v>36</v>
      </c>
      <c r="H112" s="7" t="s">
        <v>57</v>
      </c>
      <c r="I112" s="7">
        <v>55</v>
      </c>
      <c r="J112" s="7">
        <v>49</v>
      </c>
      <c r="K112" s="20">
        <v>31052.37</v>
      </c>
      <c r="L112" s="20">
        <v>170.39</v>
      </c>
      <c r="M112" s="7">
        <v>62.55</v>
      </c>
      <c r="N112" s="20">
        <f>Table15[[#This Row],[Processing Fee]]-Table15[[#This Row],[Discount Applied]]</f>
        <v>107.83999999999999</v>
      </c>
      <c r="O112" s="7" t="str">
        <f>IF(Table15[[#This Row],[Revenue]]&gt;35000,"Achieved","Not Achieved")</f>
        <v>Not Achieved</v>
      </c>
      <c r="P112" s="8">
        <v>5</v>
      </c>
      <c r="Q112" s="7" t="str">
        <f>IF(AND(Table15[[#This Row],[CSAT Score]]&lt;=3,Table15[[#This Row],[Revenue]]&gt;=20000),"High-Risk","Stable")</f>
        <v>Stable</v>
      </c>
      <c r="R112" s="8" t="str" cm="1">
        <f t="array" ref="R112">_xlfn.IFS(Table15[[#This Row],[Revenue]]&gt;=35000,"Platinum",Table15[[#This Row],[Revenue]]&gt;=15000,"Gold",TRUE,"Standard")</f>
        <v>Gold</v>
      </c>
      <c r="S112" s="8" t="str">
        <f>IF(OR(Table15[[#This Row],[Product]]="Wealth Management",Table15[[#This Row],[Revenue]]&gt;=40000),"Yes","No")</f>
        <v>No</v>
      </c>
    </row>
    <row r="113" spans="1:19" x14ac:dyDescent="0.3">
      <c r="A113" s="5" t="s">
        <v>171</v>
      </c>
      <c r="B113" s="6">
        <v>46133</v>
      </c>
      <c r="C113" s="7" t="s">
        <v>19</v>
      </c>
      <c r="D113" s="7" t="s">
        <v>45</v>
      </c>
      <c r="E113" s="7" t="s">
        <v>28</v>
      </c>
      <c r="F113" s="7" t="s">
        <v>69</v>
      </c>
      <c r="G113" s="7" t="s">
        <v>30</v>
      </c>
      <c r="H113" s="7" t="s">
        <v>24</v>
      </c>
      <c r="I113" s="7">
        <v>72</v>
      </c>
      <c r="J113" s="7">
        <v>107</v>
      </c>
      <c r="K113" s="20">
        <v>44297.99</v>
      </c>
      <c r="L113" s="20">
        <v>283.64</v>
      </c>
      <c r="M113" s="7">
        <v>97.21</v>
      </c>
      <c r="N113" s="20">
        <f>Table15[[#This Row],[Processing Fee]]-Table15[[#This Row],[Discount Applied]]</f>
        <v>186.43</v>
      </c>
      <c r="O113" s="7" t="str">
        <f>IF(Table15[[#This Row],[Revenue]]&gt;35000,"Achieved","Not Achieved")</f>
        <v>Achieved</v>
      </c>
      <c r="P113" s="8">
        <v>4</v>
      </c>
      <c r="Q113" s="7" t="str">
        <f>IF(AND(Table15[[#This Row],[CSAT Score]]&lt;=3,Table15[[#This Row],[Revenue]]&gt;=20000),"High-Risk","Stable")</f>
        <v>Stable</v>
      </c>
      <c r="R113" s="8" t="str" cm="1">
        <f t="array" ref="R113">_xlfn.IFS(Table15[[#This Row],[Revenue]]&gt;=35000,"Platinum",Table15[[#This Row],[Revenue]]&gt;=15000,"Gold",TRUE,"Standard")</f>
        <v>Platinum</v>
      </c>
      <c r="S113" s="8" t="str">
        <f>IF(OR(Table15[[#This Row],[Product]]="Wealth Management",Table15[[#This Row],[Revenue]]&gt;=40000),"Yes","No")</f>
        <v>Yes</v>
      </c>
    </row>
    <row r="114" spans="1:19" x14ac:dyDescent="0.3">
      <c r="A114" s="5" t="s">
        <v>172</v>
      </c>
      <c r="B114" s="6">
        <v>45995</v>
      </c>
      <c r="C114" s="7" t="s">
        <v>44</v>
      </c>
      <c r="D114" s="7" t="s">
        <v>45</v>
      </c>
      <c r="E114" s="7" t="s">
        <v>59</v>
      </c>
      <c r="F114" s="7" t="s">
        <v>22</v>
      </c>
      <c r="G114" s="7" t="s">
        <v>23</v>
      </c>
      <c r="H114" s="7" t="s">
        <v>53</v>
      </c>
      <c r="I114" s="7">
        <v>68</v>
      </c>
      <c r="J114" s="7">
        <v>98</v>
      </c>
      <c r="K114" s="20">
        <v>11952.2</v>
      </c>
      <c r="L114" s="20">
        <v>155.47</v>
      </c>
      <c r="M114" s="7">
        <v>132.82</v>
      </c>
      <c r="N114" s="20">
        <f>Table15[[#This Row],[Processing Fee]]-Table15[[#This Row],[Discount Applied]]</f>
        <v>22.650000000000006</v>
      </c>
      <c r="O114" s="7" t="str">
        <f>IF(Table15[[#This Row],[Revenue]]&gt;35000,"Achieved","Not Achieved")</f>
        <v>Not Achieved</v>
      </c>
      <c r="P114" s="8">
        <v>3</v>
      </c>
      <c r="Q114" s="7" t="str">
        <f>IF(AND(Table15[[#This Row],[CSAT Score]]&lt;=3,Table15[[#This Row],[Revenue]]&gt;=20000),"High-Risk","Stable")</f>
        <v>Stable</v>
      </c>
      <c r="R114" s="8" t="str" cm="1">
        <f t="array" ref="R114">_xlfn.IFS(Table15[[#This Row],[Revenue]]&gt;=35000,"Platinum",Table15[[#This Row],[Revenue]]&gt;=15000,"Gold",TRUE,"Standard")</f>
        <v>Standard</v>
      </c>
      <c r="S114" s="8" t="str">
        <f>IF(OR(Table15[[#This Row],[Product]]="Wealth Management",Table15[[#This Row],[Revenue]]&gt;=40000),"Yes","No")</f>
        <v>Yes</v>
      </c>
    </row>
    <row r="115" spans="1:19" x14ac:dyDescent="0.3">
      <c r="A115" s="5" t="s">
        <v>173</v>
      </c>
      <c r="B115" s="6">
        <v>45966</v>
      </c>
      <c r="C115" s="7" t="s">
        <v>75</v>
      </c>
      <c r="D115" s="7" t="s">
        <v>61</v>
      </c>
      <c r="E115" s="7" t="s">
        <v>21</v>
      </c>
      <c r="F115" s="7" t="s">
        <v>69</v>
      </c>
      <c r="G115" s="7" t="s">
        <v>56</v>
      </c>
      <c r="H115" s="7" t="s">
        <v>24</v>
      </c>
      <c r="I115" s="7">
        <v>54</v>
      </c>
      <c r="J115" s="7">
        <v>89</v>
      </c>
      <c r="K115" s="20">
        <v>20509.96</v>
      </c>
      <c r="L115" s="20">
        <v>105.6</v>
      </c>
      <c r="M115" s="7">
        <v>105.61</v>
      </c>
      <c r="N115" s="20">
        <f>Table15[[#This Row],[Processing Fee]]-Table15[[#This Row],[Discount Applied]]</f>
        <v>-1.0000000000005116E-2</v>
      </c>
      <c r="O115" s="7" t="str">
        <f>IF(Table15[[#This Row],[Revenue]]&gt;35000,"Achieved","Not Achieved")</f>
        <v>Not Achieved</v>
      </c>
      <c r="P115" s="8">
        <v>5</v>
      </c>
      <c r="Q115" s="7" t="str">
        <f>IF(AND(Table15[[#This Row],[CSAT Score]]&lt;=3,Table15[[#This Row],[Revenue]]&gt;=20000),"High-Risk","Stable")</f>
        <v>Stable</v>
      </c>
      <c r="R115" s="8" t="str" cm="1">
        <f t="array" ref="R115">_xlfn.IFS(Table15[[#This Row],[Revenue]]&gt;=35000,"Platinum",Table15[[#This Row],[Revenue]]&gt;=15000,"Gold",TRUE,"Standard")</f>
        <v>Gold</v>
      </c>
      <c r="S115" s="8" t="str">
        <f>IF(OR(Table15[[#This Row],[Product]]="Wealth Management",Table15[[#This Row],[Revenue]]&gt;=40000),"Yes","No")</f>
        <v>No</v>
      </c>
    </row>
    <row r="116" spans="1:19" x14ac:dyDescent="0.3">
      <c r="A116" s="5" t="s">
        <v>174</v>
      </c>
      <c r="B116" s="6">
        <v>45950</v>
      </c>
      <c r="C116" s="7" t="s">
        <v>19</v>
      </c>
      <c r="D116" s="7" t="s">
        <v>68</v>
      </c>
      <c r="E116" s="7" t="s">
        <v>21</v>
      </c>
      <c r="F116" s="7" t="s">
        <v>35</v>
      </c>
      <c r="G116" s="7" t="s">
        <v>30</v>
      </c>
      <c r="H116" s="7" t="s">
        <v>31</v>
      </c>
      <c r="I116" s="7">
        <v>30</v>
      </c>
      <c r="J116" s="7">
        <v>16</v>
      </c>
      <c r="K116" s="20">
        <v>49666.63</v>
      </c>
      <c r="L116" s="20">
        <v>105.66</v>
      </c>
      <c r="M116" s="7">
        <v>290.83</v>
      </c>
      <c r="N116" s="20">
        <f>Table15[[#This Row],[Processing Fee]]-Table15[[#This Row],[Discount Applied]]</f>
        <v>-185.17</v>
      </c>
      <c r="O116" s="7" t="str">
        <f>IF(Table15[[#This Row],[Revenue]]&gt;35000,"Achieved","Not Achieved")</f>
        <v>Achieved</v>
      </c>
      <c r="P116" s="8">
        <v>4</v>
      </c>
      <c r="Q116" s="7" t="str">
        <f>IF(AND(Table15[[#This Row],[CSAT Score]]&lt;=3,Table15[[#This Row],[Revenue]]&gt;=20000),"High-Risk","Stable")</f>
        <v>Stable</v>
      </c>
      <c r="R116" s="8" t="str" cm="1">
        <f t="array" ref="R116">_xlfn.IFS(Table15[[#This Row],[Revenue]]&gt;=35000,"Platinum",Table15[[#This Row],[Revenue]]&gt;=15000,"Gold",TRUE,"Standard")</f>
        <v>Platinum</v>
      </c>
      <c r="S116" s="8" t="str">
        <f>IF(OR(Table15[[#This Row],[Product]]="Wealth Management",Table15[[#This Row],[Revenue]]&gt;=40000),"Yes","No")</f>
        <v>Yes</v>
      </c>
    </row>
    <row r="117" spans="1:19" x14ac:dyDescent="0.3">
      <c r="A117" s="5" t="s">
        <v>175</v>
      </c>
      <c r="B117" s="6">
        <v>45941</v>
      </c>
      <c r="C117" s="7" t="s">
        <v>26</v>
      </c>
      <c r="D117" s="7" t="s">
        <v>83</v>
      </c>
      <c r="E117" s="7" t="s">
        <v>39</v>
      </c>
      <c r="F117" s="7" t="s">
        <v>35</v>
      </c>
      <c r="G117" s="7" t="s">
        <v>65</v>
      </c>
      <c r="H117" s="7" t="s">
        <v>31</v>
      </c>
      <c r="I117" s="7">
        <v>55</v>
      </c>
      <c r="J117" s="7">
        <v>98</v>
      </c>
      <c r="K117" s="20">
        <v>43493.57</v>
      </c>
      <c r="L117" s="20">
        <v>312.47000000000003</v>
      </c>
      <c r="M117" s="7">
        <v>217.2</v>
      </c>
      <c r="N117" s="20">
        <f>Table15[[#This Row],[Processing Fee]]-Table15[[#This Row],[Discount Applied]]</f>
        <v>95.270000000000039</v>
      </c>
      <c r="O117" s="7" t="str">
        <f>IF(Table15[[#This Row],[Revenue]]&gt;35000,"Achieved","Not Achieved")</f>
        <v>Achieved</v>
      </c>
      <c r="P117" s="8">
        <v>2</v>
      </c>
      <c r="Q117" s="7" t="str">
        <f>IF(AND(Table15[[#This Row],[CSAT Score]]&lt;=3,Table15[[#This Row],[Revenue]]&gt;=20000),"High-Risk","Stable")</f>
        <v>High-Risk</v>
      </c>
      <c r="R117" s="8" t="str" cm="1">
        <f t="array" ref="R117">_xlfn.IFS(Table15[[#This Row],[Revenue]]&gt;=35000,"Platinum",Table15[[#This Row],[Revenue]]&gt;=15000,"Gold",TRUE,"Standard")</f>
        <v>Platinum</v>
      </c>
      <c r="S117" s="8" t="str">
        <f>IF(OR(Table15[[#This Row],[Product]]="Wealth Management",Table15[[#This Row],[Revenue]]&gt;=40000),"Yes","No")</f>
        <v>Yes</v>
      </c>
    </row>
    <row r="118" spans="1:19" x14ac:dyDescent="0.3">
      <c r="A118" s="5" t="s">
        <v>176</v>
      </c>
      <c r="B118" s="6">
        <v>46192</v>
      </c>
      <c r="C118" s="7" t="s">
        <v>91</v>
      </c>
      <c r="D118" s="7" t="s">
        <v>63</v>
      </c>
      <c r="E118" s="7" t="s">
        <v>39</v>
      </c>
      <c r="F118" s="7" t="s">
        <v>29</v>
      </c>
      <c r="G118" s="7" t="s">
        <v>23</v>
      </c>
      <c r="H118" s="7" t="s">
        <v>53</v>
      </c>
      <c r="I118" s="7">
        <v>31</v>
      </c>
      <c r="J118" s="7">
        <v>93</v>
      </c>
      <c r="K118" s="20">
        <v>28449.67</v>
      </c>
      <c r="L118" s="20">
        <v>380.64</v>
      </c>
      <c r="M118" s="7">
        <v>42.41</v>
      </c>
      <c r="N118" s="20">
        <f>Table15[[#This Row],[Processing Fee]]-Table15[[#This Row],[Discount Applied]]</f>
        <v>338.23</v>
      </c>
      <c r="O118" s="7" t="str">
        <f>IF(Table15[[#This Row],[Revenue]]&gt;35000,"Achieved","Not Achieved")</f>
        <v>Not Achieved</v>
      </c>
      <c r="P118" s="8">
        <v>5</v>
      </c>
      <c r="Q118" s="7" t="str">
        <f>IF(AND(Table15[[#This Row],[CSAT Score]]&lt;=3,Table15[[#This Row],[Revenue]]&gt;=20000),"High-Risk","Stable")</f>
        <v>Stable</v>
      </c>
      <c r="R118" s="8" t="str" cm="1">
        <f t="array" ref="R118">_xlfn.IFS(Table15[[#This Row],[Revenue]]&gt;=35000,"Platinum",Table15[[#This Row],[Revenue]]&gt;=15000,"Gold",TRUE,"Standard")</f>
        <v>Gold</v>
      </c>
      <c r="S118" s="8" t="str">
        <f>IF(OR(Table15[[#This Row],[Product]]="Wealth Management",Table15[[#This Row],[Revenue]]&gt;=40000),"Yes","No")</f>
        <v>No</v>
      </c>
    </row>
    <row r="119" spans="1:19" x14ac:dyDescent="0.3">
      <c r="A119" s="5" t="s">
        <v>177</v>
      </c>
      <c r="B119" s="6">
        <v>45970</v>
      </c>
      <c r="C119" s="7" t="s">
        <v>75</v>
      </c>
      <c r="D119" s="7" t="s">
        <v>87</v>
      </c>
      <c r="E119" s="7" t="s">
        <v>59</v>
      </c>
      <c r="F119" s="7" t="s">
        <v>29</v>
      </c>
      <c r="G119" s="7" t="s">
        <v>65</v>
      </c>
      <c r="H119" s="7" t="s">
        <v>53</v>
      </c>
      <c r="I119" s="7">
        <v>31</v>
      </c>
      <c r="J119" s="7">
        <v>19</v>
      </c>
      <c r="K119" s="20">
        <v>26073.07</v>
      </c>
      <c r="L119" s="20">
        <v>194.69</v>
      </c>
      <c r="M119" s="7">
        <v>21.02</v>
      </c>
      <c r="N119" s="20">
        <f>Table15[[#This Row],[Processing Fee]]-Table15[[#This Row],[Discount Applied]]</f>
        <v>173.67</v>
      </c>
      <c r="O119" s="7" t="str">
        <f>IF(Table15[[#This Row],[Revenue]]&gt;35000,"Achieved","Not Achieved")</f>
        <v>Not Achieved</v>
      </c>
      <c r="P119" s="8">
        <v>2</v>
      </c>
      <c r="Q119" s="7" t="str">
        <f>IF(AND(Table15[[#This Row],[CSAT Score]]&lt;=3,Table15[[#This Row],[Revenue]]&gt;=20000),"High-Risk","Stable")</f>
        <v>High-Risk</v>
      </c>
      <c r="R119" s="8" t="str" cm="1">
        <f t="array" ref="R119">_xlfn.IFS(Table15[[#This Row],[Revenue]]&gt;=35000,"Platinum",Table15[[#This Row],[Revenue]]&gt;=15000,"Gold",TRUE,"Standard")</f>
        <v>Gold</v>
      </c>
      <c r="S119" s="8" t="str">
        <f>IF(OR(Table15[[#This Row],[Product]]="Wealth Management",Table15[[#This Row],[Revenue]]&gt;=40000),"Yes","No")</f>
        <v>No</v>
      </c>
    </row>
    <row r="120" spans="1:19" x14ac:dyDescent="0.3">
      <c r="A120" s="5" t="s">
        <v>178</v>
      </c>
      <c r="B120" s="6">
        <v>45994</v>
      </c>
      <c r="C120" s="7" t="s">
        <v>44</v>
      </c>
      <c r="D120" s="7" t="s">
        <v>20</v>
      </c>
      <c r="E120" s="7" t="s">
        <v>59</v>
      </c>
      <c r="F120" s="7" t="s">
        <v>29</v>
      </c>
      <c r="G120" s="7" t="s">
        <v>23</v>
      </c>
      <c r="H120" s="7" t="s">
        <v>31</v>
      </c>
      <c r="I120" s="7">
        <v>41</v>
      </c>
      <c r="J120" s="7">
        <v>23</v>
      </c>
      <c r="K120" s="20">
        <v>14587.72</v>
      </c>
      <c r="L120" s="20">
        <v>65.59</v>
      </c>
      <c r="M120" s="7">
        <v>206.52</v>
      </c>
      <c r="N120" s="20">
        <f>Table15[[#This Row],[Processing Fee]]-Table15[[#This Row],[Discount Applied]]</f>
        <v>-140.93</v>
      </c>
      <c r="O120" s="7" t="str">
        <f>IF(Table15[[#This Row],[Revenue]]&gt;35000,"Achieved","Not Achieved")</f>
        <v>Not Achieved</v>
      </c>
      <c r="P120" s="8">
        <v>5</v>
      </c>
      <c r="Q120" s="7" t="str">
        <f>IF(AND(Table15[[#This Row],[CSAT Score]]&lt;=3,Table15[[#This Row],[Revenue]]&gt;=20000),"High-Risk","Stable")</f>
        <v>Stable</v>
      </c>
      <c r="R120" s="8" t="str" cm="1">
        <f t="array" ref="R120">_xlfn.IFS(Table15[[#This Row],[Revenue]]&gt;=35000,"Platinum",Table15[[#This Row],[Revenue]]&gt;=15000,"Gold",TRUE,"Standard")</f>
        <v>Standard</v>
      </c>
      <c r="S120" s="8" t="str">
        <f>IF(OR(Table15[[#This Row],[Product]]="Wealth Management",Table15[[#This Row],[Revenue]]&gt;=40000),"Yes","No")</f>
        <v>No</v>
      </c>
    </row>
    <row r="121" spans="1:19" x14ac:dyDescent="0.3">
      <c r="A121" s="5" t="s">
        <v>179</v>
      </c>
      <c r="B121" s="6">
        <v>46002</v>
      </c>
      <c r="C121" s="7" t="s">
        <v>33</v>
      </c>
      <c r="D121" s="7" t="s">
        <v>52</v>
      </c>
      <c r="E121" s="7" t="s">
        <v>46</v>
      </c>
      <c r="F121" s="7" t="s">
        <v>35</v>
      </c>
      <c r="G121" s="7" t="s">
        <v>56</v>
      </c>
      <c r="H121" s="7" t="s">
        <v>53</v>
      </c>
      <c r="I121" s="7">
        <v>41</v>
      </c>
      <c r="J121" s="7">
        <v>83</v>
      </c>
      <c r="K121" s="20">
        <v>26101.87</v>
      </c>
      <c r="L121" s="20">
        <v>107.25</v>
      </c>
      <c r="M121" s="7">
        <v>31.69</v>
      </c>
      <c r="N121" s="20">
        <f>Table15[[#This Row],[Processing Fee]]-Table15[[#This Row],[Discount Applied]]</f>
        <v>75.56</v>
      </c>
      <c r="O121" s="7" t="str">
        <f>IF(Table15[[#This Row],[Revenue]]&gt;35000,"Achieved","Not Achieved")</f>
        <v>Not Achieved</v>
      </c>
      <c r="P121" s="8">
        <v>1</v>
      </c>
      <c r="Q121" s="7" t="str">
        <f>IF(AND(Table15[[#This Row],[CSAT Score]]&lt;=3,Table15[[#This Row],[Revenue]]&gt;=20000),"High-Risk","Stable")</f>
        <v>High-Risk</v>
      </c>
      <c r="R121" s="8" t="str" cm="1">
        <f t="array" ref="R121">_xlfn.IFS(Table15[[#This Row],[Revenue]]&gt;=35000,"Platinum",Table15[[#This Row],[Revenue]]&gt;=15000,"Gold",TRUE,"Standard")</f>
        <v>Gold</v>
      </c>
      <c r="S121" s="8" t="str">
        <f>IF(OR(Table15[[#This Row],[Product]]="Wealth Management",Table15[[#This Row],[Revenue]]&gt;=40000),"Yes","No")</f>
        <v>No</v>
      </c>
    </row>
    <row r="122" spans="1:19" x14ac:dyDescent="0.3">
      <c r="A122" s="5" t="s">
        <v>180</v>
      </c>
      <c r="B122" s="6">
        <v>46107</v>
      </c>
      <c r="C122" s="7" t="s">
        <v>44</v>
      </c>
      <c r="D122" s="7" t="s">
        <v>68</v>
      </c>
      <c r="E122" s="7" t="s">
        <v>39</v>
      </c>
      <c r="F122" s="7" t="s">
        <v>69</v>
      </c>
      <c r="G122" s="7" t="s">
        <v>56</v>
      </c>
      <c r="H122" s="7" t="s">
        <v>57</v>
      </c>
      <c r="I122" s="7">
        <v>42</v>
      </c>
      <c r="J122" s="7">
        <v>25</v>
      </c>
      <c r="K122" s="20">
        <v>42484.98</v>
      </c>
      <c r="L122" s="20">
        <v>461.61</v>
      </c>
      <c r="M122" s="7">
        <v>157.54</v>
      </c>
      <c r="N122" s="20">
        <f>Table15[[#This Row],[Processing Fee]]-Table15[[#This Row],[Discount Applied]]</f>
        <v>304.07000000000005</v>
      </c>
      <c r="O122" s="7" t="str">
        <f>IF(Table15[[#This Row],[Revenue]]&gt;35000,"Achieved","Not Achieved")</f>
        <v>Achieved</v>
      </c>
      <c r="P122" s="8">
        <v>4</v>
      </c>
      <c r="Q122" s="7" t="str">
        <f>IF(AND(Table15[[#This Row],[CSAT Score]]&lt;=3,Table15[[#This Row],[Revenue]]&gt;=20000),"High-Risk","Stable")</f>
        <v>Stable</v>
      </c>
      <c r="R122" s="8" t="str" cm="1">
        <f t="array" ref="R122">_xlfn.IFS(Table15[[#This Row],[Revenue]]&gt;=35000,"Platinum",Table15[[#This Row],[Revenue]]&gt;=15000,"Gold",TRUE,"Standard")</f>
        <v>Platinum</v>
      </c>
      <c r="S122" s="8" t="str">
        <f>IF(OR(Table15[[#This Row],[Product]]="Wealth Management",Table15[[#This Row],[Revenue]]&gt;=40000),"Yes","No")</f>
        <v>Yes</v>
      </c>
    </row>
    <row r="123" spans="1:19" x14ac:dyDescent="0.3">
      <c r="A123" s="5" t="s">
        <v>181</v>
      </c>
      <c r="B123" s="6">
        <v>46012</v>
      </c>
      <c r="C123" s="7" t="s">
        <v>33</v>
      </c>
      <c r="D123" s="7" t="s">
        <v>20</v>
      </c>
      <c r="E123" s="7" t="s">
        <v>28</v>
      </c>
      <c r="F123" s="7" t="s">
        <v>69</v>
      </c>
      <c r="G123" s="7" t="s">
        <v>36</v>
      </c>
      <c r="H123" s="7" t="s">
        <v>57</v>
      </c>
      <c r="I123" s="7">
        <v>65</v>
      </c>
      <c r="J123" s="7">
        <v>16</v>
      </c>
      <c r="K123" s="20">
        <v>34416.14</v>
      </c>
      <c r="L123" s="20">
        <v>272.08999999999997</v>
      </c>
      <c r="M123" s="7">
        <v>62.21</v>
      </c>
      <c r="N123" s="20">
        <f>Table15[[#This Row],[Processing Fee]]-Table15[[#This Row],[Discount Applied]]</f>
        <v>209.87999999999997</v>
      </c>
      <c r="O123" s="7" t="str">
        <f>IF(Table15[[#This Row],[Revenue]]&gt;35000,"Achieved","Not Achieved")</f>
        <v>Not Achieved</v>
      </c>
      <c r="P123" s="8">
        <v>4</v>
      </c>
      <c r="Q123" s="7" t="str">
        <f>IF(AND(Table15[[#This Row],[CSAT Score]]&lt;=3,Table15[[#This Row],[Revenue]]&gt;=20000),"High-Risk","Stable")</f>
        <v>Stable</v>
      </c>
      <c r="R123" s="8" t="str" cm="1">
        <f t="array" ref="R123">_xlfn.IFS(Table15[[#This Row],[Revenue]]&gt;=35000,"Platinum",Table15[[#This Row],[Revenue]]&gt;=15000,"Gold",TRUE,"Standard")</f>
        <v>Gold</v>
      </c>
      <c r="S123" s="8" t="str">
        <f>IF(OR(Table15[[#This Row],[Product]]="Wealth Management",Table15[[#This Row],[Revenue]]&gt;=40000),"Yes","No")</f>
        <v>No</v>
      </c>
    </row>
    <row r="124" spans="1:19" x14ac:dyDescent="0.3">
      <c r="A124" s="5" t="s">
        <v>182</v>
      </c>
      <c r="B124" s="6">
        <v>46194</v>
      </c>
      <c r="C124" s="7" t="s">
        <v>55</v>
      </c>
      <c r="D124" s="7" t="s">
        <v>68</v>
      </c>
      <c r="E124" s="7" t="s">
        <v>21</v>
      </c>
      <c r="F124" s="7" t="s">
        <v>29</v>
      </c>
      <c r="G124" s="7" t="s">
        <v>65</v>
      </c>
      <c r="H124" s="7" t="s">
        <v>53</v>
      </c>
      <c r="I124" s="7">
        <v>27</v>
      </c>
      <c r="J124" s="7">
        <v>54</v>
      </c>
      <c r="K124" s="20">
        <v>14857.18</v>
      </c>
      <c r="L124" s="20">
        <v>254.11</v>
      </c>
      <c r="M124" s="7">
        <v>65.38</v>
      </c>
      <c r="N124" s="20">
        <f>Table15[[#This Row],[Processing Fee]]-Table15[[#This Row],[Discount Applied]]</f>
        <v>188.73000000000002</v>
      </c>
      <c r="O124" s="7" t="str">
        <f>IF(Table15[[#This Row],[Revenue]]&gt;35000,"Achieved","Not Achieved")</f>
        <v>Not Achieved</v>
      </c>
      <c r="P124" s="8">
        <v>1</v>
      </c>
      <c r="Q124" s="7" t="str">
        <f>IF(AND(Table15[[#This Row],[CSAT Score]]&lt;=3,Table15[[#This Row],[Revenue]]&gt;=20000),"High-Risk","Stable")</f>
        <v>Stable</v>
      </c>
      <c r="R124" s="8" t="str" cm="1">
        <f t="array" ref="R124">_xlfn.IFS(Table15[[#This Row],[Revenue]]&gt;=35000,"Platinum",Table15[[#This Row],[Revenue]]&gt;=15000,"Gold",TRUE,"Standard")</f>
        <v>Standard</v>
      </c>
      <c r="S124" s="8" t="str">
        <f>IF(OR(Table15[[#This Row],[Product]]="Wealth Management",Table15[[#This Row],[Revenue]]&gt;=40000),"Yes","No")</f>
        <v>No</v>
      </c>
    </row>
    <row r="125" spans="1:19" x14ac:dyDescent="0.3">
      <c r="A125" s="5" t="s">
        <v>183</v>
      </c>
      <c r="B125" s="6">
        <v>46208</v>
      </c>
      <c r="C125" s="7" t="s">
        <v>19</v>
      </c>
      <c r="D125" s="7" t="s">
        <v>68</v>
      </c>
      <c r="E125" s="7" t="s">
        <v>59</v>
      </c>
      <c r="F125" s="7" t="s">
        <v>22</v>
      </c>
      <c r="G125" s="7" t="s">
        <v>23</v>
      </c>
      <c r="H125" s="7" t="s">
        <v>31</v>
      </c>
      <c r="I125" s="7">
        <v>37</v>
      </c>
      <c r="J125" s="7">
        <v>115</v>
      </c>
      <c r="K125" s="20">
        <v>10472.459999999999</v>
      </c>
      <c r="L125" s="20">
        <v>67.12</v>
      </c>
      <c r="M125" s="7">
        <v>3.24</v>
      </c>
      <c r="N125" s="20">
        <f>Table15[[#This Row],[Processing Fee]]-Table15[[#This Row],[Discount Applied]]</f>
        <v>63.88</v>
      </c>
      <c r="O125" s="7" t="str">
        <f>IF(Table15[[#This Row],[Revenue]]&gt;35000,"Achieved","Not Achieved")</f>
        <v>Not Achieved</v>
      </c>
      <c r="P125" s="8">
        <v>3</v>
      </c>
      <c r="Q125" s="7" t="str">
        <f>IF(AND(Table15[[#This Row],[CSAT Score]]&lt;=3,Table15[[#This Row],[Revenue]]&gt;=20000),"High-Risk","Stable")</f>
        <v>Stable</v>
      </c>
      <c r="R125" s="8" t="str" cm="1">
        <f t="array" ref="R125">_xlfn.IFS(Table15[[#This Row],[Revenue]]&gt;=35000,"Platinum",Table15[[#This Row],[Revenue]]&gt;=15000,"Gold",TRUE,"Standard")</f>
        <v>Standard</v>
      </c>
      <c r="S125" s="8" t="str">
        <f>IF(OR(Table15[[#This Row],[Product]]="Wealth Management",Table15[[#This Row],[Revenue]]&gt;=40000),"Yes","No")</f>
        <v>Yes</v>
      </c>
    </row>
    <row r="126" spans="1:19" x14ac:dyDescent="0.3">
      <c r="A126" s="5" t="s">
        <v>184</v>
      </c>
      <c r="B126" s="6">
        <v>45894</v>
      </c>
      <c r="C126" s="7" t="s">
        <v>33</v>
      </c>
      <c r="D126" s="7" t="s">
        <v>68</v>
      </c>
      <c r="E126" s="7" t="s">
        <v>21</v>
      </c>
      <c r="F126" s="7" t="s">
        <v>69</v>
      </c>
      <c r="G126" s="7" t="s">
        <v>56</v>
      </c>
      <c r="H126" s="7" t="s">
        <v>24</v>
      </c>
      <c r="I126" s="7">
        <v>22</v>
      </c>
      <c r="J126" s="7">
        <v>73</v>
      </c>
      <c r="K126" s="20">
        <v>13627.82</v>
      </c>
      <c r="L126" s="20">
        <v>377.89</v>
      </c>
      <c r="M126" s="7">
        <v>140.19999999999999</v>
      </c>
      <c r="N126" s="20">
        <f>Table15[[#This Row],[Processing Fee]]-Table15[[#This Row],[Discount Applied]]</f>
        <v>237.69</v>
      </c>
      <c r="O126" s="7" t="str">
        <f>IF(Table15[[#This Row],[Revenue]]&gt;35000,"Achieved","Not Achieved")</f>
        <v>Not Achieved</v>
      </c>
      <c r="P126" s="8">
        <v>4</v>
      </c>
      <c r="Q126" s="7" t="str">
        <f>IF(AND(Table15[[#This Row],[CSAT Score]]&lt;=3,Table15[[#This Row],[Revenue]]&gt;=20000),"High-Risk","Stable")</f>
        <v>Stable</v>
      </c>
      <c r="R126" s="8" t="str" cm="1">
        <f t="array" ref="R126">_xlfn.IFS(Table15[[#This Row],[Revenue]]&gt;=35000,"Platinum",Table15[[#This Row],[Revenue]]&gt;=15000,"Gold",TRUE,"Standard")</f>
        <v>Standard</v>
      </c>
      <c r="S126" s="8" t="str">
        <f>IF(OR(Table15[[#This Row],[Product]]="Wealth Management",Table15[[#This Row],[Revenue]]&gt;=40000),"Yes","No")</f>
        <v>No</v>
      </c>
    </row>
    <row r="127" spans="1:19" x14ac:dyDescent="0.3">
      <c r="A127" s="5" t="s">
        <v>185</v>
      </c>
      <c r="B127" s="6">
        <v>45911</v>
      </c>
      <c r="C127" s="7" t="s">
        <v>44</v>
      </c>
      <c r="D127" s="7" t="s">
        <v>61</v>
      </c>
      <c r="E127" s="7" t="s">
        <v>21</v>
      </c>
      <c r="F127" s="7" t="s">
        <v>35</v>
      </c>
      <c r="G127" s="7" t="s">
        <v>30</v>
      </c>
      <c r="H127" s="7" t="s">
        <v>53</v>
      </c>
      <c r="I127" s="7">
        <v>32</v>
      </c>
      <c r="J127" s="7">
        <v>1</v>
      </c>
      <c r="K127" s="20">
        <v>8903.08</v>
      </c>
      <c r="L127" s="20">
        <v>287.63</v>
      </c>
      <c r="M127" s="7">
        <v>22.65</v>
      </c>
      <c r="N127" s="20">
        <f>Table15[[#This Row],[Processing Fee]]-Table15[[#This Row],[Discount Applied]]</f>
        <v>264.98</v>
      </c>
      <c r="O127" s="7" t="str">
        <f>IF(Table15[[#This Row],[Revenue]]&gt;35000,"Achieved","Not Achieved")</f>
        <v>Not Achieved</v>
      </c>
      <c r="P127" s="8">
        <v>2</v>
      </c>
      <c r="Q127" s="7" t="str">
        <f>IF(AND(Table15[[#This Row],[CSAT Score]]&lt;=3,Table15[[#This Row],[Revenue]]&gt;=20000),"High-Risk","Stable")</f>
        <v>Stable</v>
      </c>
      <c r="R127" s="8" t="str" cm="1">
        <f t="array" ref="R127">_xlfn.IFS(Table15[[#This Row],[Revenue]]&gt;=35000,"Platinum",Table15[[#This Row],[Revenue]]&gt;=15000,"Gold",TRUE,"Standard")</f>
        <v>Standard</v>
      </c>
      <c r="S127" s="8" t="str">
        <f>IF(OR(Table15[[#This Row],[Product]]="Wealth Management",Table15[[#This Row],[Revenue]]&gt;=40000),"Yes","No")</f>
        <v>No</v>
      </c>
    </row>
    <row r="128" spans="1:19" x14ac:dyDescent="0.3">
      <c r="A128" s="5" t="s">
        <v>186</v>
      </c>
      <c r="B128" s="6">
        <v>46164</v>
      </c>
      <c r="C128" s="7" t="s">
        <v>55</v>
      </c>
      <c r="D128" s="7" t="s">
        <v>27</v>
      </c>
      <c r="E128" s="7" t="s">
        <v>46</v>
      </c>
      <c r="F128" s="7" t="s">
        <v>40</v>
      </c>
      <c r="G128" s="7" t="s">
        <v>56</v>
      </c>
      <c r="H128" s="7" t="s">
        <v>53</v>
      </c>
      <c r="I128" s="7">
        <v>62</v>
      </c>
      <c r="J128" s="7">
        <v>42</v>
      </c>
      <c r="K128" s="20">
        <v>5234.21</v>
      </c>
      <c r="L128" s="20">
        <v>140.94</v>
      </c>
      <c r="M128" s="7">
        <v>154.58000000000001</v>
      </c>
      <c r="N128" s="20">
        <f>Table15[[#This Row],[Processing Fee]]-Table15[[#This Row],[Discount Applied]]</f>
        <v>-13.640000000000015</v>
      </c>
      <c r="O128" s="7" t="str">
        <f>IF(Table15[[#This Row],[Revenue]]&gt;35000,"Achieved","Not Achieved")</f>
        <v>Not Achieved</v>
      </c>
      <c r="P128" s="8">
        <v>4</v>
      </c>
      <c r="Q128" s="7" t="str">
        <f>IF(AND(Table15[[#This Row],[CSAT Score]]&lt;=3,Table15[[#This Row],[Revenue]]&gt;=20000),"High-Risk","Stable")</f>
        <v>Stable</v>
      </c>
      <c r="R128" s="8" t="str" cm="1">
        <f t="array" ref="R128">_xlfn.IFS(Table15[[#This Row],[Revenue]]&gt;=35000,"Platinum",Table15[[#This Row],[Revenue]]&gt;=15000,"Gold",TRUE,"Standard")</f>
        <v>Standard</v>
      </c>
      <c r="S128" s="8" t="str">
        <f>IF(OR(Table15[[#This Row],[Product]]="Wealth Management",Table15[[#This Row],[Revenue]]&gt;=40000),"Yes","No")</f>
        <v>No</v>
      </c>
    </row>
    <row r="129" spans="1:19" x14ac:dyDescent="0.3">
      <c r="A129" s="5" t="s">
        <v>187</v>
      </c>
      <c r="B129" s="6">
        <v>46042</v>
      </c>
      <c r="C129" s="7" t="s">
        <v>91</v>
      </c>
      <c r="D129" s="7" t="s">
        <v>83</v>
      </c>
      <c r="E129" s="7" t="s">
        <v>39</v>
      </c>
      <c r="F129" s="7" t="s">
        <v>40</v>
      </c>
      <c r="G129" s="7" t="s">
        <v>30</v>
      </c>
      <c r="H129" s="7" t="s">
        <v>24</v>
      </c>
      <c r="I129" s="7">
        <v>38</v>
      </c>
      <c r="J129" s="7">
        <v>19</v>
      </c>
      <c r="K129" s="20">
        <v>21247.24</v>
      </c>
      <c r="L129" s="20">
        <v>99.53</v>
      </c>
      <c r="M129" s="7">
        <v>98.37</v>
      </c>
      <c r="N129" s="20">
        <f>Table15[[#This Row],[Processing Fee]]-Table15[[#This Row],[Discount Applied]]</f>
        <v>1.1599999999999966</v>
      </c>
      <c r="O129" s="7" t="str">
        <f>IF(Table15[[#This Row],[Revenue]]&gt;35000,"Achieved","Not Achieved")</f>
        <v>Not Achieved</v>
      </c>
      <c r="P129" s="8">
        <v>3</v>
      </c>
      <c r="Q129" s="7" t="str">
        <f>IF(AND(Table15[[#This Row],[CSAT Score]]&lt;=3,Table15[[#This Row],[Revenue]]&gt;=20000),"High-Risk","Stable")</f>
        <v>High-Risk</v>
      </c>
      <c r="R129" s="8" t="str" cm="1">
        <f t="array" ref="R129">_xlfn.IFS(Table15[[#This Row],[Revenue]]&gt;=35000,"Platinum",Table15[[#This Row],[Revenue]]&gt;=15000,"Gold",TRUE,"Standard")</f>
        <v>Gold</v>
      </c>
      <c r="S129" s="8" t="str">
        <f>IF(OR(Table15[[#This Row],[Product]]="Wealth Management",Table15[[#This Row],[Revenue]]&gt;=40000),"Yes","No")</f>
        <v>No</v>
      </c>
    </row>
    <row r="130" spans="1:19" x14ac:dyDescent="0.3">
      <c r="A130" s="5" t="s">
        <v>188</v>
      </c>
      <c r="B130" s="6">
        <v>46149</v>
      </c>
      <c r="C130" s="7" t="s">
        <v>26</v>
      </c>
      <c r="D130" s="7" t="s">
        <v>63</v>
      </c>
      <c r="E130" s="7" t="s">
        <v>59</v>
      </c>
      <c r="F130" s="7" t="s">
        <v>40</v>
      </c>
      <c r="G130" s="7" t="s">
        <v>23</v>
      </c>
      <c r="H130" s="7" t="s">
        <v>53</v>
      </c>
      <c r="I130" s="7">
        <v>74</v>
      </c>
      <c r="J130" s="7">
        <v>97</v>
      </c>
      <c r="K130" s="20">
        <v>6108.33</v>
      </c>
      <c r="L130" s="20">
        <v>222.52</v>
      </c>
      <c r="M130" s="7">
        <v>156.86000000000001</v>
      </c>
      <c r="N130" s="20">
        <f>Table15[[#This Row],[Processing Fee]]-Table15[[#This Row],[Discount Applied]]</f>
        <v>65.66</v>
      </c>
      <c r="O130" s="7" t="str">
        <f>IF(Table15[[#This Row],[Revenue]]&gt;35000,"Achieved","Not Achieved")</f>
        <v>Not Achieved</v>
      </c>
      <c r="P130" s="8">
        <v>2</v>
      </c>
      <c r="Q130" s="7" t="str">
        <f>IF(AND(Table15[[#This Row],[CSAT Score]]&lt;=3,Table15[[#This Row],[Revenue]]&gt;=20000),"High-Risk","Stable")</f>
        <v>Stable</v>
      </c>
      <c r="R130" s="8" t="str" cm="1">
        <f t="array" ref="R130">_xlfn.IFS(Table15[[#This Row],[Revenue]]&gt;=35000,"Platinum",Table15[[#This Row],[Revenue]]&gt;=15000,"Gold",TRUE,"Standard")</f>
        <v>Standard</v>
      </c>
      <c r="S130" s="8" t="str">
        <f>IF(OR(Table15[[#This Row],[Product]]="Wealth Management",Table15[[#This Row],[Revenue]]&gt;=40000),"Yes","No")</f>
        <v>No</v>
      </c>
    </row>
    <row r="131" spans="1:19" x14ac:dyDescent="0.3">
      <c r="A131" s="5" t="s">
        <v>189</v>
      </c>
      <c r="B131" s="6">
        <v>45915</v>
      </c>
      <c r="C131" s="7" t="s">
        <v>26</v>
      </c>
      <c r="D131" s="7" t="s">
        <v>27</v>
      </c>
      <c r="E131" s="7" t="s">
        <v>21</v>
      </c>
      <c r="F131" s="7" t="s">
        <v>22</v>
      </c>
      <c r="G131" s="7" t="s">
        <v>56</v>
      </c>
      <c r="H131" s="7" t="s">
        <v>24</v>
      </c>
      <c r="I131" s="7">
        <v>31</v>
      </c>
      <c r="J131" s="7">
        <v>34</v>
      </c>
      <c r="K131" s="20">
        <v>9009.67</v>
      </c>
      <c r="L131" s="20">
        <v>426.72</v>
      </c>
      <c r="M131" s="7">
        <v>116.79</v>
      </c>
      <c r="N131" s="20">
        <f>Table15[[#This Row],[Processing Fee]]-Table15[[#This Row],[Discount Applied]]</f>
        <v>309.93</v>
      </c>
      <c r="O131" s="7" t="str">
        <f>IF(Table15[[#This Row],[Revenue]]&gt;35000,"Achieved","Not Achieved")</f>
        <v>Not Achieved</v>
      </c>
      <c r="P131" s="8">
        <v>2</v>
      </c>
      <c r="Q131" s="7" t="str">
        <f>IF(AND(Table15[[#This Row],[CSAT Score]]&lt;=3,Table15[[#This Row],[Revenue]]&gt;=20000),"High-Risk","Stable")</f>
        <v>Stable</v>
      </c>
      <c r="R131" s="8" t="str" cm="1">
        <f t="array" ref="R131">_xlfn.IFS(Table15[[#This Row],[Revenue]]&gt;=35000,"Platinum",Table15[[#This Row],[Revenue]]&gt;=15000,"Gold",TRUE,"Standard")</f>
        <v>Standard</v>
      </c>
      <c r="S131" s="8" t="str">
        <f>IF(OR(Table15[[#This Row],[Product]]="Wealth Management",Table15[[#This Row],[Revenue]]&gt;=40000),"Yes","No")</f>
        <v>Yes</v>
      </c>
    </row>
    <row r="132" spans="1:19" x14ac:dyDescent="0.3">
      <c r="A132" s="5" t="s">
        <v>190</v>
      </c>
      <c r="B132" s="6">
        <v>46123</v>
      </c>
      <c r="C132" s="7" t="s">
        <v>26</v>
      </c>
      <c r="D132" s="7" t="s">
        <v>68</v>
      </c>
      <c r="E132" s="7" t="s">
        <v>59</v>
      </c>
      <c r="F132" s="7" t="s">
        <v>29</v>
      </c>
      <c r="G132" s="7" t="s">
        <v>56</v>
      </c>
      <c r="H132" s="7" t="s">
        <v>31</v>
      </c>
      <c r="I132" s="7">
        <v>36</v>
      </c>
      <c r="J132" s="7">
        <v>80</v>
      </c>
      <c r="K132" s="20">
        <v>27592.57</v>
      </c>
      <c r="L132" s="20">
        <v>439.38</v>
      </c>
      <c r="M132" s="7">
        <v>24.74</v>
      </c>
      <c r="N132" s="20">
        <f>Table15[[#This Row],[Processing Fee]]-Table15[[#This Row],[Discount Applied]]</f>
        <v>414.64</v>
      </c>
      <c r="O132" s="7" t="str">
        <f>IF(Table15[[#This Row],[Revenue]]&gt;35000,"Achieved","Not Achieved")</f>
        <v>Not Achieved</v>
      </c>
      <c r="P132" s="8">
        <v>1</v>
      </c>
      <c r="Q132" s="7" t="str">
        <f>IF(AND(Table15[[#This Row],[CSAT Score]]&lt;=3,Table15[[#This Row],[Revenue]]&gt;=20000),"High-Risk","Stable")</f>
        <v>High-Risk</v>
      </c>
      <c r="R132" s="8" t="str" cm="1">
        <f t="array" ref="R132">_xlfn.IFS(Table15[[#This Row],[Revenue]]&gt;=35000,"Platinum",Table15[[#This Row],[Revenue]]&gt;=15000,"Gold",TRUE,"Standard")</f>
        <v>Gold</v>
      </c>
      <c r="S132" s="8" t="str">
        <f>IF(OR(Table15[[#This Row],[Product]]="Wealth Management",Table15[[#This Row],[Revenue]]&gt;=40000),"Yes","No")</f>
        <v>No</v>
      </c>
    </row>
    <row r="133" spans="1:19" x14ac:dyDescent="0.3">
      <c r="A133" s="5" t="s">
        <v>191</v>
      </c>
      <c r="B133" s="6">
        <v>45894</v>
      </c>
      <c r="C133" s="7" t="s">
        <v>33</v>
      </c>
      <c r="D133" s="7" t="s">
        <v>48</v>
      </c>
      <c r="E133" s="7" t="s">
        <v>28</v>
      </c>
      <c r="F133" s="7" t="s">
        <v>35</v>
      </c>
      <c r="G133" s="7" t="s">
        <v>23</v>
      </c>
      <c r="H133" s="7" t="s">
        <v>57</v>
      </c>
      <c r="I133" s="7">
        <v>69</v>
      </c>
      <c r="J133" s="7">
        <v>108</v>
      </c>
      <c r="K133" s="20">
        <v>8647.66</v>
      </c>
      <c r="L133" s="20">
        <v>321.27999999999997</v>
      </c>
      <c r="M133" s="7">
        <v>153.13</v>
      </c>
      <c r="N133" s="20">
        <f>Table15[[#This Row],[Processing Fee]]-Table15[[#This Row],[Discount Applied]]</f>
        <v>168.14999999999998</v>
      </c>
      <c r="O133" s="7" t="str">
        <f>IF(Table15[[#This Row],[Revenue]]&gt;35000,"Achieved","Not Achieved")</f>
        <v>Not Achieved</v>
      </c>
      <c r="P133" s="8">
        <v>5</v>
      </c>
      <c r="Q133" s="7" t="str">
        <f>IF(AND(Table15[[#This Row],[CSAT Score]]&lt;=3,Table15[[#This Row],[Revenue]]&gt;=20000),"High-Risk","Stable")</f>
        <v>Stable</v>
      </c>
      <c r="R133" s="8" t="str" cm="1">
        <f t="array" ref="R133">_xlfn.IFS(Table15[[#This Row],[Revenue]]&gt;=35000,"Platinum",Table15[[#This Row],[Revenue]]&gt;=15000,"Gold",TRUE,"Standard")</f>
        <v>Standard</v>
      </c>
      <c r="S133" s="8" t="str">
        <f>IF(OR(Table15[[#This Row],[Product]]="Wealth Management",Table15[[#This Row],[Revenue]]&gt;=40000),"Yes","No")</f>
        <v>No</v>
      </c>
    </row>
    <row r="134" spans="1:19" x14ac:dyDescent="0.3">
      <c r="A134" s="5" t="s">
        <v>192</v>
      </c>
      <c r="B134" s="6">
        <v>45917</v>
      </c>
      <c r="C134" s="7" t="s">
        <v>91</v>
      </c>
      <c r="D134" s="7" t="s">
        <v>38</v>
      </c>
      <c r="E134" s="7" t="s">
        <v>46</v>
      </c>
      <c r="F134" s="7" t="s">
        <v>22</v>
      </c>
      <c r="G134" s="7" t="s">
        <v>56</v>
      </c>
      <c r="H134" s="7" t="s">
        <v>31</v>
      </c>
      <c r="I134" s="7">
        <v>71</v>
      </c>
      <c r="J134" s="7">
        <v>104</v>
      </c>
      <c r="K134" s="20">
        <v>3662.05</v>
      </c>
      <c r="L134" s="20">
        <v>377.39</v>
      </c>
      <c r="M134" s="7">
        <v>20.94</v>
      </c>
      <c r="N134" s="20">
        <f>Table15[[#This Row],[Processing Fee]]-Table15[[#This Row],[Discount Applied]]</f>
        <v>356.45</v>
      </c>
      <c r="O134" s="7" t="str">
        <f>IF(Table15[[#This Row],[Revenue]]&gt;35000,"Achieved","Not Achieved")</f>
        <v>Not Achieved</v>
      </c>
      <c r="P134" s="8">
        <v>1</v>
      </c>
      <c r="Q134" s="7" t="str">
        <f>IF(AND(Table15[[#This Row],[CSAT Score]]&lt;=3,Table15[[#This Row],[Revenue]]&gt;=20000),"High-Risk","Stable")</f>
        <v>Stable</v>
      </c>
      <c r="R134" s="8" t="str" cm="1">
        <f t="array" ref="R134">_xlfn.IFS(Table15[[#This Row],[Revenue]]&gt;=35000,"Platinum",Table15[[#This Row],[Revenue]]&gt;=15000,"Gold",TRUE,"Standard")</f>
        <v>Standard</v>
      </c>
      <c r="S134" s="8" t="str">
        <f>IF(OR(Table15[[#This Row],[Product]]="Wealth Management",Table15[[#This Row],[Revenue]]&gt;=40000),"Yes","No")</f>
        <v>Yes</v>
      </c>
    </row>
    <row r="135" spans="1:19" x14ac:dyDescent="0.3">
      <c r="A135" s="5" t="s">
        <v>193</v>
      </c>
      <c r="B135" s="6">
        <v>45965</v>
      </c>
      <c r="C135" s="7" t="s">
        <v>33</v>
      </c>
      <c r="D135" s="7" t="s">
        <v>20</v>
      </c>
      <c r="E135" s="7" t="s">
        <v>28</v>
      </c>
      <c r="F135" s="7" t="s">
        <v>35</v>
      </c>
      <c r="G135" s="7" t="s">
        <v>30</v>
      </c>
      <c r="H135" s="7" t="s">
        <v>57</v>
      </c>
      <c r="I135" s="7">
        <v>38</v>
      </c>
      <c r="J135" s="7">
        <v>55</v>
      </c>
      <c r="K135" s="20">
        <v>16210.75</v>
      </c>
      <c r="L135" s="20">
        <v>101.82</v>
      </c>
      <c r="M135" s="7">
        <v>95.74</v>
      </c>
      <c r="N135" s="20">
        <f>Table15[[#This Row],[Processing Fee]]-Table15[[#This Row],[Discount Applied]]</f>
        <v>6.0799999999999983</v>
      </c>
      <c r="O135" s="7" t="str">
        <f>IF(Table15[[#This Row],[Revenue]]&gt;35000,"Achieved","Not Achieved")</f>
        <v>Not Achieved</v>
      </c>
      <c r="P135" s="8">
        <v>5</v>
      </c>
      <c r="Q135" s="7" t="str">
        <f>IF(AND(Table15[[#This Row],[CSAT Score]]&lt;=3,Table15[[#This Row],[Revenue]]&gt;=20000),"High-Risk","Stable")</f>
        <v>Stable</v>
      </c>
      <c r="R135" s="8" t="str" cm="1">
        <f t="array" ref="R135">_xlfn.IFS(Table15[[#This Row],[Revenue]]&gt;=35000,"Platinum",Table15[[#This Row],[Revenue]]&gt;=15000,"Gold",TRUE,"Standard")</f>
        <v>Gold</v>
      </c>
      <c r="S135" s="8" t="str">
        <f>IF(OR(Table15[[#This Row],[Product]]="Wealth Management",Table15[[#This Row],[Revenue]]&gt;=40000),"Yes","No")</f>
        <v>No</v>
      </c>
    </row>
    <row r="136" spans="1:19" x14ac:dyDescent="0.3">
      <c r="A136" s="5" t="s">
        <v>194</v>
      </c>
      <c r="B136" s="6">
        <v>46064</v>
      </c>
      <c r="C136" s="7" t="s">
        <v>19</v>
      </c>
      <c r="D136" s="7" t="s">
        <v>34</v>
      </c>
      <c r="E136" s="7" t="s">
        <v>59</v>
      </c>
      <c r="F136" s="7" t="s">
        <v>35</v>
      </c>
      <c r="G136" s="7" t="s">
        <v>56</v>
      </c>
      <c r="H136" s="7" t="s">
        <v>24</v>
      </c>
      <c r="I136" s="7">
        <v>55</v>
      </c>
      <c r="J136" s="7">
        <v>18</v>
      </c>
      <c r="K136" s="20">
        <v>11405.8</v>
      </c>
      <c r="L136" s="20">
        <v>314.66000000000003</v>
      </c>
      <c r="M136" s="7">
        <v>34.47</v>
      </c>
      <c r="N136" s="20">
        <f>Table15[[#This Row],[Processing Fee]]-Table15[[#This Row],[Discount Applied]]</f>
        <v>280.19000000000005</v>
      </c>
      <c r="O136" s="7" t="str">
        <f>IF(Table15[[#This Row],[Revenue]]&gt;35000,"Achieved","Not Achieved")</f>
        <v>Not Achieved</v>
      </c>
      <c r="P136" s="8">
        <v>1</v>
      </c>
      <c r="Q136" s="7" t="str">
        <f>IF(AND(Table15[[#This Row],[CSAT Score]]&lt;=3,Table15[[#This Row],[Revenue]]&gt;=20000),"High-Risk","Stable")</f>
        <v>Stable</v>
      </c>
      <c r="R136" s="8" t="str" cm="1">
        <f t="array" ref="R136">_xlfn.IFS(Table15[[#This Row],[Revenue]]&gt;=35000,"Platinum",Table15[[#This Row],[Revenue]]&gt;=15000,"Gold",TRUE,"Standard")</f>
        <v>Standard</v>
      </c>
      <c r="S136" s="8" t="str">
        <f>IF(OR(Table15[[#This Row],[Product]]="Wealth Management",Table15[[#This Row],[Revenue]]&gt;=40000),"Yes","No")</f>
        <v>No</v>
      </c>
    </row>
    <row r="137" spans="1:19" x14ac:dyDescent="0.3">
      <c r="A137" s="5" t="s">
        <v>195</v>
      </c>
      <c r="B137" s="6">
        <v>45888</v>
      </c>
      <c r="C137" s="7" t="s">
        <v>33</v>
      </c>
      <c r="D137" s="7" t="s">
        <v>79</v>
      </c>
      <c r="E137" s="7" t="s">
        <v>59</v>
      </c>
      <c r="F137" s="7" t="s">
        <v>29</v>
      </c>
      <c r="G137" s="7" t="s">
        <v>65</v>
      </c>
      <c r="H137" s="7" t="s">
        <v>57</v>
      </c>
      <c r="I137" s="7">
        <v>73</v>
      </c>
      <c r="J137" s="7">
        <v>34</v>
      </c>
      <c r="K137" s="20">
        <v>26007.61</v>
      </c>
      <c r="L137" s="20">
        <v>350.13</v>
      </c>
      <c r="M137" s="7">
        <v>150.47</v>
      </c>
      <c r="N137" s="20">
        <f>Table15[[#This Row],[Processing Fee]]-Table15[[#This Row],[Discount Applied]]</f>
        <v>199.66</v>
      </c>
      <c r="O137" s="7" t="str">
        <f>IF(Table15[[#This Row],[Revenue]]&gt;35000,"Achieved","Not Achieved")</f>
        <v>Not Achieved</v>
      </c>
      <c r="P137" s="8">
        <v>5</v>
      </c>
      <c r="Q137" s="7" t="str">
        <f>IF(AND(Table15[[#This Row],[CSAT Score]]&lt;=3,Table15[[#This Row],[Revenue]]&gt;=20000),"High-Risk","Stable")</f>
        <v>Stable</v>
      </c>
      <c r="R137" s="8" t="str" cm="1">
        <f t="array" ref="R137">_xlfn.IFS(Table15[[#This Row],[Revenue]]&gt;=35000,"Platinum",Table15[[#This Row],[Revenue]]&gt;=15000,"Gold",TRUE,"Standard")</f>
        <v>Gold</v>
      </c>
      <c r="S137" s="8" t="str">
        <f>IF(OR(Table15[[#This Row],[Product]]="Wealth Management",Table15[[#This Row],[Revenue]]&gt;=40000),"Yes","No")</f>
        <v>No</v>
      </c>
    </row>
    <row r="138" spans="1:19" x14ac:dyDescent="0.3">
      <c r="A138" s="5" t="s">
        <v>196</v>
      </c>
      <c r="B138" s="6">
        <v>45903</v>
      </c>
      <c r="C138" s="7" t="s">
        <v>91</v>
      </c>
      <c r="D138" s="7" t="s">
        <v>27</v>
      </c>
      <c r="E138" s="7" t="s">
        <v>39</v>
      </c>
      <c r="F138" s="7" t="s">
        <v>40</v>
      </c>
      <c r="G138" s="7" t="s">
        <v>36</v>
      </c>
      <c r="H138" s="7" t="s">
        <v>31</v>
      </c>
      <c r="I138" s="7">
        <v>46</v>
      </c>
      <c r="J138" s="7">
        <v>89</v>
      </c>
      <c r="K138" s="20">
        <v>5567.17</v>
      </c>
      <c r="L138" s="20">
        <v>140.32</v>
      </c>
      <c r="M138" s="7">
        <v>273.48</v>
      </c>
      <c r="N138" s="20">
        <f>Table15[[#This Row],[Processing Fee]]-Table15[[#This Row],[Discount Applied]]</f>
        <v>-133.16000000000003</v>
      </c>
      <c r="O138" s="7" t="str">
        <f>IF(Table15[[#This Row],[Revenue]]&gt;35000,"Achieved","Not Achieved")</f>
        <v>Not Achieved</v>
      </c>
      <c r="P138" s="8">
        <v>4</v>
      </c>
      <c r="Q138" s="7" t="str">
        <f>IF(AND(Table15[[#This Row],[CSAT Score]]&lt;=3,Table15[[#This Row],[Revenue]]&gt;=20000),"High-Risk","Stable")</f>
        <v>Stable</v>
      </c>
      <c r="R138" s="8" t="str" cm="1">
        <f t="array" ref="R138">_xlfn.IFS(Table15[[#This Row],[Revenue]]&gt;=35000,"Platinum",Table15[[#This Row],[Revenue]]&gt;=15000,"Gold",TRUE,"Standard")</f>
        <v>Standard</v>
      </c>
      <c r="S138" s="8" t="str">
        <f>IF(OR(Table15[[#This Row],[Product]]="Wealth Management",Table15[[#This Row],[Revenue]]&gt;=40000),"Yes","No")</f>
        <v>No</v>
      </c>
    </row>
    <row r="139" spans="1:19" x14ac:dyDescent="0.3">
      <c r="A139" s="5" t="s">
        <v>197</v>
      </c>
      <c r="B139" s="6">
        <v>45930</v>
      </c>
      <c r="C139" s="7" t="s">
        <v>91</v>
      </c>
      <c r="D139" s="7" t="s">
        <v>52</v>
      </c>
      <c r="E139" s="7" t="s">
        <v>21</v>
      </c>
      <c r="F139" s="7" t="s">
        <v>29</v>
      </c>
      <c r="G139" s="7" t="s">
        <v>30</v>
      </c>
      <c r="H139" s="7" t="s">
        <v>57</v>
      </c>
      <c r="I139" s="7">
        <v>36</v>
      </c>
      <c r="J139" s="7">
        <v>45</v>
      </c>
      <c r="K139" s="20">
        <v>37712.65</v>
      </c>
      <c r="L139" s="20">
        <v>446.07</v>
      </c>
      <c r="M139" s="7">
        <v>110.83</v>
      </c>
      <c r="N139" s="20">
        <f>Table15[[#This Row],[Processing Fee]]-Table15[[#This Row],[Discount Applied]]</f>
        <v>335.24</v>
      </c>
      <c r="O139" s="7" t="str">
        <f>IF(Table15[[#This Row],[Revenue]]&gt;35000,"Achieved","Not Achieved")</f>
        <v>Achieved</v>
      </c>
      <c r="P139" s="8">
        <v>2</v>
      </c>
      <c r="Q139" s="7" t="str">
        <f>IF(AND(Table15[[#This Row],[CSAT Score]]&lt;=3,Table15[[#This Row],[Revenue]]&gt;=20000),"High-Risk","Stable")</f>
        <v>High-Risk</v>
      </c>
      <c r="R139" s="8" t="str" cm="1">
        <f t="array" ref="R139">_xlfn.IFS(Table15[[#This Row],[Revenue]]&gt;=35000,"Platinum",Table15[[#This Row],[Revenue]]&gt;=15000,"Gold",TRUE,"Standard")</f>
        <v>Platinum</v>
      </c>
      <c r="S139" s="8" t="str">
        <f>IF(OR(Table15[[#This Row],[Product]]="Wealth Management",Table15[[#This Row],[Revenue]]&gt;=40000),"Yes","No")</f>
        <v>No</v>
      </c>
    </row>
    <row r="140" spans="1:19" x14ac:dyDescent="0.3">
      <c r="A140" s="5" t="s">
        <v>198</v>
      </c>
      <c r="B140" s="6">
        <v>46117</v>
      </c>
      <c r="C140" s="7" t="s">
        <v>19</v>
      </c>
      <c r="D140" s="7" t="s">
        <v>61</v>
      </c>
      <c r="E140" s="7" t="s">
        <v>21</v>
      </c>
      <c r="F140" s="7" t="s">
        <v>22</v>
      </c>
      <c r="G140" s="7" t="s">
        <v>65</v>
      </c>
      <c r="H140" s="7" t="s">
        <v>24</v>
      </c>
      <c r="I140" s="7">
        <v>26</v>
      </c>
      <c r="J140" s="7">
        <v>6</v>
      </c>
      <c r="K140" s="20">
        <v>45358.559999999998</v>
      </c>
      <c r="L140" s="20">
        <v>137.75</v>
      </c>
      <c r="M140" s="7">
        <v>105.43</v>
      </c>
      <c r="N140" s="20">
        <f>Table15[[#This Row],[Processing Fee]]-Table15[[#This Row],[Discount Applied]]</f>
        <v>32.319999999999993</v>
      </c>
      <c r="O140" s="7" t="str">
        <f>IF(Table15[[#This Row],[Revenue]]&gt;35000,"Achieved","Not Achieved")</f>
        <v>Achieved</v>
      </c>
      <c r="P140" s="8">
        <v>5</v>
      </c>
      <c r="Q140" s="7" t="str">
        <f>IF(AND(Table15[[#This Row],[CSAT Score]]&lt;=3,Table15[[#This Row],[Revenue]]&gt;=20000),"High-Risk","Stable")</f>
        <v>Stable</v>
      </c>
      <c r="R140" s="8" t="str" cm="1">
        <f t="array" ref="R140">_xlfn.IFS(Table15[[#This Row],[Revenue]]&gt;=35000,"Platinum",Table15[[#This Row],[Revenue]]&gt;=15000,"Gold",TRUE,"Standard")</f>
        <v>Platinum</v>
      </c>
      <c r="S140" s="8" t="str">
        <f>IF(OR(Table15[[#This Row],[Product]]="Wealth Management",Table15[[#This Row],[Revenue]]&gt;=40000),"Yes","No")</f>
        <v>Yes</v>
      </c>
    </row>
    <row r="141" spans="1:19" x14ac:dyDescent="0.3">
      <c r="A141" s="5" t="s">
        <v>199</v>
      </c>
      <c r="B141" s="6">
        <v>45944</v>
      </c>
      <c r="C141" s="7" t="s">
        <v>91</v>
      </c>
      <c r="D141" s="7" t="s">
        <v>87</v>
      </c>
      <c r="E141" s="7" t="s">
        <v>28</v>
      </c>
      <c r="F141" s="7" t="s">
        <v>22</v>
      </c>
      <c r="G141" s="7" t="s">
        <v>23</v>
      </c>
      <c r="H141" s="7" t="s">
        <v>57</v>
      </c>
      <c r="I141" s="7">
        <v>64</v>
      </c>
      <c r="J141" s="7">
        <v>21</v>
      </c>
      <c r="K141" s="20">
        <v>37300.04</v>
      </c>
      <c r="L141" s="20">
        <v>191.06</v>
      </c>
      <c r="M141" s="7">
        <v>152.79</v>
      </c>
      <c r="N141" s="20">
        <f>Table15[[#This Row],[Processing Fee]]-Table15[[#This Row],[Discount Applied]]</f>
        <v>38.27000000000001</v>
      </c>
      <c r="O141" s="7" t="str">
        <f>IF(Table15[[#This Row],[Revenue]]&gt;35000,"Achieved","Not Achieved")</f>
        <v>Achieved</v>
      </c>
      <c r="P141" s="8">
        <v>4</v>
      </c>
      <c r="Q141" s="7" t="str">
        <f>IF(AND(Table15[[#This Row],[CSAT Score]]&lt;=3,Table15[[#This Row],[Revenue]]&gt;=20000),"High-Risk","Stable")</f>
        <v>Stable</v>
      </c>
      <c r="R141" s="8" t="str" cm="1">
        <f t="array" ref="R141">_xlfn.IFS(Table15[[#This Row],[Revenue]]&gt;=35000,"Platinum",Table15[[#This Row],[Revenue]]&gt;=15000,"Gold",TRUE,"Standard")</f>
        <v>Platinum</v>
      </c>
      <c r="S141" s="8" t="str">
        <f>IF(OR(Table15[[#This Row],[Product]]="Wealth Management",Table15[[#This Row],[Revenue]]&gt;=40000),"Yes","No")</f>
        <v>Yes</v>
      </c>
    </row>
    <row r="142" spans="1:19" x14ac:dyDescent="0.3">
      <c r="A142" s="5" t="s">
        <v>200</v>
      </c>
      <c r="B142" s="6">
        <v>46225</v>
      </c>
      <c r="C142" s="7" t="s">
        <v>44</v>
      </c>
      <c r="D142" s="7" t="s">
        <v>77</v>
      </c>
      <c r="E142" s="7" t="s">
        <v>46</v>
      </c>
      <c r="F142" s="7" t="s">
        <v>22</v>
      </c>
      <c r="G142" s="7" t="s">
        <v>30</v>
      </c>
      <c r="H142" s="7" t="s">
        <v>53</v>
      </c>
      <c r="I142" s="7">
        <v>63</v>
      </c>
      <c r="J142" s="7">
        <v>70</v>
      </c>
      <c r="K142" s="20">
        <v>26874.94</v>
      </c>
      <c r="L142" s="20">
        <v>329.25</v>
      </c>
      <c r="M142" s="7">
        <v>1.02</v>
      </c>
      <c r="N142" s="20">
        <f>Table15[[#This Row],[Processing Fee]]-Table15[[#This Row],[Discount Applied]]</f>
        <v>328.23</v>
      </c>
      <c r="O142" s="7" t="str">
        <f>IF(Table15[[#This Row],[Revenue]]&gt;35000,"Achieved","Not Achieved")</f>
        <v>Not Achieved</v>
      </c>
      <c r="P142" s="8">
        <v>3</v>
      </c>
      <c r="Q142" s="7" t="str">
        <f>IF(AND(Table15[[#This Row],[CSAT Score]]&lt;=3,Table15[[#This Row],[Revenue]]&gt;=20000),"High-Risk","Stable")</f>
        <v>High-Risk</v>
      </c>
      <c r="R142" s="8" t="str" cm="1">
        <f t="array" ref="R142">_xlfn.IFS(Table15[[#This Row],[Revenue]]&gt;=35000,"Platinum",Table15[[#This Row],[Revenue]]&gt;=15000,"Gold",TRUE,"Standard")</f>
        <v>Gold</v>
      </c>
      <c r="S142" s="8" t="str">
        <f>IF(OR(Table15[[#This Row],[Product]]="Wealth Management",Table15[[#This Row],[Revenue]]&gt;=40000),"Yes","No")</f>
        <v>Yes</v>
      </c>
    </row>
    <row r="143" spans="1:19" x14ac:dyDescent="0.3">
      <c r="A143" s="5" t="s">
        <v>201</v>
      </c>
      <c r="B143" s="6">
        <v>46055</v>
      </c>
      <c r="C143" s="7" t="s">
        <v>91</v>
      </c>
      <c r="D143" s="7" t="s">
        <v>63</v>
      </c>
      <c r="E143" s="7" t="s">
        <v>21</v>
      </c>
      <c r="F143" s="7" t="s">
        <v>29</v>
      </c>
      <c r="G143" s="7" t="s">
        <v>36</v>
      </c>
      <c r="H143" s="7" t="s">
        <v>31</v>
      </c>
      <c r="I143" s="7">
        <v>67</v>
      </c>
      <c r="J143" s="7">
        <v>96</v>
      </c>
      <c r="K143" s="20">
        <v>43103.06</v>
      </c>
      <c r="L143" s="20">
        <v>337.26</v>
      </c>
      <c r="M143" s="7">
        <v>275.33</v>
      </c>
      <c r="N143" s="20">
        <f>Table15[[#This Row],[Processing Fee]]-Table15[[#This Row],[Discount Applied]]</f>
        <v>61.930000000000007</v>
      </c>
      <c r="O143" s="7" t="str">
        <f>IF(Table15[[#This Row],[Revenue]]&gt;35000,"Achieved","Not Achieved")</f>
        <v>Achieved</v>
      </c>
      <c r="P143" s="8">
        <v>1</v>
      </c>
      <c r="Q143" s="7" t="str">
        <f>IF(AND(Table15[[#This Row],[CSAT Score]]&lt;=3,Table15[[#This Row],[Revenue]]&gt;=20000),"High-Risk","Stable")</f>
        <v>High-Risk</v>
      </c>
      <c r="R143" s="8" t="str" cm="1">
        <f t="array" ref="R143">_xlfn.IFS(Table15[[#This Row],[Revenue]]&gt;=35000,"Platinum",Table15[[#This Row],[Revenue]]&gt;=15000,"Gold",TRUE,"Standard")</f>
        <v>Platinum</v>
      </c>
      <c r="S143" s="8" t="str">
        <f>IF(OR(Table15[[#This Row],[Product]]="Wealth Management",Table15[[#This Row],[Revenue]]&gt;=40000),"Yes","No")</f>
        <v>Yes</v>
      </c>
    </row>
    <row r="144" spans="1:19" x14ac:dyDescent="0.3">
      <c r="A144" s="5" t="s">
        <v>202</v>
      </c>
      <c r="B144" s="6">
        <v>46161</v>
      </c>
      <c r="C144" s="7" t="s">
        <v>26</v>
      </c>
      <c r="D144" s="7" t="s">
        <v>34</v>
      </c>
      <c r="E144" s="7" t="s">
        <v>39</v>
      </c>
      <c r="F144" s="7" t="s">
        <v>35</v>
      </c>
      <c r="G144" s="7" t="s">
        <v>36</v>
      </c>
      <c r="H144" s="7" t="s">
        <v>53</v>
      </c>
      <c r="I144" s="7">
        <v>67</v>
      </c>
      <c r="J144" s="7">
        <v>105</v>
      </c>
      <c r="K144" s="20">
        <v>34898.46</v>
      </c>
      <c r="L144" s="20">
        <v>364.72</v>
      </c>
      <c r="M144" s="7">
        <v>39.49</v>
      </c>
      <c r="N144" s="20">
        <f>Table15[[#This Row],[Processing Fee]]-Table15[[#This Row],[Discount Applied]]</f>
        <v>325.23</v>
      </c>
      <c r="O144" s="7" t="str">
        <f>IF(Table15[[#This Row],[Revenue]]&gt;35000,"Achieved","Not Achieved")</f>
        <v>Not Achieved</v>
      </c>
      <c r="P144" s="8">
        <v>3</v>
      </c>
      <c r="Q144" s="7" t="str">
        <f>IF(AND(Table15[[#This Row],[CSAT Score]]&lt;=3,Table15[[#This Row],[Revenue]]&gt;=20000),"High-Risk","Stable")</f>
        <v>High-Risk</v>
      </c>
      <c r="R144" s="8" t="str" cm="1">
        <f t="array" ref="R144">_xlfn.IFS(Table15[[#This Row],[Revenue]]&gt;=35000,"Platinum",Table15[[#This Row],[Revenue]]&gt;=15000,"Gold",TRUE,"Standard")</f>
        <v>Gold</v>
      </c>
      <c r="S144" s="8" t="str">
        <f>IF(OR(Table15[[#This Row],[Product]]="Wealth Management",Table15[[#This Row],[Revenue]]&gt;=40000),"Yes","No")</f>
        <v>No</v>
      </c>
    </row>
    <row r="145" spans="1:19" x14ac:dyDescent="0.3">
      <c r="A145" s="5" t="s">
        <v>203</v>
      </c>
      <c r="B145" s="6">
        <v>46064</v>
      </c>
      <c r="C145" s="7" t="s">
        <v>44</v>
      </c>
      <c r="D145" s="7" t="s">
        <v>45</v>
      </c>
      <c r="E145" s="7" t="s">
        <v>28</v>
      </c>
      <c r="F145" s="7" t="s">
        <v>35</v>
      </c>
      <c r="G145" s="7" t="s">
        <v>23</v>
      </c>
      <c r="H145" s="7" t="s">
        <v>24</v>
      </c>
      <c r="I145" s="7">
        <v>68</v>
      </c>
      <c r="J145" s="7">
        <v>48</v>
      </c>
      <c r="K145" s="20">
        <v>1022.28</v>
      </c>
      <c r="L145" s="20">
        <v>100.41</v>
      </c>
      <c r="M145" s="7">
        <v>196.82</v>
      </c>
      <c r="N145" s="20">
        <f>Table15[[#This Row],[Processing Fee]]-Table15[[#This Row],[Discount Applied]]</f>
        <v>-96.41</v>
      </c>
      <c r="O145" s="7" t="str">
        <f>IF(Table15[[#This Row],[Revenue]]&gt;35000,"Achieved","Not Achieved")</f>
        <v>Not Achieved</v>
      </c>
      <c r="P145" s="8">
        <v>4</v>
      </c>
      <c r="Q145" s="7" t="str">
        <f>IF(AND(Table15[[#This Row],[CSAT Score]]&lt;=3,Table15[[#This Row],[Revenue]]&gt;=20000),"High-Risk","Stable")</f>
        <v>Stable</v>
      </c>
      <c r="R145" s="8" t="str" cm="1">
        <f t="array" ref="R145">_xlfn.IFS(Table15[[#This Row],[Revenue]]&gt;=35000,"Platinum",Table15[[#This Row],[Revenue]]&gt;=15000,"Gold",TRUE,"Standard")</f>
        <v>Standard</v>
      </c>
      <c r="S145" s="8" t="str">
        <f>IF(OR(Table15[[#This Row],[Product]]="Wealth Management",Table15[[#This Row],[Revenue]]&gt;=40000),"Yes","No")</f>
        <v>No</v>
      </c>
    </row>
    <row r="146" spans="1:19" x14ac:dyDescent="0.3">
      <c r="A146" s="5" t="s">
        <v>204</v>
      </c>
      <c r="B146" s="6">
        <v>46014</v>
      </c>
      <c r="C146" s="7" t="s">
        <v>44</v>
      </c>
      <c r="D146" s="7" t="s">
        <v>50</v>
      </c>
      <c r="E146" s="7" t="s">
        <v>28</v>
      </c>
      <c r="F146" s="7" t="s">
        <v>69</v>
      </c>
      <c r="G146" s="7" t="s">
        <v>23</v>
      </c>
      <c r="H146" s="7" t="s">
        <v>57</v>
      </c>
      <c r="I146" s="7">
        <v>62</v>
      </c>
      <c r="J146" s="7">
        <v>107</v>
      </c>
      <c r="K146" s="20">
        <v>20007.46</v>
      </c>
      <c r="L146" s="20">
        <v>432.26</v>
      </c>
      <c r="M146" s="7">
        <v>147.25</v>
      </c>
      <c r="N146" s="20">
        <f>Table15[[#This Row],[Processing Fee]]-Table15[[#This Row],[Discount Applied]]</f>
        <v>285.01</v>
      </c>
      <c r="O146" s="7" t="str">
        <f>IF(Table15[[#This Row],[Revenue]]&gt;35000,"Achieved","Not Achieved")</f>
        <v>Not Achieved</v>
      </c>
      <c r="P146" s="8">
        <v>3</v>
      </c>
      <c r="Q146" s="7" t="str">
        <f>IF(AND(Table15[[#This Row],[CSAT Score]]&lt;=3,Table15[[#This Row],[Revenue]]&gt;=20000),"High-Risk","Stable")</f>
        <v>High-Risk</v>
      </c>
      <c r="R146" s="8" t="str" cm="1">
        <f t="array" ref="R146">_xlfn.IFS(Table15[[#This Row],[Revenue]]&gt;=35000,"Platinum",Table15[[#This Row],[Revenue]]&gt;=15000,"Gold",TRUE,"Standard")</f>
        <v>Gold</v>
      </c>
      <c r="S146" s="8" t="str">
        <f>IF(OR(Table15[[#This Row],[Product]]="Wealth Management",Table15[[#This Row],[Revenue]]&gt;=40000),"Yes","No")</f>
        <v>No</v>
      </c>
    </row>
    <row r="147" spans="1:19" x14ac:dyDescent="0.3">
      <c r="A147" s="5" t="s">
        <v>205</v>
      </c>
      <c r="B147" s="6">
        <v>46131</v>
      </c>
      <c r="C147" s="7" t="s">
        <v>19</v>
      </c>
      <c r="D147" s="7" t="s">
        <v>48</v>
      </c>
      <c r="E147" s="7" t="s">
        <v>39</v>
      </c>
      <c r="F147" s="7" t="s">
        <v>22</v>
      </c>
      <c r="G147" s="7" t="s">
        <v>30</v>
      </c>
      <c r="H147" s="7" t="s">
        <v>53</v>
      </c>
      <c r="I147" s="7">
        <v>32</v>
      </c>
      <c r="J147" s="7">
        <v>39</v>
      </c>
      <c r="K147" s="20">
        <v>42622.12</v>
      </c>
      <c r="L147" s="20">
        <v>289.77999999999997</v>
      </c>
      <c r="M147" s="7">
        <v>154.85</v>
      </c>
      <c r="N147" s="20">
        <f>Table15[[#This Row],[Processing Fee]]-Table15[[#This Row],[Discount Applied]]</f>
        <v>134.92999999999998</v>
      </c>
      <c r="O147" s="7" t="str">
        <f>IF(Table15[[#This Row],[Revenue]]&gt;35000,"Achieved","Not Achieved")</f>
        <v>Achieved</v>
      </c>
      <c r="P147" s="8">
        <v>3</v>
      </c>
      <c r="Q147" s="7" t="str">
        <f>IF(AND(Table15[[#This Row],[CSAT Score]]&lt;=3,Table15[[#This Row],[Revenue]]&gt;=20000),"High-Risk","Stable")</f>
        <v>High-Risk</v>
      </c>
      <c r="R147" s="8" t="str" cm="1">
        <f t="array" ref="R147">_xlfn.IFS(Table15[[#This Row],[Revenue]]&gt;=35000,"Platinum",Table15[[#This Row],[Revenue]]&gt;=15000,"Gold",TRUE,"Standard")</f>
        <v>Platinum</v>
      </c>
      <c r="S147" s="8" t="str">
        <f>IF(OR(Table15[[#This Row],[Product]]="Wealth Management",Table15[[#This Row],[Revenue]]&gt;=40000),"Yes","No")</f>
        <v>Yes</v>
      </c>
    </row>
    <row r="148" spans="1:19" x14ac:dyDescent="0.3">
      <c r="A148" s="5" t="s">
        <v>206</v>
      </c>
      <c r="B148" s="6">
        <v>46132</v>
      </c>
      <c r="C148" s="7" t="s">
        <v>42</v>
      </c>
      <c r="D148" s="7" t="s">
        <v>77</v>
      </c>
      <c r="E148" s="7" t="s">
        <v>46</v>
      </c>
      <c r="F148" s="7" t="s">
        <v>35</v>
      </c>
      <c r="G148" s="7" t="s">
        <v>56</v>
      </c>
      <c r="H148" s="7" t="s">
        <v>53</v>
      </c>
      <c r="I148" s="7">
        <v>33</v>
      </c>
      <c r="J148" s="7">
        <v>31</v>
      </c>
      <c r="K148" s="20">
        <v>17620.009999999998</v>
      </c>
      <c r="L148" s="20">
        <v>262.08999999999997</v>
      </c>
      <c r="M148" s="7">
        <v>131.24</v>
      </c>
      <c r="N148" s="20">
        <f>Table15[[#This Row],[Processing Fee]]-Table15[[#This Row],[Discount Applied]]</f>
        <v>130.84999999999997</v>
      </c>
      <c r="O148" s="7" t="str">
        <f>IF(Table15[[#This Row],[Revenue]]&gt;35000,"Achieved","Not Achieved")</f>
        <v>Not Achieved</v>
      </c>
      <c r="P148" s="8">
        <v>4</v>
      </c>
      <c r="Q148" s="7" t="str">
        <f>IF(AND(Table15[[#This Row],[CSAT Score]]&lt;=3,Table15[[#This Row],[Revenue]]&gt;=20000),"High-Risk","Stable")</f>
        <v>Stable</v>
      </c>
      <c r="R148" s="8" t="str" cm="1">
        <f t="array" ref="R148">_xlfn.IFS(Table15[[#This Row],[Revenue]]&gt;=35000,"Platinum",Table15[[#This Row],[Revenue]]&gt;=15000,"Gold",TRUE,"Standard")</f>
        <v>Gold</v>
      </c>
      <c r="S148" s="8" t="str">
        <f>IF(OR(Table15[[#This Row],[Product]]="Wealth Management",Table15[[#This Row],[Revenue]]&gt;=40000),"Yes","No")</f>
        <v>No</v>
      </c>
    </row>
    <row r="149" spans="1:19" x14ac:dyDescent="0.3">
      <c r="A149" s="5" t="s">
        <v>207</v>
      </c>
      <c r="B149" s="6">
        <v>45953</v>
      </c>
      <c r="C149" s="7" t="s">
        <v>42</v>
      </c>
      <c r="D149" s="7" t="s">
        <v>79</v>
      </c>
      <c r="E149" s="7" t="s">
        <v>39</v>
      </c>
      <c r="F149" s="7" t="s">
        <v>69</v>
      </c>
      <c r="G149" s="7" t="s">
        <v>23</v>
      </c>
      <c r="H149" s="7" t="s">
        <v>57</v>
      </c>
      <c r="I149" s="7">
        <v>24</v>
      </c>
      <c r="J149" s="7">
        <v>106</v>
      </c>
      <c r="K149" s="20">
        <v>2243.15</v>
      </c>
      <c r="L149" s="20">
        <v>491.49</v>
      </c>
      <c r="M149" s="7">
        <v>94.33</v>
      </c>
      <c r="N149" s="20">
        <f>Table15[[#This Row],[Processing Fee]]-Table15[[#This Row],[Discount Applied]]</f>
        <v>397.16</v>
      </c>
      <c r="O149" s="7" t="str">
        <f>IF(Table15[[#This Row],[Revenue]]&gt;35000,"Achieved","Not Achieved")</f>
        <v>Not Achieved</v>
      </c>
      <c r="P149" s="8">
        <v>2</v>
      </c>
      <c r="Q149" s="7" t="str">
        <f>IF(AND(Table15[[#This Row],[CSAT Score]]&lt;=3,Table15[[#This Row],[Revenue]]&gt;=20000),"High-Risk","Stable")</f>
        <v>Stable</v>
      </c>
      <c r="R149" s="8" t="str" cm="1">
        <f t="array" ref="R149">_xlfn.IFS(Table15[[#This Row],[Revenue]]&gt;=35000,"Platinum",Table15[[#This Row],[Revenue]]&gt;=15000,"Gold",TRUE,"Standard")</f>
        <v>Standard</v>
      </c>
      <c r="S149" s="8" t="str">
        <f>IF(OR(Table15[[#This Row],[Product]]="Wealth Management",Table15[[#This Row],[Revenue]]&gt;=40000),"Yes","No")</f>
        <v>No</v>
      </c>
    </row>
    <row r="150" spans="1:19" x14ac:dyDescent="0.3">
      <c r="A150" s="5" t="s">
        <v>208</v>
      </c>
      <c r="B150" s="6">
        <v>46076</v>
      </c>
      <c r="C150" s="7" t="s">
        <v>91</v>
      </c>
      <c r="D150" s="7" t="s">
        <v>34</v>
      </c>
      <c r="E150" s="7" t="s">
        <v>46</v>
      </c>
      <c r="F150" s="7" t="s">
        <v>35</v>
      </c>
      <c r="G150" s="7" t="s">
        <v>56</v>
      </c>
      <c r="H150" s="7" t="s">
        <v>57</v>
      </c>
      <c r="I150" s="7">
        <v>59</v>
      </c>
      <c r="J150" s="7">
        <v>10</v>
      </c>
      <c r="K150" s="20">
        <v>37435.89</v>
      </c>
      <c r="L150" s="20">
        <v>383.17</v>
      </c>
      <c r="M150" s="7">
        <v>114.33</v>
      </c>
      <c r="N150" s="20">
        <f>Table15[[#This Row],[Processing Fee]]-Table15[[#This Row],[Discount Applied]]</f>
        <v>268.84000000000003</v>
      </c>
      <c r="O150" s="7" t="str">
        <f>IF(Table15[[#This Row],[Revenue]]&gt;35000,"Achieved","Not Achieved")</f>
        <v>Achieved</v>
      </c>
      <c r="P150" s="8">
        <v>5</v>
      </c>
      <c r="Q150" s="7" t="str">
        <f>IF(AND(Table15[[#This Row],[CSAT Score]]&lt;=3,Table15[[#This Row],[Revenue]]&gt;=20000),"High-Risk","Stable")</f>
        <v>Stable</v>
      </c>
      <c r="R150" s="8" t="str" cm="1">
        <f t="array" ref="R150">_xlfn.IFS(Table15[[#This Row],[Revenue]]&gt;=35000,"Platinum",Table15[[#This Row],[Revenue]]&gt;=15000,"Gold",TRUE,"Standard")</f>
        <v>Platinum</v>
      </c>
      <c r="S150" s="8" t="str">
        <f>IF(OR(Table15[[#This Row],[Product]]="Wealth Management",Table15[[#This Row],[Revenue]]&gt;=40000),"Yes","No")</f>
        <v>No</v>
      </c>
    </row>
    <row r="151" spans="1:19" x14ac:dyDescent="0.3">
      <c r="A151" s="5" t="s">
        <v>209</v>
      </c>
      <c r="B151" s="6">
        <v>46209</v>
      </c>
      <c r="C151" s="7" t="s">
        <v>44</v>
      </c>
      <c r="D151" s="7" t="s">
        <v>77</v>
      </c>
      <c r="E151" s="7" t="s">
        <v>39</v>
      </c>
      <c r="F151" s="7" t="s">
        <v>22</v>
      </c>
      <c r="G151" s="7" t="s">
        <v>65</v>
      </c>
      <c r="H151" s="7" t="s">
        <v>31</v>
      </c>
      <c r="I151" s="7">
        <v>74</v>
      </c>
      <c r="J151" s="7">
        <v>30</v>
      </c>
      <c r="K151" s="20">
        <v>40200.89</v>
      </c>
      <c r="L151" s="20">
        <v>103.1</v>
      </c>
      <c r="M151" s="7">
        <v>13.92</v>
      </c>
      <c r="N151" s="20">
        <f>Table15[[#This Row],[Processing Fee]]-Table15[[#This Row],[Discount Applied]]</f>
        <v>89.179999999999993</v>
      </c>
      <c r="O151" s="7" t="str">
        <f>IF(Table15[[#This Row],[Revenue]]&gt;35000,"Achieved","Not Achieved")</f>
        <v>Achieved</v>
      </c>
      <c r="P151" s="8">
        <v>1</v>
      </c>
      <c r="Q151" s="7" t="str">
        <f>IF(AND(Table15[[#This Row],[CSAT Score]]&lt;=3,Table15[[#This Row],[Revenue]]&gt;=20000),"High-Risk","Stable")</f>
        <v>High-Risk</v>
      </c>
      <c r="R151" s="8" t="str" cm="1">
        <f t="array" ref="R151">_xlfn.IFS(Table15[[#This Row],[Revenue]]&gt;=35000,"Platinum",Table15[[#This Row],[Revenue]]&gt;=15000,"Gold",TRUE,"Standard")</f>
        <v>Platinum</v>
      </c>
      <c r="S151" s="8" t="str">
        <f>IF(OR(Table15[[#This Row],[Product]]="Wealth Management",Table15[[#This Row],[Revenue]]&gt;=40000),"Yes","No")</f>
        <v>Yes</v>
      </c>
    </row>
    <row r="152" spans="1:19" x14ac:dyDescent="0.3">
      <c r="A152" s="5" t="s">
        <v>210</v>
      </c>
      <c r="B152" s="6">
        <v>46040</v>
      </c>
      <c r="C152" s="7" t="s">
        <v>42</v>
      </c>
      <c r="D152" s="7" t="s">
        <v>34</v>
      </c>
      <c r="E152" s="7" t="s">
        <v>39</v>
      </c>
      <c r="F152" s="7" t="s">
        <v>40</v>
      </c>
      <c r="G152" s="7" t="s">
        <v>36</v>
      </c>
      <c r="H152" s="7" t="s">
        <v>53</v>
      </c>
      <c r="I152" s="7">
        <v>22</v>
      </c>
      <c r="J152" s="7">
        <v>116</v>
      </c>
      <c r="K152" s="20">
        <v>8449.39</v>
      </c>
      <c r="L152" s="20">
        <v>390.44</v>
      </c>
      <c r="M152" s="7">
        <v>124.79</v>
      </c>
      <c r="N152" s="20">
        <f>Table15[[#This Row],[Processing Fee]]-Table15[[#This Row],[Discount Applied]]</f>
        <v>265.64999999999998</v>
      </c>
      <c r="O152" s="7" t="str">
        <f>IF(Table15[[#This Row],[Revenue]]&gt;35000,"Achieved","Not Achieved")</f>
        <v>Not Achieved</v>
      </c>
      <c r="P152" s="8">
        <v>5</v>
      </c>
      <c r="Q152" s="7" t="str">
        <f>IF(AND(Table15[[#This Row],[CSAT Score]]&lt;=3,Table15[[#This Row],[Revenue]]&gt;=20000),"High-Risk","Stable")</f>
        <v>Stable</v>
      </c>
      <c r="R152" s="8" t="str" cm="1">
        <f t="array" ref="R152">_xlfn.IFS(Table15[[#This Row],[Revenue]]&gt;=35000,"Platinum",Table15[[#This Row],[Revenue]]&gt;=15000,"Gold",TRUE,"Standard")</f>
        <v>Standard</v>
      </c>
      <c r="S152" s="8" t="str">
        <f>IF(OR(Table15[[#This Row],[Product]]="Wealth Management",Table15[[#This Row],[Revenue]]&gt;=40000),"Yes","No")</f>
        <v>No</v>
      </c>
    </row>
    <row r="153" spans="1:19" x14ac:dyDescent="0.3">
      <c r="A153" s="5" t="s">
        <v>211</v>
      </c>
      <c r="B153" s="6">
        <v>46165</v>
      </c>
      <c r="C153" s="7" t="s">
        <v>42</v>
      </c>
      <c r="D153" s="7" t="s">
        <v>52</v>
      </c>
      <c r="E153" s="7" t="s">
        <v>59</v>
      </c>
      <c r="F153" s="7" t="s">
        <v>22</v>
      </c>
      <c r="G153" s="7" t="s">
        <v>56</v>
      </c>
      <c r="H153" s="7" t="s">
        <v>53</v>
      </c>
      <c r="I153" s="7">
        <v>46</v>
      </c>
      <c r="J153" s="7">
        <v>18</v>
      </c>
      <c r="K153" s="20">
        <v>27098.35</v>
      </c>
      <c r="L153" s="20">
        <v>92.86</v>
      </c>
      <c r="M153" s="7">
        <v>125.22</v>
      </c>
      <c r="N153" s="20">
        <f>Table15[[#This Row],[Processing Fee]]-Table15[[#This Row],[Discount Applied]]</f>
        <v>-32.36</v>
      </c>
      <c r="O153" s="7" t="str">
        <f>IF(Table15[[#This Row],[Revenue]]&gt;35000,"Achieved","Not Achieved")</f>
        <v>Not Achieved</v>
      </c>
      <c r="P153" s="8">
        <v>1</v>
      </c>
      <c r="Q153" s="7" t="str">
        <f>IF(AND(Table15[[#This Row],[CSAT Score]]&lt;=3,Table15[[#This Row],[Revenue]]&gt;=20000),"High-Risk","Stable")</f>
        <v>High-Risk</v>
      </c>
      <c r="R153" s="8" t="str" cm="1">
        <f t="array" ref="R153">_xlfn.IFS(Table15[[#This Row],[Revenue]]&gt;=35000,"Platinum",Table15[[#This Row],[Revenue]]&gt;=15000,"Gold",TRUE,"Standard")</f>
        <v>Gold</v>
      </c>
      <c r="S153" s="8" t="str">
        <f>IF(OR(Table15[[#This Row],[Product]]="Wealth Management",Table15[[#This Row],[Revenue]]&gt;=40000),"Yes","No")</f>
        <v>Yes</v>
      </c>
    </row>
    <row r="154" spans="1:19" x14ac:dyDescent="0.3">
      <c r="A154" s="5" t="s">
        <v>212</v>
      </c>
      <c r="B154" s="6">
        <v>45929</v>
      </c>
      <c r="C154" s="7" t="s">
        <v>91</v>
      </c>
      <c r="D154" s="7" t="s">
        <v>48</v>
      </c>
      <c r="E154" s="7" t="s">
        <v>28</v>
      </c>
      <c r="F154" s="7" t="s">
        <v>29</v>
      </c>
      <c r="G154" s="7" t="s">
        <v>36</v>
      </c>
      <c r="H154" s="7" t="s">
        <v>24</v>
      </c>
      <c r="I154" s="7">
        <v>47</v>
      </c>
      <c r="J154" s="7">
        <v>60</v>
      </c>
      <c r="K154" s="20">
        <v>10001.790000000001</v>
      </c>
      <c r="L154" s="20">
        <v>62.36</v>
      </c>
      <c r="M154" s="7">
        <v>178.24</v>
      </c>
      <c r="N154" s="20">
        <f>Table15[[#This Row],[Processing Fee]]-Table15[[#This Row],[Discount Applied]]</f>
        <v>-115.88000000000001</v>
      </c>
      <c r="O154" s="7" t="str">
        <f>IF(Table15[[#This Row],[Revenue]]&gt;35000,"Achieved","Not Achieved")</f>
        <v>Not Achieved</v>
      </c>
      <c r="P154" s="8">
        <v>5</v>
      </c>
      <c r="Q154" s="7" t="str">
        <f>IF(AND(Table15[[#This Row],[CSAT Score]]&lt;=3,Table15[[#This Row],[Revenue]]&gt;=20000),"High-Risk","Stable")</f>
        <v>Stable</v>
      </c>
      <c r="R154" s="8" t="str" cm="1">
        <f t="array" ref="R154">_xlfn.IFS(Table15[[#This Row],[Revenue]]&gt;=35000,"Platinum",Table15[[#This Row],[Revenue]]&gt;=15000,"Gold",TRUE,"Standard")</f>
        <v>Standard</v>
      </c>
      <c r="S154" s="8" t="str">
        <f>IF(OR(Table15[[#This Row],[Product]]="Wealth Management",Table15[[#This Row],[Revenue]]&gt;=40000),"Yes","No")</f>
        <v>No</v>
      </c>
    </row>
    <row r="155" spans="1:19" x14ac:dyDescent="0.3">
      <c r="A155" s="5" t="s">
        <v>213</v>
      </c>
      <c r="B155" s="6">
        <v>45920</v>
      </c>
      <c r="C155" s="7" t="s">
        <v>42</v>
      </c>
      <c r="D155" s="7" t="s">
        <v>79</v>
      </c>
      <c r="E155" s="7" t="s">
        <v>39</v>
      </c>
      <c r="F155" s="7" t="s">
        <v>35</v>
      </c>
      <c r="G155" s="7" t="s">
        <v>56</v>
      </c>
      <c r="H155" s="7" t="s">
        <v>31</v>
      </c>
      <c r="I155" s="7">
        <v>47</v>
      </c>
      <c r="J155" s="7">
        <v>88</v>
      </c>
      <c r="K155" s="20">
        <v>36102.1</v>
      </c>
      <c r="L155" s="20">
        <v>231.63</v>
      </c>
      <c r="M155" s="7">
        <v>151.69999999999999</v>
      </c>
      <c r="N155" s="20">
        <f>Table15[[#This Row],[Processing Fee]]-Table15[[#This Row],[Discount Applied]]</f>
        <v>79.930000000000007</v>
      </c>
      <c r="O155" s="7" t="str">
        <f>IF(Table15[[#This Row],[Revenue]]&gt;35000,"Achieved","Not Achieved")</f>
        <v>Achieved</v>
      </c>
      <c r="P155" s="8">
        <v>3</v>
      </c>
      <c r="Q155" s="7" t="str">
        <f>IF(AND(Table15[[#This Row],[CSAT Score]]&lt;=3,Table15[[#This Row],[Revenue]]&gt;=20000),"High-Risk","Stable")</f>
        <v>High-Risk</v>
      </c>
      <c r="R155" s="8" t="str" cm="1">
        <f t="array" ref="R155">_xlfn.IFS(Table15[[#This Row],[Revenue]]&gt;=35000,"Platinum",Table15[[#This Row],[Revenue]]&gt;=15000,"Gold",TRUE,"Standard")</f>
        <v>Platinum</v>
      </c>
      <c r="S155" s="8" t="str">
        <f>IF(OR(Table15[[#This Row],[Product]]="Wealth Management",Table15[[#This Row],[Revenue]]&gt;=40000),"Yes","No")</f>
        <v>No</v>
      </c>
    </row>
    <row r="156" spans="1:19" x14ac:dyDescent="0.3">
      <c r="A156" s="5" t="s">
        <v>214</v>
      </c>
      <c r="B156" s="6">
        <v>46190</v>
      </c>
      <c r="C156" s="7" t="s">
        <v>33</v>
      </c>
      <c r="D156" s="7" t="s">
        <v>45</v>
      </c>
      <c r="E156" s="7" t="s">
        <v>39</v>
      </c>
      <c r="F156" s="7" t="s">
        <v>35</v>
      </c>
      <c r="G156" s="7" t="s">
        <v>65</v>
      </c>
      <c r="H156" s="7" t="s">
        <v>24</v>
      </c>
      <c r="I156" s="7">
        <v>35</v>
      </c>
      <c r="J156" s="7">
        <v>116</v>
      </c>
      <c r="K156" s="20">
        <v>13941.75</v>
      </c>
      <c r="L156" s="20">
        <v>497.11</v>
      </c>
      <c r="M156" s="7">
        <v>15.43</v>
      </c>
      <c r="N156" s="20">
        <f>Table15[[#This Row],[Processing Fee]]-Table15[[#This Row],[Discount Applied]]</f>
        <v>481.68</v>
      </c>
      <c r="O156" s="7" t="str">
        <f>IF(Table15[[#This Row],[Revenue]]&gt;35000,"Achieved","Not Achieved")</f>
        <v>Not Achieved</v>
      </c>
      <c r="P156" s="8">
        <v>2</v>
      </c>
      <c r="Q156" s="7" t="str">
        <f>IF(AND(Table15[[#This Row],[CSAT Score]]&lt;=3,Table15[[#This Row],[Revenue]]&gt;=20000),"High-Risk","Stable")</f>
        <v>Stable</v>
      </c>
      <c r="R156" s="8" t="str" cm="1">
        <f t="array" ref="R156">_xlfn.IFS(Table15[[#This Row],[Revenue]]&gt;=35000,"Platinum",Table15[[#This Row],[Revenue]]&gt;=15000,"Gold",TRUE,"Standard")</f>
        <v>Standard</v>
      </c>
      <c r="S156" s="8" t="str">
        <f>IF(OR(Table15[[#This Row],[Product]]="Wealth Management",Table15[[#This Row],[Revenue]]&gt;=40000),"Yes","No")</f>
        <v>No</v>
      </c>
    </row>
    <row r="157" spans="1:19" x14ac:dyDescent="0.3">
      <c r="A157" s="5" t="s">
        <v>215</v>
      </c>
      <c r="B157" s="6">
        <v>46043</v>
      </c>
      <c r="C157" s="7" t="s">
        <v>55</v>
      </c>
      <c r="D157" s="7" t="s">
        <v>68</v>
      </c>
      <c r="E157" s="7" t="s">
        <v>21</v>
      </c>
      <c r="F157" s="7" t="s">
        <v>29</v>
      </c>
      <c r="G157" s="7" t="s">
        <v>23</v>
      </c>
      <c r="H157" s="7" t="s">
        <v>53</v>
      </c>
      <c r="I157" s="7">
        <v>28</v>
      </c>
      <c r="J157" s="7">
        <v>73</v>
      </c>
      <c r="K157" s="20">
        <v>16152.65</v>
      </c>
      <c r="L157" s="20">
        <v>128.69999999999999</v>
      </c>
      <c r="M157" s="7">
        <v>61.24</v>
      </c>
      <c r="N157" s="20">
        <f>Table15[[#This Row],[Processing Fee]]-Table15[[#This Row],[Discount Applied]]</f>
        <v>67.45999999999998</v>
      </c>
      <c r="O157" s="7" t="str">
        <f>IF(Table15[[#This Row],[Revenue]]&gt;35000,"Achieved","Not Achieved")</f>
        <v>Not Achieved</v>
      </c>
      <c r="P157" s="8">
        <v>3</v>
      </c>
      <c r="Q157" s="7" t="str">
        <f>IF(AND(Table15[[#This Row],[CSAT Score]]&lt;=3,Table15[[#This Row],[Revenue]]&gt;=20000),"High-Risk","Stable")</f>
        <v>Stable</v>
      </c>
      <c r="R157" s="8" t="str" cm="1">
        <f t="array" ref="R157">_xlfn.IFS(Table15[[#This Row],[Revenue]]&gt;=35000,"Platinum",Table15[[#This Row],[Revenue]]&gt;=15000,"Gold",TRUE,"Standard")</f>
        <v>Gold</v>
      </c>
      <c r="S157" s="8" t="str">
        <f>IF(OR(Table15[[#This Row],[Product]]="Wealth Management",Table15[[#This Row],[Revenue]]&gt;=40000),"Yes","No")</f>
        <v>No</v>
      </c>
    </row>
    <row r="158" spans="1:19" x14ac:dyDescent="0.3">
      <c r="A158" s="5" t="s">
        <v>216</v>
      </c>
      <c r="B158" s="6">
        <v>45915</v>
      </c>
      <c r="C158" s="7" t="s">
        <v>19</v>
      </c>
      <c r="D158" s="7" t="s">
        <v>20</v>
      </c>
      <c r="E158" s="7" t="s">
        <v>28</v>
      </c>
      <c r="F158" s="7" t="s">
        <v>29</v>
      </c>
      <c r="G158" s="7" t="s">
        <v>65</v>
      </c>
      <c r="H158" s="7" t="s">
        <v>24</v>
      </c>
      <c r="I158" s="7">
        <v>27</v>
      </c>
      <c r="J158" s="7">
        <v>95</v>
      </c>
      <c r="K158" s="20">
        <v>42326.06</v>
      </c>
      <c r="L158" s="20">
        <v>352.69</v>
      </c>
      <c r="M158" s="7">
        <v>131.13</v>
      </c>
      <c r="N158" s="20">
        <f>Table15[[#This Row],[Processing Fee]]-Table15[[#This Row],[Discount Applied]]</f>
        <v>221.56</v>
      </c>
      <c r="O158" s="7" t="str">
        <f>IF(Table15[[#This Row],[Revenue]]&gt;35000,"Achieved","Not Achieved")</f>
        <v>Achieved</v>
      </c>
      <c r="P158" s="8">
        <v>2</v>
      </c>
      <c r="Q158" s="7" t="str">
        <f>IF(AND(Table15[[#This Row],[CSAT Score]]&lt;=3,Table15[[#This Row],[Revenue]]&gt;=20000),"High-Risk","Stable")</f>
        <v>High-Risk</v>
      </c>
      <c r="R158" s="8" t="str" cm="1">
        <f t="array" ref="R158">_xlfn.IFS(Table15[[#This Row],[Revenue]]&gt;=35000,"Platinum",Table15[[#This Row],[Revenue]]&gt;=15000,"Gold",TRUE,"Standard")</f>
        <v>Platinum</v>
      </c>
      <c r="S158" s="8" t="str">
        <f>IF(OR(Table15[[#This Row],[Product]]="Wealth Management",Table15[[#This Row],[Revenue]]&gt;=40000),"Yes","No")</f>
        <v>Yes</v>
      </c>
    </row>
    <row r="159" spans="1:19" x14ac:dyDescent="0.3">
      <c r="A159" s="5" t="s">
        <v>217</v>
      </c>
      <c r="B159" s="6">
        <v>46031</v>
      </c>
      <c r="C159" s="7" t="s">
        <v>55</v>
      </c>
      <c r="D159" s="7" t="s">
        <v>45</v>
      </c>
      <c r="E159" s="7" t="s">
        <v>21</v>
      </c>
      <c r="F159" s="7" t="s">
        <v>40</v>
      </c>
      <c r="G159" s="7" t="s">
        <v>23</v>
      </c>
      <c r="H159" s="7" t="s">
        <v>53</v>
      </c>
      <c r="I159" s="7">
        <v>67</v>
      </c>
      <c r="J159" s="7">
        <v>15</v>
      </c>
      <c r="K159" s="20">
        <v>24077.96</v>
      </c>
      <c r="L159" s="20">
        <v>128.03</v>
      </c>
      <c r="M159" s="7">
        <v>47.85</v>
      </c>
      <c r="N159" s="20">
        <f>Table15[[#This Row],[Processing Fee]]-Table15[[#This Row],[Discount Applied]]</f>
        <v>80.180000000000007</v>
      </c>
      <c r="O159" s="7" t="str">
        <f>IF(Table15[[#This Row],[Revenue]]&gt;35000,"Achieved","Not Achieved")</f>
        <v>Not Achieved</v>
      </c>
      <c r="P159" s="8">
        <v>4</v>
      </c>
      <c r="Q159" s="7" t="str">
        <f>IF(AND(Table15[[#This Row],[CSAT Score]]&lt;=3,Table15[[#This Row],[Revenue]]&gt;=20000),"High-Risk","Stable")</f>
        <v>Stable</v>
      </c>
      <c r="R159" s="8" t="str" cm="1">
        <f t="array" ref="R159">_xlfn.IFS(Table15[[#This Row],[Revenue]]&gt;=35000,"Platinum",Table15[[#This Row],[Revenue]]&gt;=15000,"Gold",TRUE,"Standard")</f>
        <v>Gold</v>
      </c>
      <c r="S159" s="8" t="str">
        <f>IF(OR(Table15[[#This Row],[Product]]="Wealth Management",Table15[[#This Row],[Revenue]]&gt;=40000),"Yes","No")</f>
        <v>No</v>
      </c>
    </row>
    <row r="160" spans="1:19" x14ac:dyDescent="0.3">
      <c r="A160" s="5" t="s">
        <v>218</v>
      </c>
      <c r="B160" s="6">
        <v>46007</v>
      </c>
      <c r="C160" s="7" t="s">
        <v>91</v>
      </c>
      <c r="D160" s="7" t="s">
        <v>68</v>
      </c>
      <c r="E160" s="7" t="s">
        <v>28</v>
      </c>
      <c r="F160" s="7" t="s">
        <v>35</v>
      </c>
      <c r="G160" s="7" t="s">
        <v>23</v>
      </c>
      <c r="H160" s="7" t="s">
        <v>53</v>
      </c>
      <c r="I160" s="7">
        <v>66</v>
      </c>
      <c r="J160" s="7">
        <v>4</v>
      </c>
      <c r="K160" s="20">
        <v>33652.85</v>
      </c>
      <c r="L160" s="20">
        <v>376.15</v>
      </c>
      <c r="M160" s="7">
        <v>56.11</v>
      </c>
      <c r="N160" s="20">
        <f>Table15[[#This Row],[Processing Fee]]-Table15[[#This Row],[Discount Applied]]</f>
        <v>320.03999999999996</v>
      </c>
      <c r="O160" s="7" t="str">
        <f>IF(Table15[[#This Row],[Revenue]]&gt;35000,"Achieved","Not Achieved")</f>
        <v>Not Achieved</v>
      </c>
      <c r="P160" s="8">
        <v>1</v>
      </c>
      <c r="Q160" s="7" t="str">
        <f>IF(AND(Table15[[#This Row],[CSAT Score]]&lt;=3,Table15[[#This Row],[Revenue]]&gt;=20000),"High-Risk","Stable")</f>
        <v>High-Risk</v>
      </c>
      <c r="R160" s="8" t="str" cm="1">
        <f t="array" ref="R160">_xlfn.IFS(Table15[[#This Row],[Revenue]]&gt;=35000,"Platinum",Table15[[#This Row],[Revenue]]&gt;=15000,"Gold",TRUE,"Standard")</f>
        <v>Gold</v>
      </c>
      <c r="S160" s="8" t="str">
        <f>IF(OR(Table15[[#This Row],[Product]]="Wealth Management",Table15[[#This Row],[Revenue]]&gt;=40000),"Yes","No")</f>
        <v>No</v>
      </c>
    </row>
    <row r="161" spans="1:19" x14ac:dyDescent="0.3">
      <c r="A161" s="5" t="s">
        <v>219</v>
      </c>
      <c r="B161" s="6">
        <v>45957</v>
      </c>
      <c r="C161" s="7" t="s">
        <v>26</v>
      </c>
      <c r="D161" s="7" t="s">
        <v>50</v>
      </c>
      <c r="E161" s="7" t="s">
        <v>21</v>
      </c>
      <c r="F161" s="7" t="s">
        <v>35</v>
      </c>
      <c r="G161" s="7" t="s">
        <v>36</v>
      </c>
      <c r="H161" s="7" t="s">
        <v>24</v>
      </c>
      <c r="I161" s="7">
        <v>60</v>
      </c>
      <c r="J161" s="7">
        <v>63</v>
      </c>
      <c r="K161" s="20">
        <v>20417.47</v>
      </c>
      <c r="L161" s="20">
        <v>277.41000000000003</v>
      </c>
      <c r="M161" s="7">
        <v>164.09</v>
      </c>
      <c r="N161" s="20">
        <f>Table15[[#This Row],[Processing Fee]]-Table15[[#This Row],[Discount Applied]]</f>
        <v>113.32000000000002</v>
      </c>
      <c r="O161" s="7" t="str">
        <f>IF(Table15[[#This Row],[Revenue]]&gt;35000,"Achieved","Not Achieved")</f>
        <v>Not Achieved</v>
      </c>
      <c r="P161" s="8">
        <v>1</v>
      </c>
      <c r="Q161" s="7" t="str">
        <f>IF(AND(Table15[[#This Row],[CSAT Score]]&lt;=3,Table15[[#This Row],[Revenue]]&gt;=20000),"High-Risk","Stable")</f>
        <v>High-Risk</v>
      </c>
      <c r="R161" s="8" t="str" cm="1">
        <f t="array" ref="R161">_xlfn.IFS(Table15[[#This Row],[Revenue]]&gt;=35000,"Platinum",Table15[[#This Row],[Revenue]]&gt;=15000,"Gold",TRUE,"Standard")</f>
        <v>Gold</v>
      </c>
      <c r="S161" s="8" t="str">
        <f>IF(OR(Table15[[#This Row],[Product]]="Wealth Management",Table15[[#This Row],[Revenue]]&gt;=40000),"Yes","No")</f>
        <v>No</v>
      </c>
    </row>
    <row r="162" spans="1:19" x14ac:dyDescent="0.3">
      <c r="A162" s="5" t="s">
        <v>220</v>
      </c>
      <c r="B162" s="6">
        <v>45929</v>
      </c>
      <c r="C162" s="7" t="s">
        <v>19</v>
      </c>
      <c r="D162" s="7" t="s">
        <v>61</v>
      </c>
      <c r="E162" s="7" t="s">
        <v>39</v>
      </c>
      <c r="F162" s="7" t="s">
        <v>40</v>
      </c>
      <c r="G162" s="7" t="s">
        <v>65</v>
      </c>
      <c r="H162" s="7" t="s">
        <v>24</v>
      </c>
      <c r="I162" s="7">
        <v>32</v>
      </c>
      <c r="J162" s="7">
        <v>40</v>
      </c>
      <c r="K162" s="20">
        <v>15251.34</v>
      </c>
      <c r="L162" s="20">
        <v>355.99</v>
      </c>
      <c r="M162" s="7">
        <v>116.86</v>
      </c>
      <c r="N162" s="20">
        <f>Table15[[#This Row],[Processing Fee]]-Table15[[#This Row],[Discount Applied]]</f>
        <v>239.13</v>
      </c>
      <c r="O162" s="7" t="str">
        <f>IF(Table15[[#This Row],[Revenue]]&gt;35000,"Achieved","Not Achieved")</f>
        <v>Not Achieved</v>
      </c>
      <c r="P162" s="8">
        <v>4</v>
      </c>
      <c r="Q162" s="7" t="str">
        <f>IF(AND(Table15[[#This Row],[CSAT Score]]&lt;=3,Table15[[#This Row],[Revenue]]&gt;=20000),"High-Risk","Stable")</f>
        <v>Stable</v>
      </c>
      <c r="R162" s="8" t="str" cm="1">
        <f t="array" ref="R162">_xlfn.IFS(Table15[[#This Row],[Revenue]]&gt;=35000,"Platinum",Table15[[#This Row],[Revenue]]&gt;=15000,"Gold",TRUE,"Standard")</f>
        <v>Gold</v>
      </c>
      <c r="S162" s="8" t="str">
        <f>IF(OR(Table15[[#This Row],[Product]]="Wealth Management",Table15[[#This Row],[Revenue]]&gt;=40000),"Yes","No")</f>
        <v>No</v>
      </c>
    </row>
    <row r="163" spans="1:19" x14ac:dyDescent="0.3">
      <c r="A163" s="5" t="s">
        <v>221</v>
      </c>
      <c r="B163" s="6">
        <v>46186</v>
      </c>
      <c r="C163" s="7" t="s">
        <v>91</v>
      </c>
      <c r="D163" s="7" t="s">
        <v>83</v>
      </c>
      <c r="E163" s="7" t="s">
        <v>39</v>
      </c>
      <c r="F163" s="7" t="s">
        <v>69</v>
      </c>
      <c r="G163" s="7" t="s">
        <v>56</v>
      </c>
      <c r="H163" s="7" t="s">
        <v>57</v>
      </c>
      <c r="I163" s="7">
        <v>33</v>
      </c>
      <c r="J163" s="7">
        <v>9</v>
      </c>
      <c r="K163" s="20">
        <v>31461.16</v>
      </c>
      <c r="L163" s="20">
        <v>141.29</v>
      </c>
      <c r="M163" s="7">
        <v>101.71</v>
      </c>
      <c r="N163" s="20">
        <f>Table15[[#This Row],[Processing Fee]]-Table15[[#This Row],[Discount Applied]]</f>
        <v>39.58</v>
      </c>
      <c r="O163" s="7" t="str">
        <f>IF(Table15[[#This Row],[Revenue]]&gt;35000,"Achieved","Not Achieved")</f>
        <v>Not Achieved</v>
      </c>
      <c r="P163" s="8">
        <v>5</v>
      </c>
      <c r="Q163" s="7" t="str">
        <f>IF(AND(Table15[[#This Row],[CSAT Score]]&lt;=3,Table15[[#This Row],[Revenue]]&gt;=20000),"High-Risk","Stable")</f>
        <v>Stable</v>
      </c>
      <c r="R163" s="8" t="str" cm="1">
        <f t="array" ref="R163">_xlfn.IFS(Table15[[#This Row],[Revenue]]&gt;=35000,"Platinum",Table15[[#This Row],[Revenue]]&gt;=15000,"Gold",TRUE,"Standard")</f>
        <v>Gold</v>
      </c>
      <c r="S163" s="8" t="str">
        <f>IF(OR(Table15[[#This Row],[Product]]="Wealth Management",Table15[[#This Row],[Revenue]]&gt;=40000),"Yes","No")</f>
        <v>No</v>
      </c>
    </row>
    <row r="164" spans="1:19" x14ac:dyDescent="0.3">
      <c r="A164" s="5" t="s">
        <v>222</v>
      </c>
      <c r="B164" s="6">
        <v>46049</v>
      </c>
      <c r="C164" s="7" t="s">
        <v>44</v>
      </c>
      <c r="D164" s="7" t="s">
        <v>83</v>
      </c>
      <c r="E164" s="7" t="s">
        <v>59</v>
      </c>
      <c r="F164" s="7" t="s">
        <v>40</v>
      </c>
      <c r="G164" s="7" t="s">
        <v>65</v>
      </c>
      <c r="H164" s="7" t="s">
        <v>57</v>
      </c>
      <c r="I164" s="7">
        <v>63</v>
      </c>
      <c r="J164" s="7">
        <v>109</v>
      </c>
      <c r="K164" s="20">
        <v>8165.45</v>
      </c>
      <c r="L164" s="20">
        <v>385.53</v>
      </c>
      <c r="M164" s="7">
        <v>63.69</v>
      </c>
      <c r="N164" s="20">
        <f>Table15[[#This Row],[Processing Fee]]-Table15[[#This Row],[Discount Applied]]</f>
        <v>321.83999999999997</v>
      </c>
      <c r="O164" s="7" t="str">
        <f>IF(Table15[[#This Row],[Revenue]]&gt;35000,"Achieved","Not Achieved")</f>
        <v>Not Achieved</v>
      </c>
      <c r="P164" s="8">
        <v>4</v>
      </c>
      <c r="Q164" s="7" t="str">
        <f>IF(AND(Table15[[#This Row],[CSAT Score]]&lt;=3,Table15[[#This Row],[Revenue]]&gt;=20000),"High-Risk","Stable")</f>
        <v>Stable</v>
      </c>
      <c r="R164" s="8" t="str" cm="1">
        <f t="array" ref="R164">_xlfn.IFS(Table15[[#This Row],[Revenue]]&gt;=35000,"Platinum",Table15[[#This Row],[Revenue]]&gt;=15000,"Gold",TRUE,"Standard")</f>
        <v>Standard</v>
      </c>
      <c r="S164" s="8" t="str">
        <f>IF(OR(Table15[[#This Row],[Product]]="Wealth Management",Table15[[#This Row],[Revenue]]&gt;=40000),"Yes","No")</f>
        <v>No</v>
      </c>
    </row>
    <row r="165" spans="1:19" x14ac:dyDescent="0.3">
      <c r="A165" s="5" t="s">
        <v>223</v>
      </c>
      <c r="B165" s="6">
        <v>45887</v>
      </c>
      <c r="C165" s="7" t="s">
        <v>26</v>
      </c>
      <c r="D165" s="7" t="s">
        <v>83</v>
      </c>
      <c r="E165" s="7" t="s">
        <v>21</v>
      </c>
      <c r="F165" s="7" t="s">
        <v>22</v>
      </c>
      <c r="G165" s="7" t="s">
        <v>36</v>
      </c>
      <c r="H165" s="7" t="s">
        <v>57</v>
      </c>
      <c r="I165" s="7">
        <v>37</v>
      </c>
      <c r="J165" s="7">
        <v>9</v>
      </c>
      <c r="K165" s="20">
        <v>18963.490000000002</v>
      </c>
      <c r="L165" s="20">
        <v>498.03</v>
      </c>
      <c r="M165" s="7">
        <v>146.19</v>
      </c>
      <c r="N165" s="20">
        <f>Table15[[#This Row],[Processing Fee]]-Table15[[#This Row],[Discount Applied]]</f>
        <v>351.84</v>
      </c>
      <c r="O165" s="7" t="str">
        <f>IF(Table15[[#This Row],[Revenue]]&gt;35000,"Achieved","Not Achieved")</f>
        <v>Not Achieved</v>
      </c>
      <c r="P165" s="8">
        <v>4</v>
      </c>
      <c r="Q165" s="7" t="str">
        <f>IF(AND(Table15[[#This Row],[CSAT Score]]&lt;=3,Table15[[#This Row],[Revenue]]&gt;=20000),"High-Risk","Stable")</f>
        <v>Stable</v>
      </c>
      <c r="R165" s="8" t="str" cm="1">
        <f t="array" ref="R165">_xlfn.IFS(Table15[[#This Row],[Revenue]]&gt;=35000,"Platinum",Table15[[#This Row],[Revenue]]&gt;=15000,"Gold",TRUE,"Standard")</f>
        <v>Gold</v>
      </c>
      <c r="S165" s="8" t="str">
        <f>IF(OR(Table15[[#This Row],[Product]]="Wealth Management",Table15[[#This Row],[Revenue]]&gt;=40000),"Yes","No")</f>
        <v>Yes</v>
      </c>
    </row>
    <row r="166" spans="1:19" x14ac:dyDescent="0.3">
      <c r="A166" s="5" t="s">
        <v>224</v>
      </c>
      <c r="B166" s="6">
        <v>45980</v>
      </c>
      <c r="C166" s="7" t="s">
        <v>55</v>
      </c>
      <c r="D166" s="7" t="s">
        <v>63</v>
      </c>
      <c r="E166" s="7" t="s">
        <v>46</v>
      </c>
      <c r="F166" s="7" t="s">
        <v>35</v>
      </c>
      <c r="G166" s="7" t="s">
        <v>23</v>
      </c>
      <c r="H166" s="7" t="s">
        <v>53</v>
      </c>
      <c r="I166" s="7">
        <v>37</v>
      </c>
      <c r="J166" s="7">
        <v>26</v>
      </c>
      <c r="K166" s="20">
        <v>10847.33</v>
      </c>
      <c r="L166" s="20">
        <v>349.54</v>
      </c>
      <c r="M166" s="7">
        <v>57.54</v>
      </c>
      <c r="N166" s="20">
        <f>Table15[[#This Row],[Processing Fee]]-Table15[[#This Row],[Discount Applied]]</f>
        <v>292</v>
      </c>
      <c r="O166" s="7" t="str">
        <f>IF(Table15[[#This Row],[Revenue]]&gt;35000,"Achieved","Not Achieved")</f>
        <v>Not Achieved</v>
      </c>
      <c r="P166" s="8">
        <v>2</v>
      </c>
      <c r="Q166" s="7" t="str">
        <f>IF(AND(Table15[[#This Row],[CSAT Score]]&lt;=3,Table15[[#This Row],[Revenue]]&gt;=20000),"High-Risk","Stable")</f>
        <v>Stable</v>
      </c>
      <c r="R166" s="8" t="str" cm="1">
        <f t="array" ref="R166">_xlfn.IFS(Table15[[#This Row],[Revenue]]&gt;=35000,"Platinum",Table15[[#This Row],[Revenue]]&gt;=15000,"Gold",TRUE,"Standard")</f>
        <v>Standard</v>
      </c>
      <c r="S166" s="8" t="str">
        <f>IF(OR(Table15[[#This Row],[Product]]="Wealth Management",Table15[[#This Row],[Revenue]]&gt;=40000),"Yes","No")</f>
        <v>No</v>
      </c>
    </row>
    <row r="167" spans="1:19" x14ac:dyDescent="0.3">
      <c r="A167" s="5" t="s">
        <v>225</v>
      </c>
      <c r="B167" s="6">
        <v>46096</v>
      </c>
      <c r="C167" s="7" t="s">
        <v>91</v>
      </c>
      <c r="D167" s="7" t="s">
        <v>27</v>
      </c>
      <c r="E167" s="7" t="s">
        <v>59</v>
      </c>
      <c r="F167" s="7" t="s">
        <v>29</v>
      </c>
      <c r="G167" s="7" t="s">
        <v>36</v>
      </c>
      <c r="H167" s="7" t="s">
        <v>24</v>
      </c>
      <c r="I167" s="7">
        <v>56</v>
      </c>
      <c r="J167" s="7">
        <v>4</v>
      </c>
      <c r="K167" s="20">
        <v>34941.85</v>
      </c>
      <c r="L167" s="20">
        <v>272.07</v>
      </c>
      <c r="M167" s="7">
        <v>147.41</v>
      </c>
      <c r="N167" s="20">
        <f>Table15[[#This Row],[Processing Fee]]-Table15[[#This Row],[Discount Applied]]</f>
        <v>124.66</v>
      </c>
      <c r="O167" s="7" t="str">
        <f>IF(Table15[[#This Row],[Revenue]]&gt;35000,"Achieved","Not Achieved")</f>
        <v>Not Achieved</v>
      </c>
      <c r="P167" s="8">
        <v>4</v>
      </c>
      <c r="Q167" s="7" t="str">
        <f>IF(AND(Table15[[#This Row],[CSAT Score]]&lt;=3,Table15[[#This Row],[Revenue]]&gt;=20000),"High-Risk","Stable")</f>
        <v>Stable</v>
      </c>
      <c r="R167" s="8" t="str" cm="1">
        <f t="array" ref="R167">_xlfn.IFS(Table15[[#This Row],[Revenue]]&gt;=35000,"Platinum",Table15[[#This Row],[Revenue]]&gt;=15000,"Gold",TRUE,"Standard")</f>
        <v>Gold</v>
      </c>
      <c r="S167" s="8" t="str">
        <f>IF(OR(Table15[[#This Row],[Product]]="Wealth Management",Table15[[#This Row],[Revenue]]&gt;=40000),"Yes","No")</f>
        <v>No</v>
      </c>
    </row>
    <row r="168" spans="1:19" x14ac:dyDescent="0.3">
      <c r="A168" s="5" t="s">
        <v>226</v>
      </c>
      <c r="B168" s="6">
        <v>46025</v>
      </c>
      <c r="C168" s="7" t="s">
        <v>44</v>
      </c>
      <c r="D168" s="7" t="s">
        <v>38</v>
      </c>
      <c r="E168" s="7" t="s">
        <v>21</v>
      </c>
      <c r="F168" s="7" t="s">
        <v>22</v>
      </c>
      <c r="G168" s="7" t="s">
        <v>30</v>
      </c>
      <c r="H168" s="7" t="s">
        <v>31</v>
      </c>
      <c r="I168" s="7">
        <v>41</v>
      </c>
      <c r="J168" s="7">
        <v>81</v>
      </c>
      <c r="K168" s="20">
        <v>47238.34</v>
      </c>
      <c r="L168" s="20">
        <v>465.43</v>
      </c>
      <c r="M168" s="7">
        <v>21.03</v>
      </c>
      <c r="N168" s="20">
        <f>Table15[[#This Row],[Processing Fee]]-Table15[[#This Row],[Discount Applied]]</f>
        <v>444.4</v>
      </c>
      <c r="O168" s="7" t="str">
        <f>IF(Table15[[#This Row],[Revenue]]&gt;35000,"Achieved","Not Achieved")</f>
        <v>Achieved</v>
      </c>
      <c r="P168" s="8">
        <v>1</v>
      </c>
      <c r="Q168" s="7" t="str">
        <f>IF(AND(Table15[[#This Row],[CSAT Score]]&lt;=3,Table15[[#This Row],[Revenue]]&gt;=20000),"High-Risk","Stable")</f>
        <v>High-Risk</v>
      </c>
      <c r="R168" s="8" t="str" cm="1">
        <f t="array" ref="R168">_xlfn.IFS(Table15[[#This Row],[Revenue]]&gt;=35000,"Platinum",Table15[[#This Row],[Revenue]]&gt;=15000,"Gold",TRUE,"Standard")</f>
        <v>Platinum</v>
      </c>
      <c r="S168" s="8" t="str">
        <f>IF(OR(Table15[[#This Row],[Product]]="Wealth Management",Table15[[#This Row],[Revenue]]&gt;=40000),"Yes","No")</f>
        <v>Yes</v>
      </c>
    </row>
    <row r="169" spans="1:19" x14ac:dyDescent="0.3">
      <c r="A169" s="5" t="s">
        <v>227</v>
      </c>
      <c r="B169" s="6">
        <v>46064</v>
      </c>
      <c r="C169" s="7" t="s">
        <v>19</v>
      </c>
      <c r="D169" s="7" t="s">
        <v>87</v>
      </c>
      <c r="E169" s="7" t="s">
        <v>21</v>
      </c>
      <c r="F169" s="7" t="s">
        <v>35</v>
      </c>
      <c r="G169" s="7" t="s">
        <v>30</v>
      </c>
      <c r="H169" s="7" t="s">
        <v>53</v>
      </c>
      <c r="I169" s="7">
        <v>28</v>
      </c>
      <c r="J169" s="7">
        <v>16</v>
      </c>
      <c r="K169" s="20">
        <v>49777.79</v>
      </c>
      <c r="L169" s="20">
        <v>57.13</v>
      </c>
      <c r="M169" s="7">
        <v>172.91</v>
      </c>
      <c r="N169" s="20">
        <f>Table15[[#This Row],[Processing Fee]]-Table15[[#This Row],[Discount Applied]]</f>
        <v>-115.78</v>
      </c>
      <c r="O169" s="7" t="str">
        <f>IF(Table15[[#This Row],[Revenue]]&gt;35000,"Achieved","Not Achieved")</f>
        <v>Achieved</v>
      </c>
      <c r="P169" s="8">
        <v>3</v>
      </c>
      <c r="Q169" s="7" t="str">
        <f>IF(AND(Table15[[#This Row],[CSAT Score]]&lt;=3,Table15[[#This Row],[Revenue]]&gt;=20000),"High-Risk","Stable")</f>
        <v>High-Risk</v>
      </c>
      <c r="R169" s="8" t="str" cm="1">
        <f t="array" ref="R169">_xlfn.IFS(Table15[[#This Row],[Revenue]]&gt;=35000,"Platinum",Table15[[#This Row],[Revenue]]&gt;=15000,"Gold",TRUE,"Standard")</f>
        <v>Platinum</v>
      </c>
      <c r="S169" s="8" t="str">
        <f>IF(OR(Table15[[#This Row],[Product]]="Wealth Management",Table15[[#This Row],[Revenue]]&gt;=40000),"Yes","No")</f>
        <v>Yes</v>
      </c>
    </row>
    <row r="170" spans="1:19" x14ac:dyDescent="0.3">
      <c r="A170" s="5" t="s">
        <v>228</v>
      </c>
      <c r="B170" s="6">
        <v>46015</v>
      </c>
      <c r="C170" s="7" t="s">
        <v>19</v>
      </c>
      <c r="D170" s="7" t="s">
        <v>87</v>
      </c>
      <c r="E170" s="7" t="s">
        <v>59</v>
      </c>
      <c r="F170" s="7" t="s">
        <v>40</v>
      </c>
      <c r="G170" s="7" t="s">
        <v>56</v>
      </c>
      <c r="H170" s="7" t="s">
        <v>31</v>
      </c>
      <c r="I170" s="7">
        <v>25</v>
      </c>
      <c r="J170" s="7">
        <v>15</v>
      </c>
      <c r="K170" s="20">
        <v>22788.7</v>
      </c>
      <c r="L170" s="20">
        <v>378.47</v>
      </c>
      <c r="M170" s="7">
        <v>149.86000000000001</v>
      </c>
      <c r="N170" s="20">
        <f>Table15[[#This Row],[Processing Fee]]-Table15[[#This Row],[Discount Applied]]</f>
        <v>228.61</v>
      </c>
      <c r="O170" s="7" t="str">
        <f>IF(Table15[[#This Row],[Revenue]]&gt;35000,"Achieved","Not Achieved")</f>
        <v>Not Achieved</v>
      </c>
      <c r="P170" s="8">
        <v>2</v>
      </c>
      <c r="Q170" s="7" t="str">
        <f>IF(AND(Table15[[#This Row],[CSAT Score]]&lt;=3,Table15[[#This Row],[Revenue]]&gt;=20000),"High-Risk","Stable")</f>
        <v>High-Risk</v>
      </c>
      <c r="R170" s="8" t="str" cm="1">
        <f t="array" ref="R170">_xlfn.IFS(Table15[[#This Row],[Revenue]]&gt;=35000,"Platinum",Table15[[#This Row],[Revenue]]&gt;=15000,"Gold",TRUE,"Standard")</f>
        <v>Gold</v>
      </c>
      <c r="S170" s="8" t="str">
        <f>IF(OR(Table15[[#This Row],[Product]]="Wealth Management",Table15[[#This Row],[Revenue]]&gt;=40000),"Yes","No")</f>
        <v>No</v>
      </c>
    </row>
    <row r="171" spans="1:19" x14ac:dyDescent="0.3">
      <c r="A171" s="5" t="s">
        <v>229</v>
      </c>
      <c r="B171" s="6">
        <v>45978</v>
      </c>
      <c r="C171" s="7" t="s">
        <v>75</v>
      </c>
      <c r="D171" s="7" t="s">
        <v>27</v>
      </c>
      <c r="E171" s="7" t="s">
        <v>39</v>
      </c>
      <c r="F171" s="7" t="s">
        <v>22</v>
      </c>
      <c r="G171" s="7" t="s">
        <v>36</v>
      </c>
      <c r="H171" s="7" t="s">
        <v>24</v>
      </c>
      <c r="I171" s="7">
        <v>46</v>
      </c>
      <c r="J171" s="7">
        <v>99</v>
      </c>
      <c r="K171" s="20">
        <v>13000.25</v>
      </c>
      <c r="L171" s="20">
        <v>449.94</v>
      </c>
      <c r="M171" s="7">
        <v>87.7</v>
      </c>
      <c r="N171" s="20">
        <f>Table15[[#This Row],[Processing Fee]]-Table15[[#This Row],[Discount Applied]]</f>
        <v>362.24</v>
      </c>
      <c r="O171" s="7" t="str">
        <f>IF(Table15[[#This Row],[Revenue]]&gt;35000,"Achieved","Not Achieved")</f>
        <v>Not Achieved</v>
      </c>
      <c r="P171" s="8">
        <v>2</v>
      </c>
      <c r="Q171" s="7" t="str">
        <f>IF(AND(Table15[[#This Row],[CSAT Score]]&lt;=3,Table15[[#This Row],[Revenue]]&gt;=20000),"High-Risk","Stable")</f>
        <v>Stable</v>
      </c>
      <c r="R171" s="8" t="str" cm="1">
        <f t="array" ref="R171">_xlfn.IFS(Table15[[#This Row],[Revenue]]&gt;=35000,"Platinum",Table15[[#This Row],[Revenue]]&gt;=15000,"Gold",TRUE,"Standard")</f>
        <v>Standard</v>
      </c>
      <c r="S171" s="8" t="str">
        <f>IF(OR(Table15[[#This Row],[Product]]="Wealth Management",Table15[[#This Row],[Revenue]]&gt;=40000),"Yes","No")</f>
        <v>Yes</v>
      </c>
    </row>
    <row r="172" spans="1:19" x14ac:dyDescent="0.3">
      <c r="A172" s="5" t="s">
        <v>230</v>
      </c>
      <c r="B172" s="6">
        <v>46165</v>
      </c>
      <c r="C172" s="7" t="s">
        <v>44</v>
      </c>
      <c r="D172" s="7" t="s">
        <v>83</v>
      </c>
      <c r="E172" s="7" t="s">
        <v>21</v>
      </c>
      <c r="F172" s="7" t="s">
        <v>35</v>
      </c>
      <c r="G172" s="7" t="s">
        <v>56</v>
      </c>
      <c r="H172" s="7" t="s">
        <v>53</v>
      </c>
      <c r="I172" s="7">
        <v>36</v>
      </c>
      <c r="J172" s="7">
        <v>52</v>
      </c>
      <c r="K172" s="20">
        <v>22420.05</v>
      </c>
      <c r="L172" s="20">
        <v>77.75</v>
      </c>
      <c r="M172" s="7">
        <v>122.2</v>
      </c>
      <c r="N172" s="20">
        <f>Table15[[#This Row],[Processing Fee]]-Table15[[#This Row],[Discount Applied]]</f>
        <v>-44.45</v>
      </c>
      <c r="O172" s="7" t="str">
        <f>IF(Table15[[#This Row],[Revenue]]&gt;35000,"Achieved","Not Achieved")</f>
        <v>Not Achieved</v>
      </c>
      <c r="P172" s="8">
        <v>5</v>
      </c>
      <c r="Q172" s="7" t="str">
        <f>IF(AND(Table15[[#This Row],[CSAT Score]]&lt;=3,Table15[[#This Row],[Revenue]]&gt;=20000),"High-Risk","Stable")</f>
        <v>Stable</v>
      </c>
      <c r="R172" s="8" t="str" cm="1">
        <f t="array" ref="R172">_xlfn.IFS(Table15[[#This Row],[Revenue]]&gt;=35000,"Platinum",Table15[[#This Row],[Revenue]]&gt;=15000,"Gold",TRUE,"Standard")</f>
        <v>Gold</v>
      </c>
      <c r="S172" s="8" t="str">
        <f>IF(OR(Table15[[#This Row],[Product]]="Wealth Management",Table15[[#This Row],[Revenue]]&gt;=40000),"Yes","No")</f>
        <v>No</v>
      </c>
    </row>
    <row r="173" spans="1:19" x14ac:dyDescent="0.3">
      <c r="A173" s="5" t="s">
        <v>231</v>
      </c>
      <c r="B173" s="6">
        <v>46231</v>
      </c>
      <c r="C173" s="7" t="s">
        <v>33</v>
      </c>
      <c r="D173" s="7" t="s">
        <v>20</v>
      </c>
      <c r="E173" s="7" t="s">
        <v>39</v>
      </c>
      <c r="F173" s="7" t="s">
        <v>69</v>
      </c>
      <c r="G173" s="7" t="s">
        <v>56</v>
      </c>
      <c r="H173" s="7" t="s">
        <v>31</v>
      </c>
      <c r="I173" s="7">
        <v>56</v>
      </c>
      <c r="J173" s="7">
        <v>69</v>
      </c>
      <c r="K173" s="20">
        <v>42439.839999999997</v>
      </c>
      <c r="L173" s="20">
        <v>252.53</v>
      </c>
      <c r="M173" s="7">
        <v>187.26</v>
      </c>
      <c r="N173" s="20">
        <f>Table15[[#This Row],[Processing Fee]]-Table15[[#This Row],[Discount Applied]]</f>
        <v>65.27000000000001</v>
      </c>
      <c r="O173" s="7" t="str">
        <f>IF(Table15[[#This Row],[Revenue]]&gt;35000,"Achieved","Not Achieved")</f>
        <v>Achieved</v>
      </c>
      <c r="P173" s="8">
        <v>3</v>
      </c>
      <c r="Q173" s="7" t="str">
        <f>IF(AND(Table15[[#This Row],[CSAT Score]]&lt;=3,Table15[[#This Row],[Revenue]]&gt;=20000),"High-Risk","Stable")</f>
        <v>High-Risk</v>
      </c>
      <c r="R173" s="8" t="str" cm="1">
        <f t="array" ref="R173">_xlfn.IFS(Table15[[#This Row],[Revenue]]&gt;=35000,"Platinum",Table15[[#This Row],[Revenue]]&gt;=15000,"Gold",TRUE,"Standard")</f>
        <v>Platinum</v>
      </c>
      <c r="S173" s="8" t="str">
        <f>IF(OR(Table15[[#This Row],[Product]]="Wealth Management",Table15[[#This Row],[Revenue]]&gt;=40000),"Yes","No")</f>
        <v>Yes</v>
      </c>
    </row>
    <row r="174" spans="1:19" x14ac:dyDescent="0.3">
      <c r="A174" s="5" t="s">
        <v>232</v>
      </c>
      <c r="B174" s="6">
        <v>45959</v>
      </c>
      <c r="C174" s="7" t="s">
        <v>42</v>
      </c>
      <c r="D174" s="7" t="s">
        <v>79</v>
      </c>
      <c r="E174" s="7" t="s">
        <v>59</v>
      </c>
      <c r="F174" s="7" t="s">
        <v>69</v>
      </c>
      <c r="G174" s="7" t="s">
        <v>30</v>
      </c>
      <c r="H174" s="7" t="s">
        <v>31</v>
      </c>
      <c r="I174" s="7">
        <v>48</v>
      </c>
      <c r="J174" s="7">
        <v>119</v>
      </c>
      <c r="K174" s="20">
        <v>10697.28</v>
      </c>
      <c r="L174" s="20">
        <v>142.12</v>
      </c>
      <c r="M174" s="7">
        <v>39.619999999999997</v>
      </c>
      <c r="N174" s="20">
        <f>Table15[[#This Row],[Processing Fee]]-Table15[[#This Row],[Discount Applied]]</f>
        <v>102.5</v>
      </c>
      <c r="O174" s="7" t="str">
        <f>IF(Table15[[#This Row],[Revenue]]&gt;35000,"Achieved","Not Achieved")</f>
        <v>Not Achieved</v>
      </c>
      <c r="P174" s="8">
        <v>2</v>
      </c>
      <c r="Q174" s="7" t="str">
        <f>IF(AND(Table15[[#This Row],[CSAT Score]]&lt;=3,Table15[[#This Row],[Revenue]]&gt;=20000),"High-Risk","Stable")</f>
        <v>Stable</v>
      </c>
      <c r="R174" s="8" t="str" cm="1">
        <f t="array" ref="R174">_xlfn.IFS(Table15[[#This Row],[Revenue]]&gt;=35000,"Platinum",Table15[[#This Row],[Revenue]]&gt;=15000,"Gold",TRUE,"Standard")</f>
        <v>Standard</v>
      </c>
      <c r="S174" s="8" t="str">
        <f>IF(OR(Table15[[#This Row],[Product]]="Wealth Management",Table15[[#This Row],[Revenue]]&gt;=40000),"Yes","No")</f>
        <v>No</v>
      </c>
    </row>
    <row r="175" spans="1:19" x14ac:dyDescent="0.3">
      <c r="A175" s="5" t="s">
        <v>233</v>
      </c>
      <c r="B175" s="6">
        <v>45918</v>
      </c>
      <c r="C175" s="7" t="s">
        <v>26</v>
      </c>
      <c r="D175" s="7" t="s">
        <v>48</v>
      </c>
      <c r="E175" s="7" t="s">
        <v>39</v>
      </c>
      <c r="F175" s="7" t="s">
        <v>29</v>
      </c>
      <c r="G175" s="7" t="s">
        <v>56</v>
      </c>
      <c r="H175" s="7" t="s">
        <v>57</v>
      </c>
      <c r="I175" s="7">
        <v>74</v>
      </c>
      <c r="J175" s="7">
        <v>5</v>
      </c>
      <c r="K175" s="20">
        <v>47628.73</v>
      </c>
      <c r="L175" s="20">
        <v>304.93</v>
      </c>
      <c r="M175" s="7">
        <v>151.25</v>
      </c>
      <c r="N175" s="20">
        <f>Table15[[#This Row],[Processing Fee]]-Table15[[#This Row],[Discount Applied]]</f>
        <v>153.68</v>
      </c>
      <c r="O175" s="7" t="str">
        <f>IF(Table15[[#This Row],[Revenue]]&gt;35000,"Achieved","Not Achieved")</f>
        <v>Achieved</v>
      </c>
      <c r="P175" s="8">
        <v>4</v>
      </c>
      <c r="Q175" s="7" t="str">
        <f>IF(AND(Table15[[#This Row],[CSAT Score]]&lt;=3,Table15[[#This Row],[Revenue]]&gt;=20000),"High-Risk","Stable")</f>
        <v>Stable</v>
      </c>
      <c r="R175" s="8" t="str" cm="1">
        <f t="array" ref="R175">_xlfn.IFS(Table15[[#This Row],[Revenue]]&gt;=35000,"Platinum",Table15[[#This Row],[Revenue]]&gt;=15000,"Gold",TRUE,"Standard")</f>
        <v>Platinum</v>
      </c>
      <c r="S175" s="8" t="str">
        <f>IF(OR(Table15[[#This Row],[Product]]="Wealth Management",Table15[[#This Row],[Revenue]]&gt;=40000),"Yes","No")</f>
        <v>Yes</v>
      </c>
    </row>
    <row r="176" spans="1:19" x14ac:dyDescent="0.3">
      <c r="A176" s="5" t="s">
        <v>234</v>
      </c>
      <c r="B176" s="6">
        <v>45992</v>
      </c>
      <c r="C176" s="7" t="s">
        <v>44</v>
      </c>
      <c r="D176" s="7" t="s">
        <v>79</v>
      </c>
      <c r="E176" s="7" t="s">
        <v>28</v>
      </c>
      <c r="F176" s="7" t="s">
        <v>35</v>
      </c>
      <c r="G176" s="7" t="s">
        <v>30</v>
      </c>
      <c r="H176" s="7" t="s">
        <v>57</v>
      </c>
      <c r="I176" s="7">
        <v>49</v>
      </c>
      <c r="J176" s="7">
        <v>20</v>
      </c>
      <c r="K176" s="20">
        <v>17422.36</v>
      </c>
      <c r="L176" s="20">
        <v>342.29</v>
      </c>
      <c r="M176" s="7">
        <v>55.19</v>
      </c>
      <c r="N176" s="20">
        <f>Table15[[#This Row],[Processing Fee]]-Table15[[#This Row],[Discount Applied]]</f>
        <v>287.10000000000002</v>
      </c>
      <c r="O176" s="7" t="str">
        <f>IF(Table15[[#This Row],[Revenue]]&gt;35000,"Achieved","Not Achieved")</f>
        <v>Not Achieved</v>
      </c>
      <c r="P176" s="8">
        <v>2</v>
      </c>
      <c r="Q176" s="7" t="str">
        <f>IF(AND(Table15[[#This Row],[CSAT Score]]&lt;=3,Table15[[#This Row],[Revenue]]&gt;=20000),"High-Risk","Stable")</f>
        <v>Stable</v>
      </c>
      <c r="R176" s="8" t="str" cm="1">
        <f t="array" ref="R176">_xlfn.IFS(Table15[[#This Row],[Revenue]]&gt;=35000,"Platinum",Table15[[#This Row],[Revenue]]&gt;=15000,"Gold",TRUE,"Standard")</f>
        <v>Gold</v>
      </c>
      <c r="S176" s="8" t="str">
        <f>IF(OR(Table15[[#This Row],[Product]]="Wealth Management",Table15[[#This Row],[Revenue]]&gt;=40000),"Yes","No")</f>
        <v>No</v>
      </c>
    </row>
    <row r="177" spans="1:19" x14ac:dyDescent="0.3">
      <c r="A177" s="5" t="s">
        <v>235</v>
      </c>
      <c r="B177" s="6">
        <v>45902</v>
      </c>
      <c r="C177" s="7" t="s">
        <v>75</v>
      </c>
      <c r="D177" s="7" t="s">
        <v>48</v>
      </c>
      <c r="E177" s="7" t="s">
        <v>46</v>
      </c>
      <c r="F177" s="7" t="s">
        <v>69</v>
      </c>
      <c r="G177" s="7" t="s">
        <v>23</v>
      </c>
      <c r="H177" s="7" t="s">
        <v>57</v>
      </c>
      <c r="I177" s="7">
        <v>67</v>
      </c>
      <c r="J177" s="7">
        <v>79</v>
      </c>
      <c r="K177" s="20">
        <v>49297.279999999999</v>
      </c>
      <c r="L177" s="20">
        <v>186.18</v>
      </c>
      <c r="M177" s="7">
        <v>180.99</v>
      </c>
      <c r="N177" s="20">
        <f>Table15[[#This Row],[Processing Fee]]-Table15[[#This Row],[Discount Applied]]</f>
        <v>5.1899999999999977</v>
      </c>
      <c r="O177" s="7" t="str">
        <f>IF(Table15[[#This Row],[Revenue]]&gt;35000,"Achieved","Not Achieved")</f>
        <v>Achieved</v>
      </c>
      <c r="P177" s="8">
        <v>2</v>
      </c>
      <c r="Q177" s="7" t="str">
        <f>IF(AND(Table15[[#This Row],[CSAT Score]]&lt;=3,Table15[[#This Row],[Revenue]]&gt;=20000),"High-Risk","Stable")</f>
        <v>High-Risk</v>
      </c>
      <c r="R177" s="8" t="str" cm="1">
        <f t="array" ref="R177">_xlfn.IFS(Table15[[#This Row],[Revenue]]&gt;=35000,"Platinum",Table15[[#This Row],[Revenue]]&gt;=15000,"Gold",TRUE,"Standard")</f>
        <v>Platinum</v>
      </c>
      <c r="S177" s="8" t="str">
        <f>IF(OR(Table15[[#This Row],[Product]]="Wealth Management",Table15[[#This Row],[Revenue]]&gt;=40000),"Yes","No")</f>
        <v>Yes</v>
      </c>
    </row>
    <row r="178" spans="1:19" x14ac:dyDescent="0.3">
      <c r="A178" s="5" t="s">
        <v>236</v>
      </c>
      <c r="B178" s="6">
        <v>46155</v>
      </c>
      <c r="C178" s="7" t="s">
        <v>42</v>
      </c>
      <c r="D178" s="7" t="s">
        <v>79</v>
      </c>
      <c r="E178" s="7" t="s">
        <v>21</v>
      </c>
      <c r="F178" s="7" t="s">
        <v>40</v>
      </c>
      <c r="G178" s="7" t="s">
        <v>36</v>
      </c>
      <c r="H178" s="7" t="s">
        <v>53</v>
      </c>
      <c r="I178" s="7">
        <v>32</v>
      </c>
      <c r="J178" s="7">
        <v>18</v>
      </c>
      <c r="K178" s="20">
        <v>42011.14</v>
      </c>
      <c r="L178" s="20">
        <v>256.99</v>
      </c>
      <c r="M178" s="7">
        <v>163.57</v>
      </c>
      <c r="N178" s="20">
        <f>Table15[[#This Row],[Processing Fee]]-Table15[[#This Row],[Discount Applied]]</f>
        <v>93.420000000000016</v>
      </c>
      <c r="O178" s="7" t="str">
        <f>IF(Table15[[#This Row],[Revenue]]&gt;35000,"Achieved","Not Achieved")</f>
        <v>Achieved</v>
      </c>
      <c r="P178" s="8">
        <v>2</v>
      </c>
      <c r="Q178" s="7" t="str">
        <f>IF(AND(Table15[[#This Row],[CSAT Score]]&lt;=3,Table15[[#This Row],[Revenue]]&gt;=20000),"High-Risk","Stable")</f>
        <v>High-Risk</v>
      </c>
      <c r="R178" s="8" t="str" cm="1">
        <f t="array" ref="R178">_xlfn.IFS(Table15[[#This Row],[Revenue]]&gt;=35000,"Platinum",Table15[[#This Row],[Revenue]]&gt;=15000,"Gold",TRUE,"Standard")</f>
        <v>Platinum</v>
      </c>
      <c r="S178" s="8" t="str">
        <f>IF(OR(Table15[[#This Row],[Product]]="Wealth Management",Table15[[#This Row],[Revenue]]&gt;=40000),"Yes","No")</f>
        <v>Yes</v>
      </c>
    </row>
    <row r="179" spans="1:19" x14ac:dyDescent="0.3">
      <c r="A179" s="5" t="s">
        <v>237</v>
      </c>
      <c r="B179" s="6">
        <v>45957</v>
      </c>
      <c r="C179" s="7" t="s">
        <v>42</v>
      </c>
      <c r="D179" s="7" t="s">
        <v>38</v>
      </c>
      <c r="E179" s="7" t="s">
        <v>46</v>
      </c>
      <c r="F179" s="7" t="s">
        <v>35</v>
      </c>
      <c r="G179" s="7" t="s">
        <v>56</v>
      </c>
      <c r="H179" s="7" t="s">
        <v>24</v>
      </c>
      <c r="I179" s="7">
        <v>57</v>
      </c>
      <c r="J179" s="7">
        <v>111</v>
      </c>
      <c r="K179" s="20">
        <v>40524.239999999998</v>
      </c>
      <c r="L179" s="20">
        <v>175.7</v>
      </c>
      <c r="M179" s="7">
        <v>69.25</v>
      </c>
      <c r="N179" s="20">
        <f>Table15[[#This Row],[Processing Fee]]-Table15[[#This Row],[Discount Applied]]</f>
        <v>106.44999999999999</v>
      </c>
      <c r="O179" s="7" t="str">
        <f>IF(Table15[[#This Row],[Revenue]]&gt;35000,"Achieved","Not Achieved")</f>
        <v>Achieved</v>
      </c>
      <c r="P179" s="8">
        <v>5</v>
      </c>
      <c r="Q179" s="7" t="str">
        <f>IF(AND(Table15[[#This Row],[CSAT Score]]&lt;=3,Table15[[#This Row],[Revenue]]&gt;=20000),"High-Risk","Stable")</f>
        <v>Stable</v>
      </c>
      <c r="R179" s="8" t="str" cm="1">
        <f t="array" ref="R179">_xlfn.IFS(Table15[[#This Row],[Revenue]]&gt;=35000,"Platinum",Table15[[#This Row],[Revenue]]&gt;=15000,"Gold",TRUE,"Standard")</f>
        <v>Platinum</v>
      </c>
      <c r="S179" s="8" t="str">
        <f>IF(OR(Table15[[#This Row],[Product]]="Wealth Management",Table15[[#This Row],[Revenue]]&gt;=40000),"Yes","No")</f>
        <v>Yes</v>
      </c>
    </row>
    <row r="180" spans="1:19" x14ac:dyDescent="0.3">
      <c r="A180" s="5" t="s">
        <v>238</v>
      </c>
      <c r="B180" s="6">
        <v>46190</v>
      </c>
      <c r="C180" s="7" t="s">
        <v>91</v>
      </c>
      <c r="D180" s="7" t="s">
        <v>63</v>
      </c>
      <c r="E180" s="7" t="s">
        <v>39</v>
      </c>
      <c r="F180" s="7" t="s">
        <v>40</v>
      </c>
      <c r="G180" s="7" t="s">
        <v>30</v>
      </c>
      <c r="H180" s="7" t="s">
        <v>24</v>
      </c>
      <c r="I180" s="7">
        <v>50</v>
      </c>
      <c r="J180" s="7">
        <v>2</v>
      </c>
      <c r="K180" s="20">
        <v>16236.28</v>
      </c>
      <c r="L180" s="20">
        <v>216.23</v>
      </c>
      <c r="M180" s="7">
        <v>161.55000000000001</v>
      </c>
      <c r="N180" s="20">
        <f>Table15[[#This Row],[Processing Fee]]-Table15[[#This Row],[Discount Applied]]</f>
        <v>54.679999999999978</v>
      </c>
      <c r="O180" s="7" t="str">
        <f>IF(Table15[[#This Row],[Revenue]]&gt;35000,"Achieved","Not Achieved")</f>
        <v>Not Achieved</v>
      </c>
      <c r="P180" s="8">
        <v>2</v>
      </c>
      <c r="Q180" s="7" t="str">
        <f>IF(AND(Table15[[#This Row],[CSAT Score]]&lt;=3,Table15[[#This Row],[Revenue]]&gt;=20000),"High-Risk","Stable")</f>
        <v>Stable</v>
      </c>
      <c r="R180" s="8" t="str" cm="1">
        <f t="array" ref="R180">_xlfn.IFS(Table15[[#This Row],[Revenue]]&gt;=35000,"Platinum",Table15[[#This Row],[Revenue]]&gt;=15000,"Gold",TRUE,"Standard")</f>
        <v>Gold</v>
      </c>
      <c r="S180" s="8" t="str">
        <f>IF(OR(Table15[[#This Row],[Product]]="Wealth Management",Table15[[#This Row],[Revenue]]&gt;=40000),"Yes","No")</f>
        <v>No</v>
      </c>
    </row>
    <row r="181" spans="1:19" x14ac:dyDescent="0.3">
      <c r="A181" s="5" t="s">
        <v>239</v>
      </c>
      <c r="B181" s="6">
        <v>46065</v>
      </c>
      <c r="C181" s="7" t="s">
        <v>42</v>
      </c>
      <c r="D181" s="7" t="s">
        <v>63</v>
      </c>
      <c r="E181" s="7" t="s">
        <v>21</v>
      </c>
      <c r="F181" s="7" t="s">
        <v>40</v>
      </c>
      <c r="G181" s="7" t="s">
        <v>65</v>
      </c>
      <c r="H181" s="7" t="s">
        <v>57</v>
      </c>
      <c r="I181" s="7">
        <v>43</v>
      </c>
      <c r="J181" s="7">
        <v>93</v>
      </c>
      <c r="K181" s="20">
        <v>934.47</v>
      </c>
      <c r="L181" s="20">
        <v>121.79</v>
      </c>
      <c r="M181" s="7">
        <v>71.28</v>
      </c>
      <c r="N181" s="20">
        <f>Table15[[#This Row],[Processing Fee]]-Table15[[#This Row],[Discount Applied]]</f>
        <v>50.510000000000005</v>
      </c>
      <c r="O181" s="7" t="str">
        <f>IF(Table15[[#This Row],[Revenue]]&gt;35000,"Achieved","Not Achieved")</f>
        <v>Not Achieved</v>
      </c>
      <c r="P181" s="8">
        <v>2</v>
      </c>
      <c r="Q181" s="7" t="str">
        <f>IF(AND(Table15[[#This Row],[CSAT Score]]&lt;=3,Table15[[#This Row],[Revenue]]&gt;=20000),"High-Risk","Stable")</f>
        <v>Stable</v>
      </c>
      <c r="R181" s="8" t="str" cm="1">
        <f t="array" ref="R181">_xlfn.IFS(Table15[[#This Row],[Revenue]]&gt;=35000,"Platinum",Table15[[#This Row],[Revenue]]&gt;=15000,"Gold",TRUE,"Standard")</f>
        <v>Standard</v>
      </c>
      <c r="S181" s="8" t="str">
        <f>IF(OR(Table15[[#This Row],[Product]]="Wealth Management",Table15[[#This Row],[Revenue]]&gt;=40000),"Yes","No")</f>
        <v>No</v>
      </c>
    </row>
    <row r="182" spans="1:19" x14ac:dyDescent="0.3">
      <c r="A182" s="5" t="s">
        <v>240</v>
      </c>
      <c r="B182" s="6">
        <v>45956</v>
      </c>
      <c r="C182" s="7" t="s">
        <v>33</v>
      </c>
      <c r="D182" s="7" t="s">
        <v>83</v>
      </c>
      <c r="E182" s="7" t="s">
        <v>39</v>
      </c>
      <c r="F182" s="7" t="s">
        <v>69</v>
      </c>
      <c r="G182" s="7" t="s">
        <v>56</v>
      </c>
      <c r="H182" s="7" t="s">
        <v>57</v>
      </c>
      <c r="I182" s="7">
        <v>36</v>
      </c>
      <c r="J182" s="7">
        <v>13</v>
      </c>
      <c r="K182" s="20">
        <v>19415.580000000002</v>
      </c>
      <c r="L182" s="20">
        <v>448.5</v>
      </c>
      <c r="M182" s="7">
        <v>20.190000000000001</v>
      </c>
      <c r="N182" s="20">
        <f>Table15[[#This Row],[Processing Fee]]-Table15[[#This Row],[Discount Applied]]</f>
        <v>428.31</v>
      </c>
      <c r="O182" s="7" t="str">
        <f>IF(Table15[[#This Row],[Revenue]]&gt;35000,"Achieved","Not Achieved")</f>
        <v>Not Achieved</v>
      </c>
      <c r="P182" s="8">
        <v>5</v>
      </c>
      <c r="Q182" s="7" t="str">
        <f>IF(AND(Table15[[#This Row],[CSAT Score]]&lt;=3,Table15[[#This Row],[Revenue]]&gt;=20000),"High-Risk","Stable")</f>
        <v>Stable</v>
      </c>
      <c r="R182" s="8" t="str" cm="1">
        <f t="array" ref="R182">_xlfn.IFS(Table15[[#This Row],[Revenue]]&gt;=35000,"Platinum",Table15[[#This Row],[Revenue]]&gt;=15000,"Gold",TRUE,"Standard")</f>
        <v>Gold</v>
      </c>
      <c r="S182" s="8" t="str">
        <f>IF(OR(Table15[[#This Row],[Product]]="Wealth Management",Table15[[#This Row],[Revenue]]&gt;=40000),"Yes","No")</f>
        <v>No</v>
      </c>
    </row>
    <row r="183" spans="1:19" x14ac:dyDescent="0.3">
      <c r="A183" s="5" t="s">
        <v>241</v>
      </c>
      <c r="B183" s="6">
        <v>45891</v>
      </c>
      <c r="C183" s="7" t="s">
        <v>19</v>
      </c>
      <c r="D183" s="7" t="s">
        <v>50</v>
      </c>
      <c r="E183" s="7" t="s">
        <v>28</v>
      </c>
      <c r="F183" s="7" t="s">
        <v>35</v>
      </c>
      <c r="G183" s="7" t="s">
        <v>23</v>
      </c>
      <c r="H183" s="7" t="s">
        <v>57</v>
      </c>
      <c r="I183" s="7">
        <v>34</v>
      </c>
      <c r="J183" s="7">
        <v>4</v>
      </c>
      <c r="K183" s="20">
        <v>15439.56</v>
      </c>
      <c r="L183" s="20">
        <v>54.5</v>
      </c>
      <c r="M183" s="7">
        <v>192.38</v>
      </c>
      <c r="N183" s="20">
        <f>Table15[[#This Row],[Processing Fee]]-Table15[[#This Row],[Discount Applied]]</f>
        <v>-137.88</v>
      </c>
      <c r="O183" s="7" t="str">
        <f>IF(Table15[[#This Row],[Revenue]]&gt;35000,"Achieved","Not Achieved")</f>
        <v>Not Achieved</v>
      </c>
      <c r="P183" s="8">
        <v>3</v>
      </c>
      <c r="Q183" s="7" t="str">
        <f>IF(AND(Table15[[#This Row],[CSAT Score]]&lt;=3,Table15[[#This Row],[Revenue]]&gt;=20000),"High-Risk","Stable")</f>
        <v>Stable</v>
      </c>
      <c r="R183" s="8" t="str" cm="1">
        <f t="array" ref="R183">_xlfn.IFS(Table15[[#This Row],[Revenue]]&gt;=35000,"Platinum",Table15[[#This Row],[Revenue]]&gt;=15000,"Gold",TRUE,"Standard")</f>
        <v>Gold</v>
      </c>
      <c r="S183" s="8" t="str">
        <f>IF(OR(Table15[[#This Row],[Product]]="Wealth Management",Table15[[#This Row],[Revenue]]&gt;=40000),"Yes","No")</f>
        <v>No</v>
      </c>
    </row>
    <row r="184" spans="1:19" x14ac:dyDescent="0.3">
      <c r="A184" s="5" t="s">
        <v>242</v>
      </c>
      <c r="B184" s="6">
        <v>46165</v>
      </c>
      <c r="C184" s="7" t="s">
        <v>75</v>
      </c>
      <c r="D184" s="7" t="s">
        <v>68</v>
      </c>
      <c r="E184" s="7" t="s">
        <v>59</v>
      </c>
      <c r="F184" s="7" t="s">
        <v>22</v>
      </c>
      <c r="G184" s="7" t="s">
        <v>23</v>
      </c>
      <c r="H184" s="7" t="s">
        <v>31</v>
      </c>
      <c r="I184" s="7">
        <v>30</v>
      </c>
      <c r="J184" s="7">
        <v>42</v>
      </c>
      <c r="K184" s="20">
        <v>2351.15</v>
      </c>
      <c r="L184" s="20">
        <v>447.08</v>
      </c>
      <c r="M184" s="7">
        <v>195.78</v>
      </c>
      <c r="N184" s="20">
        <f>Table15[[#This Row],[Processing Fee]]-Table15[[#This Row],[Discount Applied]]</f>
        <v>251.29999999999998</v>
      </c>
      <c r="O184" s="7" t="str">
        <f>IF(Table15[[#This Row],[Revenue]]&gt;35000,"Achieved","Not Achieved")</f>
        <v>Not Achieved</v>
      </c>
      <c r="P184" s="8">
        <v>1</v>
      </c>
      <c r="Q184" s="7" t="str">
        <f>IF(AND(Table15[[#This Row],[CSAT Score]]&lt;=3,Table15[[#This Row],[Revenue]]&gt;=20000),"High-Risk","Stable")</f>
        <v>Stable</v>
      </c>
      <c r="R184" s="8" t="str" cm="1">
        <f t="array" ref="R184">_xlfn.IFS(Table15[[#This Row],[Revenue]]&gt;=35000,"Platinum",Table15[[#This Row],[Revenue]]&gt;=15000,"Gold",TRUE,"Standard")</f>
        <v>Standard</v>
      </c>
      <c r="S184" s="8" t="str">
        <f>IF(OR(Table15[[#This Row],[Product]]="Wealth Management",Table15[[#This Row],[Revenue]]&gt;=40000),"Yes","No")</f>
        <v>Yes</v>
      </c>
    </row>
    <row r="185" spans="1:19" x14ac:dyDescent="0.3">
      <c r="A185" s="5" t="s">
        <v>243</v>
      </c>
      <c r="B185" s="6">
        <v>46128</v>
      </c>
      <c r="C185" s="7" t="s">
        <v>42</v>
      </c>
      <c r="D185" s="7" t="s">
        <v>50</v>
      </c>
      <c r="E185" s="7" t="s">
        <v>21</v>
      </c>
      <c r="F185" s="7" t="s">
        <v>69</v>
      </c>
      <c r="G185" s="7" t="s">
        <v>65</v>
      </c>
      <c r="H185" s="7" t="s">
        <v>57</v>
      </c>
      <c r="I185" s="7">
        <v>27</v>
      </c>
      <c r="J185" s="7">
        <v>109</v>
      </c>
      <c r="K185" s="20">
        <v>25515.58</v>
      </c>
      <c r="L185" s="20">
        <v>307.26</v>
      </c>
      <c r="M185" s="7">
        <v>91.22</v>
      </c>
      <c r="N185" s="20">
        <f>Table15[[#This Row],[Processing Fee]]-Table15[[#This Row],[Discount Applied]]</f>
        <v>216.04</v>
      </c>
      <c r="O185" s="7" t="str">
        <f>IF(Table15[[#This Row],[Revenue]]&gt;35000,"Achieved","Not Achieved")</f>
        <v>Not Achieved</v>
      </c>
      <c r="P185" s="8">
        <v>5</v>
      </c>
      <c r="Q185" s="7" t="str">
        <f>IF(AND(Table15[[#This Row],[CSAT Score]]&lt;=3,Table15[[#This Row],[Revenue]]&gt;=20000),"High-Risk","Stable")</f>
        <v>Stable</v>
      </c>
      <c r="R185" s="8" t="str" cm="1">
        <f t="array" ref="R185">_xlfn.IFS(Table15[[#This Row],[Revenue]]&gt;=35000,"Platinum",Table15[[#This Row],[Revenue]]&gt;=15000,"Gold",TRUE,"Standard")</f>
        <v>Gold</v>
      </c>
      <c r="S185" s="8" t="str">
        <f>IF(OR(Table15[[#This Row],[Product]]="Wealth Management",Table15[[#This Row],[Revenue]]&gt;=40000),"Yes","No")</f>
        <v>No</v>
      </c>
    </row>
    <row r="186" spans="1:19" x14ac:dyDescent="0.3">
      <c r="A186" s="5" t="s">
        <v>244</v>
      </c>
      <c r="B186" s="6">
        <v>45950</v>
      </c>
      <c r="C186" s="7" t="s">
        <v>91</v>
      </c>
      <c r="D186" s="7" t="s">
        <v>77</v>
      </c>
      <c r="E186" s="7" t="s">
        <v>28</v>
      </c>
      <c r="F186" s="7" t="s">
        <v>69</v>
      </c>
      <c r="G186" s="7" t="s">
        <v>30</v>
      </c>
      <c r="H186" s="7" t="s">
        <v>31</v>
      </c>
      <c r="I186" s="7">
        <v>65</v>
      </c>
      <c r="J186" s="7">
        <v>74</v>
      </c>
      <c r="K186" s="20">
        <v>20450.05</v>
      </c>
      <c r="L186" s="20">
        <v>199.25</v>
      </c>
      <c r="M186" s="7">
        <v>119.32</v>
      </c>
      <c r="N186" s="20">
        <f>Table15[[#This Row],[Processing Fee]]-Table15[[#This Row],[Discount Applied]]</f>
        <v>79.930000000000007</v>
      </c>
      <c r="O186" s="7" t="str">
        <f>IF(Table15[[#This Row],[Revenue]]&gt;35000,"Achieved","Not Achieved")</f>
        <v>Not Achieved</v>
      </c>
      <c r="P186" s="8">
        <v>5</v>
      </c>
      <c r="Q186" s="7" t="str">
        <f>IF(AND(Table15[[#This Row],[CSAT Score]]&lt;=3,Table15[[#This Row],[Revenue]]&gt;=20000),"High-Risk","Stable")</f>
        <v>Stable</v>
      </c>
      <c r="R186" s="8" t="str" cm="1">
        <f t="array" ref="R186">_xlfn.IFS(Table15[[#This Row],[Revenue]]&gt;=35000,"Platinum",Table15[[#This Row],[Revenue]]&gt;=15000,"Gold",TRUE,"Standard")</f>
        <v>Gold</v>
      </c>
      <c r="S186" s="8" t="str">
        <f>IF(OR(Table15[[#This Row],[Product]]="Wealth Management",Table15[[#This Row],[Revenue]]&gt;=40000),"Yes","No")</f>
        <v>No</v>
      </c>
    </row>
    <row r="187" spans="1:19" x14ac:dyDescent="0.3">
      <c r="A187" s="5" t="s">
        <v>245</v>
      </c>
      <c r="B187" s="6">
        <v>46234</v>
      </c>
      <c r="C187" s="7" t="s">
        <v>33</v>
      </c>
      <c r="D187" s="7" t="s">
        <v>63</v>
      </c>
      <c r="E187" s="7" t="s">
        <v>28</v>
      </c>
      <c r="F187" s="7" t="s">
        <v>35</v>
      </c>
      <c r="G187" s="7" t="s">
        <v>56</v>
      </c>
      <c r="H187" s="7" t="s">
        <v>24</v>
      </c>
      <c r="I187" s="7">
        <v>72</v>
      </c>
      <c r="J187" s="7">
        <v>61</v>
      </c>
      <c r="K187" s="20">
        <v>31910.55</v>
      </c>
      <c r="L187" s="20">
        <v>375.38</v>
      </c>
      <c r="M187" s="7">
        <v>64.94</v>
      </c>
      <c r="N187" s="20">
        <f>Table15[[#This Row],[Processing Fee]]-Table15[[#This Row],[Discount Applied]]</f>
        <v>310.44</v>
      </c>
      <c r="O187" s="7" t="str">
        <f>IF(Table15[[#This Row],[Revenue]]&gt;35000,"Achieved","Not Achieved")</f>
        <v>Not Achieved</v>
      </c>
      <c r="P187" s="8">
        <v>2</v>
      </c>
      <c r="Q187" s="7" t="str">
        <f>IF(AND(Table15[[#This Row],[CSAT Score]]&lt;=3,Table15[[#This Row],[Revenue]]&gt;=20000),"High-Risk","Stable")</f>
        <v>High-Risk</v>
      </c>
      <c r="R187" s="8" t="str" cm="1">
        <f t="array" ref="R187">_xlfn.IFS(Table15[[#This Row],[Revenue]]&gt;=35000,"Platinum",Table15[[#This Row],[Revenue]]&gt;=15000,"Gold",TRUE,"Standard")</f>
        <v>Gold</v>
      </c>
      <c r="S187" s="8" t="str">
        <f>IF(OR(Table15[[#This Row],[Product]]="Wealth Management",Table15[[#This Row],[Revenue]]&gt;=40000),"Yes","No")</f>
        <v>No</v>
      </c>
    </row>
    <row r="188" spans="1:19" x14ac:dyDescent="0.3">
      <c r="A188" s="5" t="s">
        <v>246</v>
      </c>
      <c r="B188" s="6">
        <v>46219</v>
      </c>
      <c r="C188" s="7" t="s">
        <v>55</v>
      </c>
      <c r="D188" s="7" t="s">
        <v>63</v>
      </c>
      <c r="E188" s="7" t="s">
        <v>21</v>
      </c>
      <c r="F188" s="7" t="s">
        <v>35</v>
      </c>
      <c r="G188" s="7" t="s">
        <v>30</v>
      </c>
      <c r="H188" s="7" t="s">
        <v>53</v>
      </c>
      <c r="I188" s="7">
        <v>57</v>
      </c>
      <c r="J188" s="7">
        <v>95</v>
      </c>
      <c r="K188" s="20">
        <v>31248.720000000001</v>
      </c>
      <c r="L188" s="20">
        <v>278.49</v>
      </c>
      <c r="M188" s="7">
        <v>196.29</v>
      </c>
      <c r="N188" s="20">
        <f>Table15[[#This Row],[Processing Fee]]-Table15[[#This Row],[Discount Applied]]</f>
        <v>82.200000000000017</v>
      </c>
      <c r="O188" s="7" t="str">
        <f>IF(Table15[[#This Row],[Revenue]]&gt;35000,"Achieved","Not Achieved")</f>
        <v>Not Achieved</v>
      </c>
      <c r="P188" s="8">
        <v>2</v>
      </c>
      <c r="Q188" s="7" t="str">
        <f>IF(AND(Table15[[#This Row],[CSAT Score]]&lt;=3,Table15[[#This Row],[Revenue]]&gt;=20000),"High-Risk","Stable")</f>
        <v>High-Risk</v>
      </c>
      <c r="R188" s="8" t="str" cm="1">
        <f t="array" ref="R188">_xlfn.IFS(Table15[[#This Row],[Revenue]]&gt;=35000,"Platinum",Table15[[#This Row],[Revenue]]&gt;=15000,"Gold",TRUE,"Standard")</f>
        <v>Gold</v>
      </c>
      <c r="S188" s="8" t="str">
        <f>IF(OR(Table15[[#This Row],[Product]]="Wealth Management",Table15[[#This Row],[Revenue]]&gt;=40000),"Yes","No")</f>
        <v>No</v>
      </c>
    </row>
    <row r="189" spans="1:19" x14ac:dyDescent="0.3">
      <c r="A189" s="5" t="s">
        <v>247</v>
      </c>
      <c r="B189" s="6">
        <v>46153</v>
      </c>
      <c r="C189" s="7" t="s">
        <v>19</v>
      </c>
      <c r="D189" s="7" t="s">
        <v>45</v>
      </c>
      <c r="E189" s="7" t="s">
        <v>39</v>
      </c>
      <c r="F189" s="7" t="s">
        <v>40</v>
      </c>
      <c r="G189" s="7" t="s">
        <v>23</v>
      </c>
      <c r="H189" s="7" t="s">
        <v>53</v>
      </c>
      <c r="I189" s="7">
        <v>49</v>
      </c>
      <c r="J189" s="7">
        <v>105</v>
      </c>
      <c r="K189" s="20">
        <v>6476.96</v>
      </c>
      <c r="L189" s="20">
        <v>274.60000000000002</v>
      </c>
      <c r="M189" s="7">
        <v>26.95</v>
      </c>
      <c r="N189" s="20">
        <f>Table15[[#This Row],[Processing Fee]]-Table15[[#This Row],[Discount Applied]]</f>
        <v>247.65000000000003</v>
      </c>
      <c r="O189" s="7" t="str">
        <f>IF(Table15[[#This Row],[Revenue]]&gt;35000,"Achieved","Not Achieved")</f>
        <v>Not Achieved</v>
      </c>
      <c r="P189" s="8">
        <v>1</v>
      </c>
      <c r="Q189" s="7" t="str">
        <f>IF(AND(Table15[[#This Row],[CSAT Score]]&lt;=3,Table15[[#This Row],[Revenue]]&gt;=20000),"High-Risk","Stable")</f>
        <v>Stable</v>
      </c>
      <c r="R189" s="8" t="str" cm="1">
        <f t="array" ref="R189">_xlfn.IFS(Table15[[#This Row],[Revenue]]&gt;=35000,"Platinum",Table15[[#This Row],[Revenue]]&gt;=15000,"Gold",TRUE,"Standard")</f>
        <v>Standard</v>
      </c>
      <c r="S189" s="8" t="str">
        <f>IF(OR(Table15[[#This Row],[Product]]="Wealth Management",Table15[[#This Row],[Revenue]]&gt;=40000),"Yes","No")</f>
        <v>No</v>
      </c>
    </row>
    <row r="190" spans="1:19" x14ac:dyDescent="0.3">
      <c r="A190" s="5" t="s">
        <v>248</v>
      </c>
      <c r="B190" s="6">
        <v>46197</v>
      </c>
      <c r="C190" s="7" t="s">
        <v>19</v>
      </c>
      <c r="D190" s="7" t="s">
        <v>45</v>
      </c>
      <c r="E190" s="7" t="s">
        <v>28</v>
      </c>
      <c r="F190" s="7" t="s">
        <v>35</v>
      </c>
      <c r="G190" s="7" t="s">
        <v>30</v>
      </c>
      <c r="H190" s="7" t="s">
        <v>53</v>
      </c>
      <c r="I190" s="7">
        <v>23</v>
      </c>
      <c r="J190" s="7">
        <v>8</v>
      </c>
      <c r="K190" s="20">
        <v>48859.79</v>
      </c>
      <c r="L190" s="20">
        <v>99.56</v>
      </c>
      <c r="M190" s="7">
        <v>62.96</v>
      </c>
      <c r="N190" s="20">
        <f>Table15[[#This Row],[Processing Fee]]-Table15[[#This Row],[Discount Applied]]</f>
        <v>36.6</v>
      </c>
      <c r="O190" s="7" t="str">
        <f>IF(Table15[[#This Row],[Revenue]]&gt;35000,"Achieved","Not Achieved")</f>
        <v>Achieved</v>
      </c>
      <c r="P190" s="8">
        <v>2</v>
      </c>
      <c r="Q190" s="7" t="str">
        <f>IF(AND(Table15[[#This Row],[CSAT Score]]&lt;=3,Table15[[#This Row],[Revenue]]&gt;=20000),"High-Risk","Stable")</f>
        <v>High-Risk</v>
      </c>
      <c r="R190" s="8" t="str" cm="1">
        <f t="array" ref="R190">_xlfn.IFS(Table15[[#This Row],[Revenue]]&gt;=35000,"Platinum",Table15[[#This Row],[Revenue]]&gt;=15000,"Gold",TRUE,"Standard")</f>
        <v>Platinum</v>
      </c>
      <c r="S190" s="8" t="str">
        <f>IF(OR(Table15[[#This Row],[Product]]="Wealth Management",Table15[[#This Row],[Revenue]]&gt;=40000),"Yes","No")</f>
        <v>Yes</v>
      </c>
    </row>
    <row r="191" spans="1:19" x14ac:dyDescent="0.3">
      <c r="A191" s="5" t="s">
        <v>249</v>
      </c>
      <c r="B191" s="6">
        <v>45954</v>
      </c>
      <c r="C191" s="7" t="s">
        <v>75</v>
      </c>
      <c r="D191" s="7" t="s">
        <v>68</v>
      </c>
      <c r="E191" s="7" t="s">
        <v>46</v>
      </c>
      <c r="F191" s="7" t="s">
        <v>40</v>
      </c>
      <c r="G191" s="7" t="s">
        <v>23</v>
      </c>
      <c r="H191" s="7" t="s">
        <v>53</v>
      </c>
      <c r="I191" s="7">
        <v>35</v>
      </c>
      <c r="J191" s="7">
        <v>67</v>
      </c>
      <c r="K191" s="20">
        <v>9753.11</v>
      </c>
      <c r="L191" s="20">
        <v>225.28</v>
      </c>
      <c r="M191" s="7">
        <v>97.1</v>
      </c>
      <c r="N191" s="20">
        <f>Table15[[#This Row],[Processing Fee]]-Table15[[#This Row],[Discount Applied]]</f>
        <v>128.18</v>
      </c>
      <c r="O191" s="7" t="str">
        <f>IF(Table15[[#This Row],[Revenue]]&gt;35000,"Achieved","Not Achieved")</f>
        <v>Not Achieved</v>
      </c>
      <c r="P191" s="8">
        <v>4</v>
      </c>
      <c r="Q191" s="7" t="str">
        <f>IF(AND(Table15[[#This Row],[CSAT Score]]&lt;=3,Table15[[#This Row],[Revenue]]&gt;=20000),"High-Risk","Stable")</f>
        <v>Stable</v>
      </c>
      <c r="R191" s="8" t="str" cm="1">
        <f t="array" ref="R191">_xlfn.IFS(Table15[[#This Row],[Revenue]]&gt;=35000,"Platinum",Table15[[#This Row],[Revenue]]&gt;=15000,"Gold",TRUE,"Standard")</f>
        <v>Standard</v>
      </c>
      <c r="S191" s="8" t="str">
        <f>IF(OR(Table15[[#This Row],[Product]]="Wealth Management",Table15[[#This Row],[Revenue]]&gt;=40000),"Yes","No")</f>
        <v>No</v>
      </c>
    </row>
    <row r="192" spans="1:19" x14ac:dyDescent="0.3">
      <c r="A192" s="5" t="s">
        <v>250</v>
      </c>
      <c r="B192" s="6">
        <v>45876</v>
      </c>
      <c r="C192" s="7" t="s">
        <v>19</v>
      </c>
      <c r="D192" s="7" t="s">
        <v>52</v>
      </c>
      <c r="E192" s="7" t="s">
        <v>28</v>
      </c>
      <c r="F192" s="7" t="s">
        <v>69</v>
      </c>
      <c r="G192" s="7" t="s">
        <v>30</v>
      </c>
      <c r="H192" s="7" t="s">
        <v>31</v>
      </c>
      <c r="I192" s="7">
        <v>56</v>
      </c>
      <c r="J192" s="7">
        <v>112</v>
      </c>
      <c r="K192" s="20">
        <v>22541.06</v>
      </c>
      <c r="L192" s="20">
        <v>158.47999999999999</v>
      </c>
      <c r="M192" s="7">
        <v>143.4</v>
      </c>
      <c r="N192" s="20">
        <f>Table15[[#This Row],[Processing Fee]]-Table15[[#This Row],[Discount Applied]]</f>
        <v>15.079999999999984</v>
      </c>
      <c r="O192" s="7" t="str">
        <f>IF(Table15[[#This Row],[Revenue]]&gt;35000,"Achieved","Not Achieved")</f>
        <v>Not Achieved</v>
      </c>
      <c r="P192" s="8">
        <v>2</v>
      </c>
      <c r="Q192" s="7" t="str">
        <f>IF(AND(Table15[[#This Row],[CSAT Score]]&lt;=3,Table15[[#This Row],[Revenue]]&gt;=20000),"High-Risk","Stable")</f>
        <v>High-Risk</v>
      </c>
      <c r="R192" s="8" t="str" cm="1">
        <f t="array" ref="R192">_xlfn.IFS(Table15[[#This Row],[Revenue]]&gt;=35000,"Platinum",Table15[[#This Row],[Revenue]]&gt;=15000,"Gold",TRUE,"Standard")</f>
        <v>Gold</v>
      </c>
      <c r="S192" s="8" t="str">
        <f>IF(OR(Table15[[#This Row],[Product]]="Wealth Management",Table15[[#This Row],[Revenue]]&gt;=40000),"Yes","No")</f>
        <v>No</v>
      </c>
    </row>
    <row r="193" spans="1:19" x14ac:dyDescent="0.3">
      <c r="A193" s="5" t="s">
        <v>251</v>
      </c>
      <c r="B193" s="6">
        <v>45975</v>
      </c>
      <c r="C193" s="7" t="s">
        <v>42</v>
      </c>
      <c r="D193" s="7" t="s">
        <v>77</v>
      </c>
      <c r="E193" s="7" t="s">
        <v>39</v>
      </c>
      <c r="F193" s="7" t="s">
        <v>29</v>
      </c>
      <c r="G193" s="7" t="s">
        <v>65</v>
      </c>
      <c r="H193" s="7" t="s">
        <v>31</v>
      </c>
      <c r="I193" s="7">
        <v>67</v>
      </c>
      <c r="J193" s="7">
        <v>63</v>
      </c>
      <c r="K193" s="20">
        <v>24661.82</v>
      </c>
      <c r="L193" s="20">
        <v>57.06</v>
      </c>
      <c r="M193" s="7">
        <v>141.4</v>
      </c>
      <c r="N193" s="20">
        <f>Table15[[#This Row],[Processing Fee]]-Table15[[#This Row],[Discount Applied]]</f>
        <v>-84.34</v>
      </c>
      <c r="O193" s="7" t="str">
        <f>IF(Table15[[#This Row],[Revenue]]&gt;35000,"Achieved","Not Achieved")</f>
        <v>Not Achieved</v>
      </c>
      <c r="P193" s="8">
        <v>2</v>
      </c>
      <c r="Q193" s="7" t="str">
        <f>IF(AND(Table15[[#This Row],[CSAT Score]]&lt;=3,Table15[[#This Row],[Revenue]]&gt;=20000),"High-Risk","Stable")</f>
        <v>High-Risk</v>
      </c>
      <c r="R193" s="8" t="str" cm="1">
        <f t="array" ref="R193">_xlfn.IFS(Table15[[#This Row],[Revenue]]&gt;=35000,"Platinum",Table15[[#This Row],[Revenue]]&gt;=15000,"Gold",TRUE,"Standard")</f>
        <v>Gold</v>
      </c>
      <c r="S193" s="8" t="str">
        <f>IF(OR(Table15[[#This Row],[Product]]="Wealth Management",Table15[[#This Row],[Revenue]]&gt;=40000),"Yes","No")</f>
        <v>No</v>
      </c>
    </row>
    <row r="194" spans="1:19" x14ac:dyDescent="0.3">
      <c r="A194" s="5" t="s">
        <v>252</v>
      </c>
      <c r="B194" s="6">
        <v>46199</v>
      </c>
      <c r="C194" s="7" t="s">
        <v>91</v>
      </c>
      <c r="D194" s="7" t="s">
        <v>50</v>
      </c>
      <c r="E194" s="7" t="s">
        <v>39</v>
      </c>
      <c r="F194" s="7" t="s">
        <v>22</v>
      </c>
      <c r="G194" s="7" t="s">
        <v>36</v>
      </c>
      <c r="H194" s="7" t="s">
        <v>57</v>
      </c>
      <c r="I194" s="7">
        <v>66</v>
      </c>
      <c r="J194" s="7">
        <v>110</v>
      </c>
      <c r="K194" s="20">
        <v>40746.61</v>
      </c>
      <c r="L194" s="20">
        <v>212.04</v>
      </c>
      <c r="M194" s="7">
        <v>35.159999999999997</v>
      </c>
      <c r="N194" s="20">
        <f>Table15[[#This Row],[Processing Fee]]-Table15[[#This Row],[Discount Applied]]</f>
        <v>176.88</v>
      </c>
      <c r="O194" s="7" t="str">
        <f>IF(Table15[[#This Row],[Revenue]]&gt;35000,"Achieved","Not Achieved")</f>
        <v>Achieved</v>
      </c>
      <c r="P194" s="8">
        <v>4</v>
      </c>
      <c r="Q194" s="7" t="str">
        <f>IF(AND(Table15[[#This Row],[CSAT Score]]&lt;=3,Table15[[#This Row],[Revenue]]&gt;=20000),"High-Risk","Stable")</f>
        <v>Stable</v>
      </c>
      <c r="R194" s="8" t="str" cm="1">
        <f t="array" ref="R194">_xlfn.IFS(Table15[[#This Row],[Revenue]]&gt;=35000,"Platinum",Table15[[#This Row],[Revenue]]&gt;=15000,"Gold",TRUE,"Standard")</f>
        <v>Platinum</v>
      </c>
      <c r="S194" s="8" t="str">
        <f>IF(OR(Table15[[#This Row],[Product]]="Wealth Management",Table15[[#This Row],[Revenue]]&gt;=40000),"Yes","No")</f>
        <v>Yes</v>
      </c>
    </row>
    <row r="195" spans="1:19" x14ac:dyDescent="0.3">
      <c r="A195" s="5" t="s">
        <v>253</v>
      </c>
      <c r="B195" s="6">
        <v>45953</v>
      </c>
      <c r="C195" s="7" t="s">
        <v>19</v>
      </c>
      <c r="D195" s="7" t="s">
        <v>20</v>
      </c>
      <c r="E195" s="7" t="s">
        <v>46</v>
      </c>
      <c r="F195" s="7" t="s">
        <v>69</v>
      </c>
      <c r="G195" s="7" t="s">
        <v>65</v>
      </c>
      <c r="H195" s="7" t="s">
        <v>31</v>
      </c>
      <c r="I195" s="7">
        <v>72</v>
      </c>
      <c r="J195" s="7">
        <v>9</v>
      </c>
      <c r="K195" s="20">
        <v>5411.87</v>
      </c>
      <c r="L195" s="20">
        <v>90.42</v>
      </c>
      <c r="M195" s="7">
        <v>43.48</v>
      </c>
      <c r="N195" s="20">
        <f>Table15[[#This Row],[Processing Fee]]-Table15[[#This Row],[Discount Applied]]</f>
        <v>46.940000000000005</v>
      </c>
      <c r="O195" s="7" t="str">
        <f>IF(Table15[[#This Row],[Revenue]]&gt;35000,"Achieved","Not Achieved")</f>
        <v>Not Achieved</v>
      </c>
      <c r="P195" s="8">
        <v>1</v>
      </c>
      <c r="Q195" s="7" t="str">
        <f>IF(AND(Table15[[#This Row],[CSAT Score]]&lt;=3,Table15[[#This Row],[Revenue]]&gt;=20000),"High-Risk","Stable")</f>
        <v>Stable</v>
      </c>
      <c r="R195" s="8" t="str" cm="1">
        <f t="array" ref="R195">_xlfn.IFS(Table15[[#This Row],[Revenue]]&gt;=35000,"Platinum",Table15[[#This Row],[Revenue]]&gt;=15000,"Gold",TRUE,"Standard")</f>
        <v>Standard</v>
      </c>
      <c r="S195" s="8" t="str">
        <f>IF(OR(Table15[[#This Row],[Product]]="Wealth Management",Table15[[#This Row],[Revenue]]&gt;=40000),"Yes","No")</f>
        <v>No</v>
      </c>
    </row>
    <row r="196" spans="1:19" x14ac:dyDescent="0.3">
      <c r="A196" s="5" t="s">
        <v>254</v>
      </c>
      <c r="B196" s="6">
        <v>46049</v>
      </c>
      <c r="C196" s="7" t="s">
        <v>19</v>
      </c>
      <c r="D196" s="7" t="s">
        <v>45</v>
      </c>
      <c r="E196" s="7" t="s">
        <v>28</v>
      </c>
      <c r="F196" s="7" t="s">
        <v>35</v>
      </c>
      <c r="G196" s="7" t="s">
        <v>65</v>
      </c>
      <c r="H196" s="7" t="s">
        <v>57</v>
      </c>
      <c r="I196" s="7">
        <v>39</v>
      </c>
      <c r="J196" s="7">
        <v>94</v>
      </c>
      <c r="K196" s="20">
        <v>21717.89</v>
      </c>
      <c r="L196" s="20">
        <v>165.57</v>
      </c>
      <c r="M196" s="7">
        <v>50.95</v>
      </c>
      <c r="N196" s="20">
        <f>Table15[[#This Row],[Processing Fee]]-Table15[[#This Row],[Discount Applied]]</f>
        <v>114.61999999999999</v>
      </c>
      <c r="O196" s="7" t="str">
        <f>IF(Table15[[#This Row],[Revenue]]&gt;35000,"Achieved","Not Achieved")</f>
        <v>Not Achieved</v>
      </c>
      <c r="P196" s="8">
        <v>4</v>
      </c>
      <c r="Q196" s="7" t="str">
        <f>IF(AND(Table15[[#This Row],[CSAT Score]]&lt;=3,Table15[[#This Row],[Revenue]]&gt;=20000),"High-Risk","Stable")</f>
        <v>Stable</v>
      </c>
      <c r="R196" s="8" t="str" cm="1">
        <f t="array" ref="R196">_xlfn.IFS(Table15[[#This Row],[Revenue]]&gt;=35000,"Platinum",Table15[[#This Row],[Revenue]]&gt;=15000,"Gold",TRUE,"Standard")</f>
        <v>Gold</v>
      </c>
      <c r="S196" s="8" t="str">
        <f>IF(OR(Table15[[#This Row],[Product]]="Wealth Management",Table15[[#This Row],[Revenue]]&gt;=40000),"Yes","No")</f>
        <v>No</v>
      </c>
    </row>
    <row r="197" spans="1:19" x14ac:dyDescent="0.3">
      <c r="A197" s="5" t="s">
        <v>255</v>
      </c>
      <c r="B197" s="6">
        <v>45948</v>
      </c>
      <c r="C197" s="7" t="s">
        <v>55</v>
      </c>
      <c r="D197" s="7" t="s">
        <v>20</v>
      </c>
      <c r="E197" s="7" t="s">
        <v>39</v>
      </c>
      <c r="F197" s="7" t="s">
        <v>22</v>
      </c>
      <c r="G197" s="7" t="s">
        <v>36</v>
      </c>
      <c r="H197" s="7" t="s">
        <v>57</v>
      </c>
      <c r="I197" s="7">
        <v>33</v>
      </c>
      <c r="J197" s="7">
        <v>117</v>
      </c>
      <c r="K197" s="20">
        <v>31610.86</v>
      </c>
      <c r="L197" s="20">
        <v>91.63</v>
      </c>
      <c r="M197" s="7">
        <v>182.91</v>
      </c>
      <c r="N197" s="20">
        <f>Table15[[#This Row],[Processing Fee]]-Table15[[#This Row],[Discount Applied]]</f>
        <v>-91.28</v>
      </c>
      <c r="O197" s="7" t="str">
        <f>IF(Table15[[#This Row],[Revenue]]&gt;35000,"Achieved","Not Achieved")</f>
        <v>Not Achieved</v>
      </c>
      <c r="P197" s="8">
        <v>5</v>
      </c>
      <c r="Q197" s="7" t="str">
        <f>IF(AND(Table15[[#This Row],[CSAT Score]]&lt;=3,Table15[[#This Row],[Revenue]]&gt;=20000),"High-Risk","Stable")</f>
        <v>Stable</v>
      </c>
      <c r="R197" s="8" t="str" cm="1">
        <f t="array" ref="R197">_xlfn.IFS(Table15[[#This Row],[Revenue]]&gt;=35000,"Platinum",Table15[[#This Row],[Revenue]]&gt;=15000,"Gold",TRUE,"Standard")</f>
        <v>Gold</v>
      </c>
      <c r="S197" s="8" t="str">
        <f>IF(OR(Table15[[#This Row],[Product]]="Wealth Management",Table15[[#This Row],[Revenue]]&gt;=40000),"Yes","No")</f>
        <v>Yes</v>
      </c>
    </row>
    <row r="198" spans="1:19" x14ac:dyDescent="0.3">
      <c r="A198" s="5" t="s">
        <v>256</v>
      </c>
      <c r="B198" s="6">
        <v>46032</v>
      </c>
      <c r="C198" s="7" t="s">
        <v>55</v>
      </c>
      <c r="D198" s="7" t="s">
        <v>34</v>
      </c>
      <c r="E198" s="7" t="s">
        <v>21</v>
      </c>
      <c r="F198" s="7" t="s">
        <v>29</v>
      </c>
      <c r="G198" s="7" t="s">
        <v>36</v>
      </c>
      <c r="H198" s="7" t="s">
        <v>53</v>
      </c>
      <c r="I198" s="7">
        <v>62</v>
      </c>
      <c r="J198" s="7">
        <v>11</v>
      </c>
      <c r="K198" s="20">
        <v>11150.2</v>
      </c>
      <c r="L198" s="20">
        <v>95.42</v>
      </c>
      <c r="M198" s="7">
        <v>22.61</v>
      </c>
      <c r="N198" s="20">
        <f>Table15[[#This Row],[Processing Fee]]-Table15[[#This Row],[Discount Applied]]</f>
        <v>72.81</v>
      </c>
      <c r="O198" s="7" t="str">
        <f>IF(Table15[[#This Row],[Revenue]]&gt;35000,"Achieved","Not Achieved")</f>
        <v>Not Achieved</v>
      </c>
      <c r="P198" s="8">
        <v>4</v>
      </c>
      <c r="Q198" s="7" t="str">
        <f>IF(AND(Table15[[#This Row],[CSAT Score]]&lt;=3,Table15[[#This Row],[Revenue]]&gt;=20000),"High-Risk","Stable")</f>
        <v>Stable</v>
      </c>
      <c r="R198" s="8" t="str" cm="1">
        <f t="array" ref="R198">_xlfn.IFS(Table15[[#This Row],[Revenue]]&gt;=35000,"Platinum",Table15[[#This Row],[Revenue]]&gt;=15000,"Gold",TRUE,"Standard")</f>
        <v>Standard</v>
      </c>
      <c r="S198" s="8" t="str">
        <f>IF(OR(Table15[[#This Row],[Product]]="Wealth Management",Table15[[#This Row],[Revenue]]&gt;=40000),"Yes","No")</f>
        <v>No</v>
      </c>
    </row>
    <row r="199" spans="1:19" x14ac:dyDescent="0.3">
      <c r="A199" s="5" t="s">
        <v>257</v>
      </c>
      <c r="B199" s="6">
        <v>46009</v>
      </c>
      <c r="C199" s="7" t="s">
        <v>26</v>
      </c>
      <c r="D199" s="7" t="s">
        <v>45</v>
      </c>
      <c r="E199" s="7" t="s">
        <v>59</v>
      </c>
      <c r="F199" s="7" t="s">
        <v>29</v>
      </c>
      <c r="G199" s="7" t="s">
        <v>56</v>
      </c>
      <c r="H199" s="7" t="s">
        <v>31</v>
      </c>
      <c r="I199" s="7">
        <v>41</v>
      </c>
      <c r="J199" s="7">
        <v>99</v>
      </c>
      <c r="K199" s="20">
        <v>31559.66</v>
      </c>
      <c r="L199" s="20">
        <v>139.56</v>
      </c>
      <c r="M199" s="7">
        <v>227.24</v>
      </c>
      <c r="N199" s="20">
        <f>Table15[[#This Row],[Processing Fee]]-Table15[[#This Row],[Discount Applied]]</f>
        <v>-87.68</v>
      </c>
      <c r="O199" s="7" t="str">
        <f>IF(Table15[[#This Row],[Revenue]]&gt;35000,"Achieved","Not Achieved")</f>
        <v>Not Achieved</v>
      </c>
      <c r="P199" s="8">
        <v>3</v>
      </c>
      <c r="Q199" s="7" t="str">
        <f>IF(AND(Table15[[#This Row],[CSAT Score]]&lt;=3,Table15[[#This Row],[Revenue]]&gt;=20000),"High-Risk","Stable")</f>
        <v>High-Risk</v>
      </c>
      <c r="R199" s="8" t="str" cm="1">
        <f t="array" ref="R199">_xlfn.IFS(Table15[[#This Row],[Revenue]]&gt;=35000,"Platinum",Table15[[#This Row],[Revenue]]&gt;=15000,"Gold",TRUE,"Standard")</f>
        <v>Gold</v>
      </c>
      <c r="S199" s="8" t="str">
        <f>IF(OR(Table15[[#This Row],[Product]]="Wealth Management",Table15[[#This Row],[Revenue]]&gt;=40000),"Yes","No")</f>
        <v>No</v>
      </c>
    </row>
    <row r="200" spans="1:19" x14ac:dyDescent="0.3">
      <c r="A200" s="5" t="s">
        <v>258</v>
      </c>
      <c r="B200" s="6">
        <v>46052</v>
      </c>
      <c r="C200" s="7" t="s">
        <v>33</v>
      </c>
      <c r="D200" s="7" t="s">
        <v>38</v>
      </c>
      <c r="E200" s="7" t="s">
        <v>59</v>
      </c>
      <c r="F200" s="7" t="s">
        <v>40</v>
      </c>
      <c r="G200" s="7" t="s">
        <v>56</v>
      </c>
      <c r="H200" s="7" t="s">
        <v>31</v>
      </c>
      <c r="I200" s="7">
        <v>57</v>
      </c>
      <c r="J200" s="7">
        <v>101</v>
      </c>
      <c r="K200" s="20">
        <v>46221.41</v>
      </c>
      <c r="L200" s="20">
        <v>499.93</v>
      </c>
      <c r="M200" s="7">
        <v>227.26</v>
      </c>
      <c r="N200" s="20">
        <f>Table15[[#This Row],[Processing Fee]]-Table15[[#This Row],[Discount Applied]]</f>
        <v>272.67</v>
      </c>
      <c r="O200" s="7" t="str">
        <f>IF(Table15[[#This Row],[Revenue]]&gt;35000,"Achieved","Not Achieved")</f>
        <v>Achieved</v>
      </c>
      <c r="P200" s="8">
        <v>5</v>
      </c>
      <c r="Q200" s="7" t="str">
        <f>IF(AND(Table15[[#This Row],[CSAT Score]]&lt;=3,Table15[[#This Row],[Revenue]]&gt;=20000),"High-Risk","Stable")</f>
        <v>Stable</v>
      </c>
      <c r="R200" s="8" t="str" cm="1">
        <f t="array" ref="R200">_xlfn.IFS(Table15[[#This Row],[Revenue]]&gt;=35000,"Platinum",Table15[[#This Row],[Revenue]]&gt;=15000,"Gold",TRUE,"Standard")</f>
        <v>Platinum</v>
      </c>
      <c r="S200" s="8" t="str">
        <f>IF(OR(Table15[[#This Row],[Product]]="Wealth Management",Table15[[#This Row],[Revenue]]&gt;=40000),"Yes","No")</f>
        <v>Yes</v>
      </c>
    </row>
    <row r="201" spans="1:19" x14ac:dyDescent="0.3">
      <c r="A201" s="5" t="s">
        <v>259</v>
      </c>
      <c r="B201" s="6">
        <v>46122</v>
      </c>
      <c r="C201" s="7" t="s">
        <v>42</v>
      </c>
      <c r="D201" s="7" t="s">
        <v>52</v>
      </c>
      <c r="E201" s="7" t="s">
        <v>59</v>
      </c>
      <c r="F201" s="7" t="s">
        <v>22</v>
      </c>
      <c r="G201" s="7" t="s">
        <v>65</v>
      </c>
      <c r="H201" s="7" t="s">
        <v>57</v>
      </c>
      <c r="I201" s="7">
        <v>47</v>
      </c>
      <c r="J201" s="7">
        <v>42</v>
      </c>
      <c r="K201" s="20">
        <v>49877.15</v>
      </c>
      <c r="L201" s="20">
        <v>50.98</v>
      </c>
      <c r="M201" s="7">
        <v>161.94999999999999</v>
      </c>
      <c r="N201" s="20">
        <f>Table15[[#This Row],[Processing Fee]]-Table15[[#This Row],[Discount Applied]]</f>
        <v>-110.97</v>
      </c>
      <c r="O201" s="7" t="str">
        <f>IF(Table15[[#This Row],[Revenue]]&gt;35000,"Achieved","Not Achieved")</f>
        <v>Achieved</v>
      </c>
      <c r="P201" s="8">
        <v>2</v>
      </c>
      <c r="Q201" s="7" t="str">
        <f>IF(AND(Table15[[#This Row],[CSAT Score]]&lt;=3,Table15[[#This Row],[Revenue]]&gt;=20000),"High-Risk","Stable")</f>
        <v>High-Risk</v>
      </c>
      <c r="R201" s="8" t="str" cm="1">
        <f t="array" ref="R201">_xlfn.IFS(Table15[[#This Row],[Revenue]]&gt;=35000,"Platinum",Table15[[#This Row],[Revenue]]&gt;=15000,"Gold",TRUE,"Standard")</f>
        <v>Platinum</v>
      </c>
      <c r="S201" s="8" t="str">
        <f>IF(OR(Table15[[#This Row],[Product]]="Wealth Management",Table15[[#This Row],[Revenue]]&gt;=40000),"Yes","No")</f>
        <v>Yes</v>
      </c>
    </row>
    <row r="202" spans="1:19" x14ac:dyDescent="0.3">
      <c r="A202" s="5" t="s">
        <v>260</v>
      </c>
      <c r="B202" s="6">
        <v>45961</v>
      </c>
      <c r="C202" s="7" t="s">
        <v>19</v>
      </c>
      <c r="D202" s="7" t="s">
        <v>77</v>
      </c>
      <c r="E202" s="7" t="s">
        <v>28</v>
      </c>
      <c r="F202" s="7" t="s">
        <v>40</v>
      </c>
      <c r="G202" s="7" t="s">
        <v>65</v>
      </c>
      <c r="H202" s="7" t="s">
        <v>57</v>
      </c>
      <c r="I202" s="7">
        <v>72</v>
      </c>
      <c r="J202" s="7">
        <v>13</v>
      </c>
      <c r="K202" s="20">
        <v>2106.33</v>
      </c>
      <c r="L202" s="20">
        <v>337.4</v>
      </c>
      <c r="M202" s="7">
        <v>177.32</v>
      </c>
      <c r="N202" s="20">
        <f>Table15[[#This Row],[Processing Fee]]-Table15[[#This Row],[Discount Applied]]</f>
        <v>160.07999999999998</v>
      </c>
      <c r="O202" s="7" t="str">
        <f>IF(Table15[[#This Row],[Revenue]]&gt;35000,"Achieved","Not Achieved")</f>
        <v>Not Achieved</v>
      </c>
      <c r="P202" s="8">
        <v>5</v>
      </c>
      <c r="Q202" s="7" t="str">
        <f>IF(AND(Table15[[#This Row],[CSAT Score]]&lt;=3,Table15[[#This Row],[Revenue]]&gt;=20000),"High-Risk","Stable")</f>
        <v>Stable</v>
      </c>
      <c r="R202" s="8" t="str" cm="1">
        <f t="array" ref="R202">_xlfn.IFS(Table15[[#This Row],[Revenue]]&gt;=35000,"Platinum",Table15[[#This Row],[Revenue]]&gt;=15000,"Gold",TRUE,"Standard")</f>
        <v>Standard</v>
      </c>
      <c r="S202" s="8" t="str">
        <f>IF(OR(Table15[[#This Row],[Product]]="Wealth Management",Table15[[#This Row],[Revenue]]&gt;=40000),"Yes","No")</f>
        <v>No</v>
      </c>
    </row>
    <row r="203" spans="1:19" x14ac:dyDescent="0.3">
      <c r="A203" s="5" t="s">
        <v>261</v>
      </c>
      <c r="B203" s="6">
        <v>46190</v>
      </c>
      <c r="C203" s="7" t="s">
        <v>44</v>
      </c>
      <c r="D203" s="7" t="s">
        <v>61</v>
      </c>
      <c r="E203" s="7" t="s">
        <v>46</v>
      </c>
      <c r="F203" s="7" t="s">
        <v>69</v>
      </c>
      <c r="G203" s="7" t="s">
        <v>23</v>
      </c>
      <c r="H203" s="7" t="s">
        <v>24</v>
      </c>
      <c r="I203" s="7">
        <v>49</v>
      </c>
      <c r="J203" s="7">
        <v>36</v>
      </c>
      <c r="K203" s="20">
        <v>12161.62</v>
      </c>
      <c r="L203" s="20">
        <v>113.56</v>
      </c>
      <c r="M203" s="7">
        <v>52.61</v>
      </c>
      <c r="N203" s="20">
        <f>Table15[[#This Row],[Processing Fee]]-Table15[[#This Row],[Discount Applied]]</f>
        <v>60.95</v>
      </c>
      <c r="O203" s="7" t="str">
        <f>IF(Table15[[#This Row],[Revenue]]&gt;35000,"Achieved","Not Achieved")</f>
        <v>Not Achieved</v>
      </c>
      <c r="P203" s="8">
        <v>1</v>
      </c>
      <c r="Q203" s="7" t="str">
        <f>IF(AND(Table15[[#This Row],[CSAT Score]]&lt;=3,Table15[[#This Row],[Revenue]]&gt;=20000),"High-Risk","Stable")</f>
        <v>Stable</v>
      </c>
      <c r="R203" s="8" t="str" cm="1">
        <f t="array" ref="R203">_xlfn.IFS(Table15[[#This Row],[Revenue]]&gt;=35000,"Platinum",Table15[[#This Row],[Revenue]]&gt;=15000,"Gold",TRUE,"Standard")</f>
        <v>Standard</v>
      </c>
      <c r="S203" s="8" t="str">
        <f>IF(OR(Table15[[#This Row],[Product]]="Wealth Management",Table15[[#This Row],[Revenue]]&gt;=40000),"Yes","No")</f>
        <v>No</v>
      </c>
    </row>
    <row r="204" spans="1:19" x14ac:dyDescent="0.3">
      <c r="A204" s="5" t="s">
        <v>262</v>
      </c>
      <c r="B204" s="6">
        <v>46129</v>
      </c>
      <c r="C204" s="7" t="s">
        <v>19</v>
      </c>
      <c r="D204" s="7" t="s">
        <v>68</v>
      </c>
      <c r="E204" s="7" t="s">
        <v>39</v>
      </c>
      <c r="F204" s="7" t="s">
        <v>22</v>
      </c>
      <c r="G204" s="7" t="s">
        <v>23</v>
      </c>
      <c r="H204" s="7" t="s">
        <v>24</v>
      </c>
      <c r="I204" s="7">
        <v>40</v>
      </c>
      <c r="J204" s="7">
        <v>13</v>
      </c>
      <c r="K204" s="20">
        <v>15860.2</v>
      </c>
      <c r="L204" s="20">
        <v>464.28</v>
      </c>
      <c r="M204" s="7">
        <v>44.91</v>
      </c>
      <c r="N204" s="20">
        <f>Table15[[#This Row],[Processing Fee]]-Table15[[#This Row],[Discount Applied]]</f>
        <v>419.37</v>
      </c>
      <c r="O204" s="7" t="str">
        <f>IF(Table15[[#This Row],[Revenue]]&gt;35000,"Achieved","Not Achieved")</f>
        <v>Not Achieved</v>
      </c>
      <c r="P204" s="8">
        <v>1</v>
      </c>
      <c r="Q204" s="7" t="str">
        <f>IF(AND(Table15[[#This Row],[CSAT Score]]&lt;=3,Table15[[#This Row],[Revenue]]&gt;=20000),"High-Risk","Stable")</f>
        <v>Stable</v>
      </c>
      <c r="R204" s="8" t="str" cm="1">
        <f t="array" ref="R204">_xlfn.IFS(Table15[[#This Row],[Revenue]]&gt;=35000,"Platinum",Table15[[#This Row],[Revenue]]&gt;=15000,"Gold",TRUE,"Standard")</f>
        <v>Gold</v>
      </c>
      <c r="S204" s="8" t="str">
        <f>IF(OR(Table15[[#This Row],[Product]]="Wealth Management",Table15[[#This Row],[Revenue]]&gt;=40000),"Yes","No")</f>
        <v>Yes</v>
      </c>
    </row>
    <row r="205" spans="1:19" x14ac:dyDescent="0.3">
      <c r="A205" s="5" t="s">
        <v>263</v>
      </c>
      <c r="B205" s="6">
        <v>46067</v>
      </c>
      <c r="C205" s="7" t="s">
        <v>91</v>
      </c>
      <c r="D205" s="7" t="s">
        <v>34</v>
      </c>
      <c r="E205" s="7" t="s">
        <v>21</v>
      </c>
      <c r="F205" s="7" t="s">
        <v>69</v>
      </c>
      <c r="G205" s="7" t="s">
        <v>56</v>
      </c>
      <c r="H205" s="7" t="s">
        <v>57</v>
      </c>
      <c r="I205" s="7">
        <v>45</v>
      </c>
      <c r="J205" s="7">
        <v>12</v>
      </c>
      <c r="K205" s="20">
        <v>20256.740000000002</v>
      </c>
      <c r="L205" s="20">
        <v>92.13</v>
      </c>
      <c r="M205" s="7">
        <v>93.1</v>
      </c>
      <c r="N205" s="20">
        <f>Table15[[#This Row],[Processing Fee]]-Table15[[#This Row],[Discount Applied]]</f>
        <v>-0.96999999999999886</v>
      </c>
      <c r="O205" s="7" t="str">
        <f>IF(Table15[[#This Row],[Revenue]]&gt;35000,"Achieved","Not Achieved")</f>
        <v>Not Achieved</v>
      </c>
      <c r="P205" s="8">
        <v>4</v>
      </c>
      <c r="Q205" s="7" t="str">
        <f>IF(AND(Table15[[#This Row],[CSAT Score]]&lt;=3,Table15[[#This Row],[Revenue]]&gt;=20000),"High-Risk","Stable")</f>
        <v>Stable</v>
      </c>
      <c r="R205" s="8" t="str" cm="1">
        <f t="array" ref="R205">_xlfn.IFS(Table15[[#This Row],[Revenue]]&gt;=35000,"Platinum",Table15[[#This Row],[Revenue]]&gt;=15000,"Gold",TRUE,"Standard")</f>
        <v>Gold</v>
      </c>
      <c r="S205" s="8" t="str">
        <f>IF(OR(Table15[[#This Row],[Product]]="Wealth Management",Table15[[#This Row],[Revenue]]&gt;=40000),"Yes","No")</f>
        <v>No</v>
      </c>
    </row>
    <row r="206" spans="1:19" x14ac:dyDescent="0.3">
      <c r="A206" s="5" t="s">
        <v>264</v>
      </c>
      <c r="B206" s="6">
        <v>46135</v>
      </c>
      <c r="C206" s="7" t="s">
        <v>26</v>
      </c>
      <c r="D206" s="7" t="s">
        <v>61</v>
      </c>
      <c r="E206" s="7" t="s">
        <v>21</v>
      </c>
      <c r="F206" s="7" t="s">
        <v>40</v>
      </c>
      <c r="G206" s="7" t="s">
        <v>56</v>
      </c>
      <c r="H206" s="7" t="s">
        <v>24</v>
      </c>
      <c r="I206" s="7">
        <v>26</v>
      </c>
      <c r="J206" s="7">
        <v>37</v>
      </c>
      <c r="K206" s="20">
        <v>12491.73</v>
      </c>
      <c r="L206" s="20">
        <v>479.78</v>
      </c>
      <c r="M206" s="7">
        <v>53.02</v>
      </c>
      <c r="N206" s="20">
        <f>Table15[[#This Row],[Processing Fee]]-Table15[[#This Row],[Discount Applied]]</f>
        <v>426.76</v>
      </c>
      <c r="O206" s="7" t="str">
        <f>IF(Table15[[#This Row],[Revenue]]&gt;35000,"Achieved","Not Achieved")</f>
        <v>Not Achieved</v>
      </c>
      <c r="P206" s="8">
        <v>5</v>
      </c>
      <c r="Q206" s="7" t="str">
        <f>IF(AND(Table15[[#This Row],[CSAT Score]]&lt;=3,Table15[[#This Row],[Revenue]]&gt;=20000),"High-Risk","Stable")</f>
        <v>Stable</v>
      </c>
      <c r="R206" s="8" t="str" cm="1">
        <f t="array" ref="R206">_xlfn.IFS(Table15[[#This Row],[Revenue]]&gt;=35000,"Platinum",Table15[[#This Row],[Revenue]]&gt;=15000,"Gold",TRUE,"Standard")</f>
        <v>Standard</v>
      </c>
      <c r="S206" s="8" t="str">
        <f>IF(OR(Table15[[#This Row],[Product]]="Wealth Management",Table15[[#This Row],[Revenue]]&gt;=40000),"Yes","No")</f>
        <v>No</v>
      </c>
    </row>
    <row r="207" spans="1:19" x14ac:dyDescent="0.3">
      <c r="A207" s="5" t="s">
        <v>265</v>
      </c>
      <c r="B207" s="6">
        <v>45933</v>
      </c>
      <c r="C207" s="7" t="s">
        <v>33</v>
      </c>
      <c r="D207" s="7" t="s">
        <v>77</v>
      </c>
      <c r="E207" s="7" t="s">
        <v>28</v>
      </c>
      <c r="F207" s="7" t="s">
        <v>22</v>
      </c>
      <c r="G207" s="7" t="s">
        <v>23</v>
      </c>
      <c r="H207" s="7" t="s">
        <v>24</v>
      </c>
      <c r="I207" s="7">
        <v>56</v>
      </c>
      <c r="J207" s="7">
        <v>74</v>
      </c>
      <c r="K207" s="20">
        <v>10572.66</v>
      </c>
      <c r="L207" s="20">
        <v>324.92</v>
      </c>
      <c r="M207" s="7">
        <v>146.86000000000001</v>
      </c>
      <c r="N207" s="20">
        <f>Table15[[#This Row],[Processing Fee]]-Table15[[#This Row],[Discount Applied]]</f>
        <v>178.06</v>
      </c>
      <c r="O207" s="7" t="str">
        <f>IF(Table15[[#This Row],[Revenue]]&gt;35000,"Achieved","Not Achieved")</f>
        <v>Not Achieved</v>
      </c>
      <c r="P207" s="8">
        <v>2</v>
      </c>
      <c r="Q207" s="7" t="str">
        <f>IF(AND(Table15[[#This Row],[CSAT Score]]&lt;=3,Table15[[#This Row],[Revenue]]&gt;=20000),"High-Risk","Stable")</f>
        <v>Stable</v>
      </c>
      <c r="R207" s="8" t="str" cm="1">
        <f t="array" ref="R207">_xlfn.IFS(Table15[[#This Row],[Revenue]]&gt;=35000,"Platinum",Table15[[#This Row],[Revenue]]&gt;=15000,"Gold",TRUE,"Standard")</f>
        <v>Standard</v>
      </c>
      <c r="S207" s="8" t="str">
        <f>IF(OR(Table15[[#This Row],[Product]]="Wealth Management",Table15[[#This Row],[Revenue]]&gt;=40000),"Yes","No")</f>
        <v>Yes</v>
      </c>
    </row>
    <row r="208" spans="1:19" x14ac:dyDescent="0.3">
      <c r="A208" s="5" t="s">
        <v>266</v>
      </c>
      <c r="B208" s="6">
        <v>45988</v>
      </c>
      <c r="C208" s="7" t="s">
        <v>44</v>
      </c>
      <c r="D208" s="7" t="s">
        <v>50</v>
      </c>
      <c r="E208" s="7" t="s">
        <v>59</v>
      </c>
      <c r="F208" s="7" t="s">
        <v>40</v>
      </c>
      <c r="G208" s="7" t="s">
        <v>23</v>
      </c>
      <c r="H208" s="7" t="s">
        <v>57</v>
      </c>
      <c r="I208" s="7">
        <v>22</v>
      </c>
      <c r="J208" s="7">
        <v>73</v>
      </c>
      <c r="K208" s="20">
        <v>47750.42</v>
      </c>
      <c r="L208" s="20">
        <v>50.57</v>
      </c>
      <c r="M208" s="7">
        <v>127.19</v>
      </c>
      <c r="N208" s="20">
        <f>Table15[[#This Row],[Processing Fee]]-Table15[[#This Row],[Discount Applied]]</f>
        <v>-76.62</v>
      </c>
      <c r="O208" s="7" t="str">
        <f>IF(Table15[[#This Row],[Revenue]]&gt;35000,"Achieved","Not Achieved")</f>
        <v>Achieved</v>
      </c>
      <c r="P208" s="8">
        <v>1</v>
      </c>
      <c r="Q208" s="7" t="str">
        <f>IF(AND(Table15[[#This Row],[CSAT Score]]&lt;=3,Table15[[#This Row],[Revenue]]&gt;=20000),"High-Risk","Stable")</f>
        <v>High-Risk</v>
      </c>
      <c r="R208" s="8" t="str" cm="1">
        <f t="array" ref="R208">_xlfn.IFS(Table15[[#This Row],[Revenue]]&gt;=35000,"Platinum",Table15[[#This Row],[Revenue]]&gt;=15000,"Gold",TRUE,"Standard")</f>
        <v>Platinum</v>
      </c>
      <c r="S208" s="8" t="str">
        <f>IF(OR(Table15[[#This Row],[Product]]="Wealth Management",Table15[[#This Row],[Revenue]]&gt;=40000),"Yes","No")</f>
        <v>Yes</v>
      </c>
    </row>
    <row r="209" spans="1:19" x14ac:dyDescent="0.3">
      <c r="A209" s="5" t="s">
        <v>267</v>
      </c>
      <c r="B209" s="6">
        <v>45895</v>
      </c>
      <c r="C209" s="7" t="s">
        <v>26</v>
      </c>
      <c r="D209" s="7" t="s">
        <v>83</v>
      </c>
      <c r="E209" s="7" t="s">
        <v>28</v>
      </c>
      <c r="F209" s="7" t="s">
        <v>22</v>
      </c>
      <c r="G209" s="7" t="s">
        <v>30</v>
      </c>
      <c r="H209" s="7" t="s">
        <v>57</v>
      </c>
      <c r="I209" s="7">
        <v>42</v>
      </c>
      <c r="J209" s="7">
        <v>52</v>
      </c>
      <c r="K209" s="20">
        <v>45966.82</v>
      </c>
      <c r="L209" s="20">
        <v>452.3</v>
      </c>
      <c r="M209" s="7">
        <v>175</v>
      </c>
      <c r="N209" s="20">
        <f>Table15[[#This Row],[Processing Fee]]-Table15[[#This Row],[Discount Applied]]</f>
        <v>277.3</v>
      </c>
      <c r="O209" s="7" t="str">
        <f>IF(Table15[[#This Row],[Revenue]]&gt;35000,"Achieved","Not Achieved")</f>
        <v>Achieved</v>
      </c>
      <c r="P209" s="8">
        <v>2</v>
      </c>
      <c r="Q209" s="7" t="str">
        <f>IF(AND(Table15[[#This Row],[CSAT Score]]&lt;=3,Table15[[#This Row],[Revenue]]&gt;=20000),"High-Risk","Stable")</f>
        <v>High-Risk</v>
      </c>
      <c r="R209" s="8" t="str" cm="1">
        <f t="array" ref="R209">_xlfn.IFS(Table15[[#This Row],[Revenue]]&gt;=35000,"Platinum",Table15[[#This Row],[Revenue]]&gt;=15000,"Gold",TRUE,"Standard")</f>
        <v>Platinum</v>
      </c>
      <c r="S209" s="8" t="str">
        <f>IF(OR(Table15[[#This Row],[Product]]="Wealth Management",Table15[[#This Row],[Revenue]]&gt;=40000),"Yes","No")</f>
        <v>Yes</v>
      </c>
    </row>
    <row r="210" spans="1:19" x14ac:dyDescent="0.3">
      <c r="A210" s="5" t="s">
        <v>268</v>
      </c>
      <c r="B210" s="6">
        <v>46046</v>
      </c>
      <c r="C210" s="7" t="s">
        <v>75</v>
      </c>
      <c r="D210" s="7" t="s">
        <v>38</v>
      </c>
      <c r="E210" s="7" t="s">
        <v>46</v>
      </c>
      <c r="F210" s="7" t="s">
        <v>40</v>
      </c>
      <c r="G210" s="7" t="s">
        <v>30</v>
      </c>
      <c r="H210" s="7" t="s">
        <v>31</v>
      </c>
      <c r="I210" s="7">
        <v>52</v>
      </c>
      <c r="J210" s="7">
        <v>71</v>
      </c>
      <c r="K210" s="20">
        <v>2826.13</v>
      </c>
      <c r="L210" s="20">
        <v>284.77</v>
      </c>
      <c r="M210" s="7">
        <v>24.83</v>
      </c>
      <c r="N210" s="20">
        <f>Table15[[#This Row],[Processing Fee]]-Table15[[#This Row],[Discount Applied]]</f>
        <v>259.94</v>
      </c>
      <c r="O210" s="7" t="str">
        <f>IF(Table15[[#This Row],[Revenue]]&gt;35000,"Achieved","Not Achieved")</f>
        <v>Not Achieved</v>
      </c>
      <c r="P210" s="8">
        <v>3</v>
      </c>
      <c r="Q210" s="7" t="str">
        <f>IF(AND(Table15[[#This Row],[CSAT Score]]&lt;=3,Table15[[#This Row],[Revenue]]&gt;=20000),"High-Risk","Stable")</f>
        <v>Stable</v>
      </c>
      <c r="R210" s="8" t="str" cm="1">
        <f t="array" ref="R210">_xlfn.IFS(Table15[[#This Row],[Revenue]]&gt;=35000,"Platinum",Table15[[#This Row],[Revenue]]&gt;=15000,"Gold",TRUE,"Standard")</f>
        <v>Standard</v>
      </c>
      <c r="S210" s="8" t="str">
        <f>IF(OR(Table15[[#This Row],[Product]]="Wealth Management",Table15[[#This Row],[Revenue]]&gt;=40000),"Yes","No")</f>
        <v>No</v>
      </c>
    </row>
    <row r="211" spans="1:19" x14ac:dyDescent="0.3">
      <c r="A211" s="5" t="s">
        <v>269</v>
      </c>
      <c r="B211" s="6">
        <v>45946</v>
      </c>
      <c r="C211" s="7" t="s">
        <v>33</v>
      </c>
      <c r="D211" s="7" t="s">
        <v>77</v>
      </c>
      <c r="E211" s="7" t="s">
        <v>46</v>
      </c>
      <c r="F211" s="7" t="s">
        <v>29</v>
      </c>
      <c r="G211" s="7" t="s">
        <v>23</v>
      </c>
      <c r="H211" s="7" t="s">
        <v>57</v>
      </c>
      <c r="I211" s="7">
        <v>36</v>
      </c>
      <c r="J211" s="7">
        <v>2</v>
      </c>
      <c r="K211" s="20">
        <v>17271.240000000002</v>
      </c>
      <c r="L211" s="20">
        <v>168.2</v>
      </c>
      <c r="M211" s="7">
        <v>183.02</v>
      </c>
      <c r="N211" s="20">
        <f>Table15[[#This Row],[Processing Fee]]-Table15[[#This Row],[Discount Applied]]</f>
        <v>-14.820000000000022</v>
      </c>
      <c r="O211" s="7" t="str">
        <f>IF(Table15[[#This Row],[Revenue]]&gt;35000,"Achieved","Not Achieved")</f>
        <v>Not Achieved</v>
      </c>
      <c r="P211" s="8">
        <v>1</v>
      </c>
      <c r="Q211" s="7" t="str">
        <f>IF(AND(Table15[[#This Row],[CSAT Score]]&lt;=3,Table15[[#This Row],[Revenue]]&gt;=20000),"High-Risk","Stable")</f>
        <v>Stable</v>
      </c>
      <c r="R211" s="8" t="str" cm="1">
        <f t="array" ref="R211">_xlfn.IFS(Table15[[#This Row],[Revenue]]&gt;=35000,"Platinum",Table15[[#This Row],[Revenue]]&gt;=15000,"Gold",TRUE,"Standard")</f>
        <v>Gold</v>
      </c>
      <c r="S211" s="8" t="str">
        <f>IF(OR(Table15[[#This Row],[Product]]="Wealth Management",Table15[[#This Row],[Revenue]]&gt;=40000),"Yes","No")</f>
        <v>No</v>
      </c>
    </row>
    <row r="212" spans="1:19" x14ac:dyDescent="0.3">
      <c r="A212" s="5" t="s">
        <v>270</v>
      </c>
      <c r="B212" s="6">
        <v>45975</v>
      </c>
      <c r="C212" s="7" t="s">
        <v>19</v>
      </c>
      <c r="D212" s="7" t="s">
        <v>38</v>
      </c>
      <c r="E212" s="7" t="s">
        <v>39</v>
      </c>
      <c r="F212" s="7" t="s">
        <v>40</v>
      </c>
      <c r="G212" s="7" t="s">
        <v>30</v>
      </c>
      <c r="H212" s="7" t="s">
        <v>57</v>
      </c>
      <c r="I212" s="7">
        <v>38</v>
      </c>
      <c r="J212" s="7">
        <v>118</v>
      </c>
      <c r="K212" s="20">
        <v>20554.849999999999</v>
      </c>
      <c r="L212" s="20">
        <v>395.28</v>
      </c>
      <c r="M212" s="7">
        <v>58.67</v>
      </c>
      <c r="N212" s="20">
        <f>Table15[[#This Row],[Processing Fee]]-Table15[[#This Row],[Discount Applied]]</f>
        <v>336.60999999999996</v>
      </c>
      <c r="O212" s="7" t="str">
        <f>IF(Table15[[#This Row],[Revenue]]&gt;35000,"Achieved","Not Achieved")</f>
        <v>Not Achieved</v>
      </c>
      <c r="P212" s="8">
        <v>4</v>
      </c>
      <c r="Q212" s="7" t="str">
        <f>IF(AND(Table15[[#This Row],[CSAT Score]]&lt;=3,Table15[[#This Row],[Revenue]]&gt;=20000),"High-Risk","Stable")</f>
        <v>Stable</v>
      </c>
      <c r="R212" s="8" t="str" cm="1">
        <f t="array" ref="R212">_xlfn.IFS(Table15[[#This Row],[Revenue]]&gt;=35000,"Platinum",Table15[[#This Row],[Revenue]]&gt;=15000,"Gold",TRUE,"Standard")</f>
        <v>Gold</v>
      </c>
      <c r="S212" s="8" t="str">
        <f>IF(OR(Table15[[#This Row],[Product]]="Wealth Management",Table15[[#This Row],[Revenue]]&gt;=40000),"Yes","No")</f>
        <v>No</v>
      </c>
    </row>
    <row r="213" spans="1:19" x14ac:dyDescent="0.3">
      <c r="A213" s="5" t="s">
        <v>271</v>
      </c>
      <c r="B213" s="6">
        <v>45998</v>
      </c>
      <c r="C213" s="7" t="s">
        <v>19</v>
      </c>
      <c r="D213" s="7" t="s">
        <v>27</v>
      </c>
      <c r="E213" s="7" t="s">
        <v>39</v>
      </c>
      <c r="F213" s="7" t="s">
        <v>29</v>
      </c>
      <c r="G213" s="7" t="s">
        <v>36</v>
      </c>
      <c r="H213" s="7" t="s">
        <v>53</v>
      </c>
      <c r="I213" s="7">
        <v>25</v>
      </c>
      <c r="J213" s="7">
        <v>56</v>
      </c>
      <c r="K213" s="20">
        <v>12331.22</v>
      </c>
      <c r="L213" s="20">
        <v>467</v>
      </c>
      <c r="M213" s="7">
        <v>98.14</v>
      </c>
      <c r="N213" s="20">
        <f>Table15[[#This Row],[Processing Fee]]-Table15[[#This Row],[Discount Applied]]</f>
        <v>368.86</v>
      </c>
      <c r="O213" s="7" t="str">
        <f>IF(Table15[[#This Row],[Revenue]]&gt;35000,"Achieved","Not Achieved")</f>
        <v>Not Achieved</v>
      </c>
      <c r="P213" s="8">
        <v>3</v>
      </c>
      <c r="Q213" s="7" t="str">
        <f>IF(AND(Table15[[#This Row],[CSAT Score]]&lt;=3,Table15[[#This Row],[Revenue]]&gt;=20000),"High-Risk","Stable")</f>
        <v>Stable</v>
      </c>
      <c r="R213" s="8" t="str" cm="1">
        <f t="array" ref="R213">_xlfn.IFS(Table15[[#This Row],[Revenue]]&gt;=35000,"Platinum",Table15[[#This Row],[Revenue]]&gt;=15000,"Gold",TRUE,"Standard")</f>
        <v>Standard</v>
      </c>
      <c r="S213" s="8" t="str">
        <f>IF(OR(Table15[[#This Row],[Product]]="Wealth Management",Table15[[#This Row],[Revenue]]&gt;=40000),"Yes","No")</f>
        <v>No</v>
      </c>
    </row>
    <row r="214" spans="1:19" x14ac:dyDescent="0.3">
      <c r="A214" s="5" t="s">
        <v>272</v>
      </c>
      <c r="B214" s="6">
        <v>46226</v>
      </c>
      <c r="C214" s="7" t="s">
        <v>33</v>
      </c>
      <c r="D214" s="7" t="s">
        <v>38</v>
      </c>
      <c r="E214" s="7" t="s">
        <v>46</v>
      </c>
      <c r="F214" s="7" t="s">
        <v>40</v>
      </c>
      <c r="G214" s="7" t="s">
        <v>56</v>
      </c>
      <c r="H214" s="7" t="s">
        <v>31</v>
      </c>
      <c r="I214" s="7">
        <v>74</v>
      </c>
      <c r="J214" s="7">
        <v>60</v>
      </c>
      <c r="K214" s="20">
        <v>31629.21</v>
      </c>
      <c r="L214" s="20">
        <v>267.66000000000003</v>
      </c>
      <c r="M214" s="7">
        <v>131.58000000000001</v>
      </c>
      <c r="N214" s="20">
        <f>Table15[[#This Row],[Processing Fee]]-Table15[[#This Row],[Discount Applied]]</f>
        <v>136.08000000000001</v>
      </c>
      <c r="O214" s="7" t="str">
        <f>IF(Table15[[#This Row],[Revenue]]&gt;35000,"Achieved","Not Achieved")</f>
        <v>Not Achieved</v>
      </c>
      <c r="P214" s="8">
        <v>5</v>
      </c>
      <c r="Q214" s="7" t="str">
        <f>IF(AND(Table15[[#This Row],[CSAT Score]]&lt;=3,Table15[[#This Row],[Revenue]]&gt;=20000),"High-Risk","Stable")</f>
        <v>Stable</v>
      </c>
      <c r="R214" s="8" t="str" cm="1">
        <f t="array" ref="R214">_xlfn.IFS(Table15[[#This Row],[Revenue]]&gt;=35000,"Platinum",Table15[[#This Row],[Revenue]]&gt;=15000,"Gold",TRUE,"Standard")</f>
        <v>Gold</v>
      </c>
      <c r="S214" s="8" t="str">
        <f>IF(OR(Table15[[#This Row],[Product]]="Wealth Management",Table15[[#This Row],[Revenue]]&gt;=40000),"Yes","No")</f>
        <v>No</v>
      </c>
    </row>
    <row r="215" spans="1:19" x14ac:dyDescent="0.3">
      <c r="A215" s="5" t="s">
        <v>273</v>
      </c>
      <c r="B215" s="6">
        <v>45947</v>
      </c>
      <c r="C215" s="7" t="s">
        <v>19</v>
      </c>
      <c r="D215" s="7" t="s">
        <v>20</v>
      </c>
      <c r="E215" s="7" t="s">
        <v>46</v>
      </c>
      <c r="F215" s="7" t="s">
        <v>22</v>
      </c>
      <c r="G215" s="7" t="s">
        <v>56</v>
      </c>
      <c r="H215" s="7" t="s">
        <v>31</v>
      </c>
      <c r="I215" s="7">
        <v>56</v>
      </c>
      <c r="J215" s="7">
        <v>23</v>
      </c>
      <c r="K215" s="20">
        <v>32198.85</v>
      </c>
      <c r="L215" s="20">
        <v>192</v>
      </c>
      <c r="M215" s="7">
        <v>228.09</v>
      </c>
      <c r="N215" s="20">
        <f>Table15[[#This Row],[Processing Fee]]-Table15[[#This Row],[Discount Applied]]</f>
        <v>-36.090000000000003</v>
      </c>
      <c r="O215" s="7" t="str">
        <f>IF(Table15[[#This Row],[Revenue]]&gt;35000,"Achieved","Not Achieved")</f>
        <v>Not Achieved</v>
      </c>
      <c r="P215" s="8">
        <v>2</v>
      </c>
      <c r="Q215" s="7" t="str">
        <f>IF(AND(Table15[[#This Row],[CSAT Score]]&lt;=3,Table15[[#This Row],[Revenue]]&gt;=20000),"High-Risk","Stable")</f>
        <v>High-Risk</v>
      </c>
      <c r="R215" s="8" t="str" cm="1">
        <f t="array" ref="R215">_xlfn.IFS(Table15[[#This Row],[Revenue]]&gt;=35000,"Platinum",Table15[[#This Row],[Revenue]]&gt;=15000,"Gold",TRUE,"Standard")</f>
        <v>Gold</v>
      </c>
      <c r="S215" s="8" t="str">
        <f>IF(OR(Table15[[#This Row],[Product]]="Wealth Management",Table15[[#This Row],[Revenue]]&gt;=40000),"Yes","No")</f>
        <v>Yes</v>
      </c>
    </row>
    <row r="216" spans="1:19" x14ac:dyDescent="0.3">
      <c r="A216" s="5" t="s">
        <v>274</v>
      </c>
      <c r="B216" s="6">
        <v>46101</v>
      </c>
      <c r="C216" s="7" t="s">
        <v>42</v>
      </c>
      <c r="D216" s="7" t="s">
        <v>27</v>
      </c>
      <c r="E216" s="7" t="s">
        <v>46</v>
      </c>
      <c r="F216" s="7" t="s">
        <v>22</v>
      </c>
      <c r="G216" s="7" t="s">
        <v>23</v>
      </c>
      <c r="H216" s="7" t="s">
        <v>31</v>
      </c>
      <c r="I216" s="7">
        <v>50</v>
      </c>
      <c r="J216" s="7">
        <v>103</v>
      </c>
      <c r="K216" s="20">
        <v>42599.96</v>
      </c>
      <c r="L216" s="20">
        <v>405.03</v>
      </c>
      <c r="M216" s="7">
        <v>126.1</v>
      </c>
      <c r="N216" s="20">
        <f>Table15[[#This Row],[Processing Fee]]-Table15[[#This Row],[Discount Applied]]</f>
        <v>278.92999999999995</v>
      </c>
      <c r="O216" s="7" t="str">
        <f>IF(Table15[[#This Row],[Revenue]]&gt;35000,"Achieved","Not Achieved")</f>
        <v>Achieved</v>
      </c>
      <c r="P216" s="8">
        <v>1</v>
      </c>
      <c r="Q216" s="7" t="str">
        <f>IF(AND(Table15[[#This Row],[CSAT Score]]&lt;=3,Table15[[#This Row],[Revenue]]&gt;=20000),"High-Risk","Stable")</f>
        <v>High-Risk</v>
      </c>
      <c r="R216" s="8" t="str" cm="1">
        <f t="array" ref="R216">_xlfn.IFS(Table15[[#This Row],[Revenue]]&gt;=35000,"Platinum",Table15[[#This Row],[Revenue]]&gt;=15000,"Gold",TRUE,"Standard")</f>
        <v>Platinum</v>
      </c>
      <c r="S216" s="8" t="str">
        <f>IF(OR(Table15[[#This Row],[Product]]="Wealth Management",Table15[[#This Row],[Revenue]]&gt;=40000),"Yes","No")</f>
        <v>Yes</v>
      </c>
    </row>
    <row r="217" spans="1:19" x14ac:dyDescent="0.3">
      <c r="A217" s="5" t="s">
        <v>275</v>
      </c>
      <c r="B217" s="6">
        <v>46084</v>
      </c>
      <c r="C217" s="7" t="s">
        <v>33</v>
      </c>
      <c r="D217" s="7" t="s">
        <v>79</v>
      </c>
      <c r="E217" s="7" t="s">
        <v>28</v>
      </c>
      <c r="F217" s="7" t="s">
        <v>22</v>
      </c>
      <c r="G217" s="7" t="s">
        <v>65</v>
      </c>
      <c r="H217" s="7" t="s">
        <v>53</v>
      </c>
      <c r="I217" s="7">
        <v>65</v>
      </c>
      <c r="J217" s="7">
        <v>40</v>
      </c>
      <c r="K217" s="20">
        <v>37173.03</v>
      </c>
      <c r="L217" s="20">
        <v>356.8</v>
      </c>
      <c r="M217" s="7">
        <v>188.71</v>
      </c>
      <c r="N217" s="20">
        <f>Table15[[#This Row],[Processing Fee]]-Table15[[#This Row],[Discount Applied]]</f>
        <v>168.09</v>
      </c>
      <c r="O217" s="7" t="str">
        <f>IF(Table15[[#This Row],[Revenue]]&gt;35000,"Achieved","Not Achieved")</f>
        <v>Achieved</v>
      </c>
      <c r="P217" s="8">
        <v>3</v>
      </c>
      <c r="Q217" s="7" t="str">
        <f>IF(AND(Table15[[#This Row],[CSAT Score]]&lt;=3,Table15[[#This Row],[Revenue]]&gt;=20000),"High-Risk","Stable")</f>
        <v>High-Risk</v>
      </c>
      <c r="R217" s="8" t="str" cm="1">
        <f t="array" ref="R217">_xlfn.IFS(Table15[[#This Row],[Revenue]]&gt;=35000,"Platinum",Table15[[#This Row],[Revenue]]&gt;=15000,"Gold",TRUE,"Standard")</f>
        <v>Platinum</v>
      </c>
      <c r="S217" s="8" t="str">
        <f>IF(OR(Table15[[#This Row],[Product]]="Wealth Management",Table15[[#This Row],[Revenue]]&gt;=40000),"Yes","No")</f>
        <v>Yes</v>
      </c>
    </row>
    <row r="218" spans="1:19" x14ac:dyDescent="0.3">
      <c r="A218" s="5" t="s">
        <v>276</v>
      </c>
      <c r="B218" s="6">
        <v>46156</v>
      </c>
      <c r="C218" s="7" t="s">
        <v>26</v>
      </c>
      <c r="D218" s="7" t="s">
        <v>61</v>
      </c>
      <c r="E218" s="7" t="s">
        <v>46</v>
      </c>
      <c r="F218" s="7" t="s">
        <v>35</v>
      </c>
      <c r="G218" s="7" t="s">
        <v>23</v>
      </c>
      <c r="H218" s="7" t="s">
        <v>57</v>
      </c>
      <c r="I218" s="7">
        <v>39</v>
      </c>
      <c r="J218" s="7">
        <v>64</v>
      </c>
      <c r="K218" s="20">
        <v>27357.38</v>
      </c>
      <c r="L218" s="20">
        <v>449.94</v>
      </c>
      <c r="M218" s="7">
        <v>180.51</v>
      </c>
      <c r="N218" s="20">
        <f>Table15[[#This Row],[Processing Fee]]-Table15[[#This Row],[Discount Applied]]</f>
        <v>269.43</v>
      </c>
      <c r="O218" s="7" t="str">
        <f>IF(Table15[[#This Row],[Revenue]]&gt;35000,"Achieved","Not Achieved")</f>
        <v>Not Achieved</v>
      </c>
      <c r="P218" s="8">
        <v>3</v>
      </c>
      <c r="Q218" s="7" t="str">
        <f>IF(AND(Table15[[#This Row],[CSAT Score]]&lt;=3,Table15[[#This Row],[Revenue]]&gt;=20000),"High-Risk","Stable")</f>
        <v>High-Risk</v>
      </c>
      <c r="R218" s="8" t="str" cm="1">
        <f t="array" ref="R218">_xlfn.IFS(Table15[[#This Row],[Revenue]]&gt;=35000,"Platinum",Table15[[#This Row],[Revenue]]&gt;=15000,"Gold",TRUE,"Standard")</f>
        <v>Gold</v>
      </c>
      <c r="S218" s="8" t="str">
        <f>IF(OR(Table15[[#This Row],[Product]]="Wealth Management",Table15[[#This Row],[Revenue]]&gt;=40000),"Yes","No")</f>
        <v>No</v>
      </c>
    </row>
    <row r="219" spans="1:19" x14ac:dyDescent="0.3">
      <c r="A219" s="5" t="s">
        <v>277</v>
      </c>
      <c r="B219" s="6">
        <v>46091</v>
      </c>
      <c r="C219" s="7" t="s">
        <v>33</v>
      </c>
      <c r="D219" s="7" t="s">
        <v>83</v>
      </c>
      <c r="E219" s="7" t="s">
        <v>21</v>
      </c>
      <c r="F219" s="7" t="s">
        <v>69</v>
      </c>
      <c r="G219" s="7" t="s">
        <v>30</v>
      </c>
      <c r="H219" s="7" t="s">
        <v>31</v>
      </c>
      <c r="I219" s="7">
        <v>43</v>
      </c>
      <c r="J219" s="7">
        <v>103</v>
      </c>
      <c r="K219" s="20">
        <v>32852.550000000003</v>
      </c>
      <c r="L219" s="20">
        <v>361.63</v>
      </c>
      <c r="M219" s="7">
        <v>261.64</v>
      </c>
      <c r="N219" s="20">
        <f>Table15[[#This Row],[Processing Fee]]-Table15[[#This Row],[Discount Applied]]</f>
        <v>99.990000000000009</v>
      </c>
      <c r="O219" s="7" t="str">
        <f>IF(Table15[[#This Row],[Revenue]]&gt;35000,"Achieved","Not Achieved")</f>
        <v>Not Achieved</v>
      </c>
      <c r="P219" s="8">
        <v>1</v>
      </c>
      <c r="Q219" s="7" t="str">
        <f>IF(AND(Table15[[#This Row],[CSAT Score]]&lt;=3,Table15[[#This Row],[Revenue]]&gt;=20000),"High-Risk","Stable")</f>
        <v>High-Risk</v>
      </c>
      <c r="R219" s="8" t="str" cm="1">
        <f t="array" ref="R219">_xlfn.IFS(Table15[[#This Row],[Revenue]]&gt;=35000,"Platinum",Table15[[#This Row],[Revenue]]&gt;=15000,"Gold",TRUE,"Standard")</f>
        <v>Gold</v>
      </c>
      <c r="S219" s="8" t="str">
        <f>IF(OR(Table15[[#This Row],[Product]]="Wealth Management",Table15[[#This Row],[Revenue]]&gt;=40000),"Yes","No")</f>
        <v>No</v>
      </c>
    </row>
    <row r="220" spans="1:19" x14ac:dyDescent="0.3">
      <c r="A220" s="5" t="s">
        <v>278</v>
      </c>
      <c r="B220" s="6">
        <v>45998</v>
      </c>
      <c r="C220" s="7" t="s">
        <v>44</v>
      </c>
      <c r="D220" s="7" t="s">
        <v>27</v>
      </c>
      <c r="E220" s="7" t="s">
        <v>59</v>
      </c>
      <c r="F220" s="7" t="s">
        <v>22</v>
      </c>
      <c r="G220" s="7" t="s">
        <v>65</v>
      </c>
      <c r="H220" s="7" t="s">
        <v>31</v>
      </c>
      <c r="I220" s="7">
        <v>54</v>
      </c>
      <c r="J220" s="7">
        <v>85</v>
      </c>
      <c r="K220" s="20">
        <v>14062.44</v>
      </c>
      <c r="L220" s="20">
        <v>159.59</v>
      </c>
      <c r="M220" s="7">
        <v>21.38</v>
      </c>
      <c r="N220" s="20">
        <f>Table15[[#This Row],[Processing Fee]]-Table15[[#This Row],[Discount Applied]]</f>
        <v>138.21</v>
      </c>
      <c r="O220" s="7" t="str">
        <f>IF(Table15[[#This Row],[Revenue]]&gt;35000,"Achieved","Not Achieved")</f>
        <v>Not Achieved</v>
      </c>
      <c r="P220" s="8">
        <v>5</v>
      </c>
      <c r="Q220" s="7" t="str">
        <f>IF(AND(Table15[[#This Row],[CSAT Score]]&lt;=3,Table15[[#This Row],[Revenue]]&gt;=20000),"High-Risk","Stable")</f>
        <v>Stable</v>
      </c>
      <c r="R220" s="8" t="str" cm="1">
        <f t="array" ref="R220">_xlfn.IFS(Table15[[#This Row],[Revenue]]&gt;=35000,"Platinum",Table15[[#This Row],[Revenue]]&gt;=15000,"Gold",TRUE,"Standard")</f>
        <v>Standard</v>
      </c>
      <c r="S220" s="8" t="str">
        <f>IF(OR(Table15[[#This Row],[Product]]="Wealth Management",Table15[[#This Row],[Revenue]]&gt;=40000),"Yes","No")</f>
        <v>Yes</v>
      </c>
    </row>
    <row r="221" spans="1:19" x14ac:dyDescent="0.3">
      <c r="A221" s="5" t="s">
        <v>279</v>
      </c>
      <c r="B221" s="6">
        <v>46182</v>
      </c>
      <c r="C221" s="7" t="s">
        <v>19</v>
      </c>
      <c r="D221" s="7" t="s">
        <v>50</v>
      </c>
      <c r="E221" s="7" t="s">
        <v>46</v>
      </c>
      <c r="F221" s="7" t="s">
        <v>29</v>
      </c>
      <c r="G221" s="7" t="s">
        <v>30</v>
      </c>
      <c r="H221" s="7" t="s">
        <v>24</v>
      </c>
      <c r="I221" s="7">
        <v>33</v>
      </c>
      <c r="J221" s="7">
        <v>23</v>
      </c>
      <c r="K221" s="20">
        <v>29856.28</v>
      </c>
      <c r="L221" s="20">
        <v>469.25</v>
      </c>
      <c r="M221" s="7">
        <v>170.85</v>
      </c>
      <c r="N221" s="20">
        <f>Table15[[#This Row],[Processing Fee]]-Table15[[#This Row],[Discount Applied]]</f>
        <v>298.39999999999998</v>
      </c>
      <c r="O221" s="7" t="str">
        <f>IF(Table15[[#This Row],[Revenue]]&gt;35000,"Achieved","Not Achieved")</f>
        <v>Not Achieved</v>
      </c>
      <c r="P221" s="8">
        <v>5</v>
      </c>
      <c r="Q221" s="7" t="str">
        <f>IF(AND(Table15[[#This Row],[CSAT Score]]&lt;=3,Table15[[#This Row],[Revenue]]&gt;=20000),"High-Risk","Stable")</f>
        <v>Stable</v>
      </c>
      <c r="R221" s="8" t="str" cm="1">
        <f t="array" ref="R221">_xlfn.IFS(Table15[[#This Row],[Revenue]]&gt;=35000,"Platinum",Table15[[#This Row],[Revenue]]&gt;=15000,"Gold",TRUE,"Standard")</f>
        <v>Gold</v>
      </c>
      <c r="S221" s="8" t="str">
        <f>IF(OR(Table15[[#This Row],[Product]]="Wealth Management",Table15[[#This Row],[Revenue]]&gt;=40000),"Yes","No")</f>
        <v>No</v>
      </c>
    </row>
    <row r="222" spans="1:19" x14ac:dyDescent="0.3">
      <c r="A222" s="5" t="s">
        <v>280</v>
      </c>
      <c r="B222" s="6">
        <v>46025</v>
      </c>
      <c r="C222" s="7" t="s">
        <v>42</v>
      </c>
      <c r="D222" s="7" t="s">
        <v>34</v>
      </c>
      <c r="E222" s="7" t="s">
        <v>59</v>
      </c>
      <c r="F222" s="7" t="s">
        <v>22</v>
      </c>
      <c r="G222" s="7" t="s">
        <v>36</v>
      </c>
      <c r="H222" s="7" t="s">
        <v>31</v>
      </c>
      <c r="I222" s="7">
        <v>63</v>
      </c>
      <c r="J222" s="7">
        <v>29</v>
      </c>
      <c r="K222" s="20">
        <v>24716.75</v>
      </c>
      <c r="L222" s="20">
        <v>97.18</v>
      </c>
      <c r="M222" s="7">
        <v>234.5</v>
      </c>
      <c r="N222" s="20">
        <f>Table15[[#This Row],[Processing Fee]]-Table15[[#This Row],[Discount Applied]]</f>
        <v>-137.32</v>
      </c>
      <c r="O222" s="7" t="str">
        <f>IF(Table15[[#This Row],[Revenue]]&gt;35000,"Achieved","Not Achieved")</f>
        <v>Not Achieved</v>
      </c>
      <c r="P222" s="8">
        <v>4</v>
      </c>
      <c r="Q222" s="7" t="str">
        <f>IF(AND(Table15[[#This Row],[CSAT Score]]&lt;=3,Table15[[#This Row],[Revenue]]&gt;=20000),"High-Risk","Stable")</f>
        <v>Stable</v>
      </c>
      <c r="R222" s="8" t="str" cm="1">
        <f t="array" ref="R222">_xlfn.IFS(Table15[[#This Row],[Revenue]]&gt;=35000,"Platinum",Table15[[#This Row],[Revenue]]&gt;=15000,"Gold",TRUE,"Standard")</f>
        <v>Gold</v>
      </c>
      <c r="S222" s="8" t="str">
        <f>IF(OR(Table15[[#This Row],[Product]]="Wealth Management",Table15[[#This Row],[Revenue]]&gt;=40000),"Yes","No")</f>
        <v>Yes</v>
      </c>
    </row>
    <row r="223" spans="1:19" x14ac:dyDescent="0.3">
      <c r="A223" s="5" t="s">
        <v>281</v>
      </c>
      <c r="B223" s="6">
        <v>45881</v>
      </c>
      <c r="C223" s="7" t="s">
        <v>42</v>
      </c>
      <c r="D223" s="7" t="s">
        <v>77</v>
      </c>
      <c r="E223" s="7" t="s">
        <v>28</v>
      </c>
      <c r="F223" s="7" t="s">
        <v>35</v>
      </c>
      <c r="G223" s="7" t="s">
        <v>30</v>
      </c>
      <c r="H223" s="7" t="s">
        <v>57</v>
      </c>
      <c r="I223" s="7">
        <v>74</v>
      </c>
      <c r="J223" s="7">
        <v>78</v>
      </c>
      <c r="K223" s="20">
        <v>7100.55</v>
      </c>
      <c r="L223" s="20">
        <v>170.57</v>
      </c>
      <c r="M223" s="7">
        <v>20.7</v>
      </c>
      <c r="N223" s="20">
        <f>Table15[[#This Row],[Processing Fee]]-Table15[[#This Row],[Discount Applied]]</f>
        <v>149.87</v>
      </c>
      <c r="O223" s="7" t="str">
        <f>IF(Table15[[#This Row],[Revenue]]&gt;35000,"Achieved","Not Achieved")</f>
        <v>Not Achieved</v>
      </c>
      <c r="P223" s="8">
        <v>5</v>
      </c>
      <c r="Q223" s="7" t="str">
        <f>IF(AND(Table15[[#This Row],[CSAT Score]]&lt;=3,Table15[[#This Row],[Revenue]]&gt;=20000),"High-Risk","Stable")</f>
        <v>Stable</v>
      </c>
      <c r="R223" s="8" t="str" cm="1">
        <f t="array" ref="R223">_xlfn.IFS(Table15[[#This Row],[Revenue]]&gt;=35000,"Platinum",Table15[[#This Row],[Revenue]]&gt;=15000,"Gold",TRUE,"Standard")</f>
        <v>Standard</v>
      </c>
      <c r="S223" s="8" t="str">
        <f>IF(OR(Table15[[#This Row],[Product]]="Wealth Management",Table15[[#This Row],[Revenue]]&gt;=40000),"Yes","No")</f>
        <v>No</v>
      </c>
    </row>
    <row r="224" spans="1:19" x14ac:dyDescent="0.3">
      <c r="A224" s="5" t="s">
        <v>282</v>
      </c>
      <c r="B224" s="6">
        <v>46214</v>
      </c>
      <c r="C224" s="7" t="s">
        <v>75</v>
      </c>
      <c r="D224" s="7" t="s">
        <v>48</v>
      </c>
      <c r="E224" s="7" t="s">
        <v>59</v>
      </c>
      <c r="F224" s="7" t="s">
        <v>29</v>
      </c>
      <c r="G224" s="7" t="s">
        <v>36</v>
      </c>
      <c r="H224" s="7" t="s">
        <v>57</v>
      </c>
      <c r="I224" s="7">
        <v>49</v>
      </c>
      <c r="J224" s="7">
        <v>90</v>
      </c>
      <c r="K224" s="20">
        <v>12505.94</v>
      </c>
      <c r="L224" s="20">
        <v>284.08999999999997</v>
      </c>
      <c r="M224" s="7">
        <v>21.48</v>
      </c>
      <c r="N224" s="20">
        <f>Table15[[#This Row],[Processing Fee]]-Table15[[#This Row],[Discount Applied]]</f>
        <v>262.60999999999996</v>
      </c>
      <c r="O224" s="7" t="str">
        <f>IF(Table15[[#This Row],[Revenue]]&gt;35000,"Achieved","Not Achieved")</f>
        <v>Not Achieved</v>
      </c>
      <c r="P224" s="8">
        <v>4</v>
      </c>
      <c r="Q224" s="7" t="str">
        <f>IF(AND(Table15[[#This Row],[CSAT Score]]&lt;=3,Table15[[#This Row],[Revenue]]&gt;=20000),"High-Risk","Stable")</f>
        <v>Stable</v>
      </c>
      <c r="R224" s="8" t="str" cm="1">
        <f t="array" ref="R224">_xlfn.IFS(Table15[[#This Row],[Revenue]]&gt;=35000,"Platinum",Table15[[#This Row],[Revenue]]&gt;=15000,"Gold",TRUE,"Standard")</f>
        <v>Standard</v>
      </c>
      <c r="S224" s="8" t="str">
        <f>IF(OR(Table15[[#This Row],[Product]]="Wealth Management",Table15[[#This Row],[Revenue]]&gt;=40000),"Yes","No")</f>
        <v>No</v>
      </c>
    </row>
    <row r="225" spans="1:19" x14ac:dyDescent="0.3">
      <c r="A225" s="5" t="s">
        <v>283</v>
      </c>
      <c r="B225" s="6">
        <v>45955</v>
      </c>
      <c r="C225" s="7" t="s">
        <v>26</v>
      </c>
      <c r="D225" s="7" t="s">
        <v>34</v>
      </c>
      <c r="E225" s="7" t="s">
        <v>28</v>
      </c>
      <c r="F225" s="7" t="s">
        <v>35</v>
      </c>
      <c r="G225" s="7" t="s">
        <v>36</v>
      </c>
      <c r="H225" s="7" t="s">
        <v>24</v>
      </c>
      <c r="I225" s="7">
        <v>56</v>
      </c>
      <c r="J225" s="7">
        <v>51</v>
      </c>
      <c r="K225" s="20">
        <v>14938.83</v>
      </c>
      <c r="L225" s="20">
        <v>304.58</v>
      </c>
      <c r="M225" s="7">
        <v>20.23</v>
      </c>
      <c r="N225" s="20">
        <f>Table15[[#This Row],[Processing Fee]]-Table15[[#This Row],[Discount Applied]]</f>
        <v>284.34999999999997</v>
      </c>
      <c r="O225" s="7" t="str">
        <f>IF(Table15[[#This Row],[Revenue]]&gt;35000,"Achieved","Not Achieved")</f>
        <v>Not Achieved</v>
      </c>
      <c r="P225" s="8">
        <v>3</v>
      </c>
      <c r="Q225" s="7" t="str">
        <f>IF(AND(Table15[[#This Row],[CSAT Score]]&lt;=3,Table15[[#This Row],[Revenue]]&gt;=20000),"High-Risk","Stable")</f>
        <v>Stable</v>
      </c>
      <c r="R225" s="8" t="str" cm="1">
        <f t="array" ref="R225">_xlfn.IFS(Table15[[#This Row],[Revenue]]&gt;=35000,"Platinum",Table15[[#This Row],[Revenue]]&gt;=15000,"Gold",TRUE,"Standard")</f>
        <v>Standard</v>
      </c>
      <c r="S225" s="8" t="str">
        <f>IF(OR(Table15[[#This Row],[Product]]="Wealth Management",Table15[[#This Row],[Revenue]]&gt;=40000),"Yes","No")</f>
        <v>No</v>
      </c>
    </row>
    <row r="226" spans="1:19" x14ac:dyDescent="0.3">
      <c r="A226" s="5" t="s">
        <v>284</v>
      </c>
      <c r="B226" s="6">
        <v>46207</v>
      </c>
      <c r="C226" s="7" t="s">
        <v>55</v>
      </c>
      <c r="D226" s="7" t="s">
        <v>79</v>
      </c>
      <c r="E226" s="7" t="s">
        <v>21</v>
      </c>
      <c r="F226" s="7" t="s">
        <v>29</v>
      </c>
      <c r="G226" s="7" t="s">
        <v>30</v>
      </c>
      <c r="H226" s="7" t="s">
        <v>31</v>
      </c>
      <c r="I226" s="7">
        <v>42</v>
      </c>
      <c r="J226" s="7">
        <v>69</v>
      </c>
      <c r="K226" s="20">
        <v>46253.32</v>
      </c>
      <c r="L226" s="20">
        <v>56.89</v>
      </c>
      <c r="M226" s="7">
        <v>3.4</v>
      </c>
      <c r="N226" s="20">
        <f>Table15[[#This Row],[Processing Fee]]-Table15[[#This Row],[Discount Applied]]</f>
        <v>53.49</v>
      </c>
      <c r="O226" s="7" t="str">
        <f>IF(Table15[[#This Row],[Revenue]]&gt;35000,"Achieved","Not Achieved")</f>
        <v>Achieved</v>
      </c>
      <c r="P226" s="8">
        <v>1</v>
      </c>
      <c r="Q226" s="7" t="str">
        <f>IF(AND(Table15[[#This Row],[CSAT Score]]&lt;=3,Table15[[#This Row],[Revenue]]&gt;=20000),"High-Risk","Stable")</f>
        <v>High-Risk</v>
      </c>
      <c r="R226" s="8" t="str" cm="1">
        <f t="array" ref="R226">_xlfn.IFS(Table15[[#This Row],[Revenue]]&gt;=35000,"Platinum",Table15[[#This Row],[Revenue]]&gt;=15000,"Gold",TRUE,"Standard")</f>
        <v>Platinum</v>
      </c>
      <c r="S226" s="8" t="str">
        <f>IF(OR(Table15[[#This Row],[Product]]="Wealth Management",Table15[[#This Row],[Revenue]]&gt;=40000),"Yes","No")</f>
        <v>Yes</v>
      </c>
    </row>
    <row r="227" spans="1:19" x14ac:dyDescent="0.3">
      <c r="A227" s="5" t="s">
        <v>285</v>
      </c>
      <c r="B227" s="6">
        <v>46109</v>
      </c>
      <c r="C227" s="7" t="s">
        <v>55</v>
      </c>
      <c r="D227" s="7" t="s">
        <v>34</v>
      </c>
      <c r="E227" s="7" t="s">
        <v>28</v>
      </c>
      <c r="F227" s="7" t="s">
        <v>40</v>
      </c>
      <c r="G227" s="7" t="s">
        <v>30</v>
      </c>
      <c r="H227" s="7" t="s">
        <v>31</v>
      </c>
      <c r="I227" s="7">
        <v>72</v>
      </c>
      <c r="J227" s="7">
        <v>119</v>
      </c>
      <c r="K227" s="20">
        <v>11904.14</v>
      </c>
      <c r="L227" s="20">
        <v>401.26</v>
      </c>
      <c r="M227" s="7">
        <v>164.6</v>
      </c>
      <c r="N227" s="20">
        <f>Table15[[#This Row],[Processing Fee]]-Table15[[#This Row],[Discount Applied]]</f>
        <v>236.66</v>
      </c>
      <c r="O227" s="7" t="str">
        <f>IF(Table15[[#This Row],[Revenue]]&gt;35000,"Achieved","Not Achieved")</f>
        <v>Not Achieved</v>
      </c>
      <c r="P227" s="8">
        <v>5</v>
      </c>
      <c r="Q227" s="7" t="str">
        <f>IF(AND(Table15[[#This Row],[CSAT Score]]&lt;=3,Table15[[#This Row],[Revenue]]&gt;=20000),"High-Risk","Stable")</f>
        <v>Stable</v>
      </c>
      <c r="R227" s="8" t="str" cm="1">
        <f t="array" ref="R227">_xlfn.IFS(Table15[[#This Row],[Revenue]]&gt;=35000,"Platinum",Table15[[#This Row],[Revenue]]&gt;=15000,"Gold",TRUE,"Standard")</f>
        <v>Standard</v>
      </c>
      <c r="S227" s="8" t="str">
        <f>IF(OR(Table15[[#This Row],[Product]]="Wealth Management",Table15[[#This Row],[Revenue]]&gt;=40000),"Yes","No")</f>
        <v>No</v>
      </c>
    </row>
    <row r="228" spans="1:19" x14ac:dyDescent="0.3">
      <c r="A228" s="5" t="s">
        <v>286</v>
      </c>
      <c r="B228" s="6">
        <v>46153</v>
      </c>
      <c r="C228" s="7" t="s">
        <v>33</v>
      </c>
      <c r="D228" s="7" t="s">
        <v>63</v>
      </c>
      <c r="E228" s="7" t="s">
        <v>28</v>
      </c>
      <c r="F228" s="7" t="s">
        <v>69</v>
      </c>
      <c r="G228" s="7" t="s">
        <v>36</v>
      </c>
      <c r="H228" s="7" t="s">
        <v>31</v>
      </c>
      <c r="I228" s="7">
        <v>72</v>
      </c>
      <c r="J228" s="7">
        <v>95</v>
      </c>
      <c r="K228" s="20">
        <v>14817.57</v>
      </c>
      <c r="L228" s="20">
        <v>212.72</v>
      </c>
      <c r="M228" s="7">
        <v>292.02</v>
      </c>
      <c r="N228" s="20">
        <f>Table15[[#This Row],[Processing Fee]]-Table15[[#This Row],[Discount Applied]]</f>
        <v>-79.299999999999983</v>
      </c>
      <c r="O228" s="7" t="str">
        <f>IF(Table15[[#This Row],[Revenue]]&gt;35000,"Achieved","Not Achieved")</f>
        <v>Not Achieved</v>
      </c>
      <c r="P228" s="8">
        <v>4</v>
      </c>
      <c r="Q228" s="7" t="str">
        <f>IF(AND(Table15[[#This Row],[CSAT Score]]&lt;=3,Table15[[#This Row],[Revenue]]&gt;=20000),"High-Risk","Stable")</f>
        <v>Stable</v>
      </c>
      <c r="R228" s="8" t="str" cm="1">
        <f t="array" ref="R228">_xlfn.IFS(Table15[[#This Row],[Revenue]]&gt;=35000,"Platinum",Table15[[#This Row],[Revenue]]&gt;=15000,"Gold",TRUE,"Standard")</f>
        <v>Standard</v>
      </c>
      <c r="S228" s="8" t="str">
        <f>IF(OR(Table15[[#This Row],[Product]]="Wealth Management",Table15[[#This Row],[Revenue]]&gt;=40000),"Yes","No")</f>
        <v>No</v>
      </c>
    </row>
    <row r="229" spans="1:19" x14ac:dyDescent="0.3">
      <c r="A229" s="5" t="s">
        <v>287</v>
      </c>
      <c r="B229" s="6">
        <v>46090</v>
      </c>
      <c r="C229" s="7" t="s">
        <v>75</v>
      </c>
      <c r="D229" s="7" t="s">
        <v>50</v>
      </c>
      <c r="E229" s="7" t="s">
        <v>39</v>
      </c>
      <c r="F229" s="7" t="s">
        <v>69</v>
      </c>
      <c r="G229" s="7" t="s">
        <v>65</v>
      </c>
      <c r="H229" s="7" t="s">
        <v>53</v>
      </c>
      <c r="I229" s="7">
        <v>67</v>
      </c>
      <c r="J229" s="7">
        <v>89</v>
      </c>
      <c r="K229" s="20">
        <v>18783.03</v>
      </c>
      <c r="L229" s="20">
        <v>232.89</v>
      </c>
      <c r="M229" s="7">
        <v>87.74</v>
      </c>
      <c r="N229" s="20">
        <f>Table15[[#This Row],[Processing Fee]]-Table15[[#This Row],[Discount Applied]]</f>
        <v>145.14999999999998</v>
      </c>
      <c r="O229" s="7" t="str">
        <f>IF(Table15[[#This Row],[Revenue]]&gt;35000,"Achieved","Not Achieved")</f>
        <v>Not Achieved</v>
      </c>
      <c r="P229" s="8">
        <v>3</v>
      </c>
      <c r="Q229" s="7" t="str">
        <f>IF(AND(Table15[[#This Row],[CSAT Score]]&lt;=3,Table15[[#This Row],[Revenue]]&gt;=20000),"High-Risk","Stable")</f>
        <v>Stable</v>
      </c>
      <c r="R229" s="8" t="str" cm="1">
        <f t="array" ref="R229">_xlfn.IFS(Table15[[#This Row],[Revenue]]&gt;=35000,"Platinum",Table15[[#This Row],[Revenue]]&gt;=15000,"Gold",TRUE,"Standard")</f>
        <v>Gold</v>
      </c>
      <c r="S229" s="8" t="str">
        <f>IF(OR(Table15[[#This Row],[Product]]="Wealth Management",Table15[[#This Row],[Revenue]]&gt;=40000),"Yes","No")</f>
        <v>No</v>
      </c>
    </row>
    <row r="230" spans="1:19" x14ac:dyDescent="0.3">
      <c r="A230" s="5" t="s">
        <v>288</v>
      </c>
      <c r="B230" s="6">
        <v>46041</v>
      </c>
      <c r="C230" s="7" t="s">
        <v>91</v>
      </c>
      <c r="D230" s="7" t="s">
        <v>48</v>
      </c>
      <c r="E230" s="7" t="s">
        <v>46</v>
      </c>
      <c r="F230" s="7" t="s">
        <v>35</v>
      </c>
      <c r="G230" s="7" t="s">
        <v>36</v>
      </c>
      <c r="H230" s="7" t="s">
        <v>31</v>
      </c>
      <c r="I230" s="7">
        <v>56</v>
      </c>
      <c r="J230" s="7">
        <v>31</v>
      </c>
      <c r="K230" s="20">
        <v>33355.269999999997</v>
      </c>
      <c r="L230" s="20">
        <v>414.22</v>
      </c>
      <c r="M230" s="7">
        <v>162.22999999999999</v>
      </c>
      <c r="N230" s="20">
        <f>Table15[[#This Row],[Processing Fee]]-Table15[[#This Row],[Discount Applied]]</f>
        <v>251.99000000000004</v>
      </c>
      <c r="O230" s="7" t="str">
        <f>IF(Table15[[#This Row],[Revenue]]&gt;35000,"Achieved","Not Achieved")</f>
        <v>Not Achieved</v>
      </c>
      <c r="P230" s="8">
        <v>5</v>
      </c>
      <c r="Q230" s="7" t="str">
        <f>IF(AND(Table15[[#This Row],[CSAT Score]]&lt;=3,Table15[[#This Row],[Revenue]]&gt;=20000),"High-Risk","Stable")</f>
        <v>Stable</v>
      </c>
      <c r="R230" s="8" t="str" cm="1">
        <f t="array" ref="R230">_xlfn.IFS(Table15[[#This Row],[Revenue]]&gt;=35000,"Platinum",Table15[[#This Row],[Revenue]]&gt;=15000,"Gold",TRUE,"Standard")</f>
        <v>Gold</v>
      </c>
      <c r="S230" s="8" t="str">
        <f>IF(OR(Table15[[#This Row],[Product]]="Wealth Management",Table15[[#This Row],[Revenue]]&gt;=40000),"Yes","No")</f>
        <v>No</v>
      </c>
    </row>
    <row r="231" spans="1:19" x14ac:dyDescent="0.3">
      <c r="A231" s="5" t="s">
        <v>289</v>
      </c>
      <c r="B231" s="6">
        <v>46101</v>
      </c>
      <c r="C231" s="7" t="s">
        <v>33</v>
      </c>
      <c r="D231" s="7" t="s">
        <v>27</v>
      </c>
      <c r="E231" s="7" t="s">
        <v>46</v>
      </c>
      <c r="F231" s="7" t="s">
        <v>69</v>
      </c>
      <c r="G231" s="7" t="s">
        <v>56</v>
      </c>
      <c r="H231" s="7" t="s">
        <v>57</v>
      </c>
      <c r="I231" s="7">
        <v>29</v>
      </c>
      <c r="J231" s="7">
        <v>50</v>
      </c>
      <c r="K231" s="20">
        <v>6352.8</v>
      </c>
      <c r="L231" s="20">
        <v>220.68</v>
      </c>
      <c r="M231" s="7">
        <v>193.59</v>
      </c>
      <c r="N231" s="20">
        <f>Table15[[#This Row],[Processing Fee]]-Table15[[#This Row],[Discount Applied]]</f>
        <v>27.090000000000003</v>
      </c>
      <c r="O231" s="7" t="str">
        <f>IF(Table15[[#This Row],[Revenue]]&gt;35000,"Achieved","Not Achieved")</f>
        <v>Not Achieved</v>
      </c>
      <c r="P231" s="8">
        <v>2</v>
      </c>
      <c r="Q231" s="7" t="str">
        <f>IF(AND(Table15[[#This Row],[CSAT Score]]&lt;=3,Table15[[#This Row],[Revenue]]&gt;=20000),"High-Risk","Stable")</f>
        <v>Stable</v>
      </c>
      <c r="R231" s="8" t="str" cm="1">
        <f t="array" ref="R231">_xlfn.IFS(Table15[[#This Row],[Revenue]]&gt;=35000,"Platinum",Table15[[#This Row],[Revenue]]&gt;=15000,"Gold",TRUE,"Standard")</f>
        <v>Standard</v>
      </c>
      <c r="S231" s="8" t="str">
        <f>IF(OR(Table15[[#This Row],[Product]]="Wealth Management",Table15[[#This Row],[Revenue]]&gt;=40000),"Yes","No")</f>
        <v>No</v>
      </c>
    </row>
    <row r="232" spans="1:19" x14ac:dyDescent="0.3">
      <c r="A232" s="5" t="s">
        <v>290</v>
      </c>
      <c r="B232" s="6">
        <v>46142</v>
      </c>
      <c r="C232" s="7" t="s">
        <v>75</v>
      </c>
      <c r="D232" s="7" t="s">
        <v>27</v>
      </c>
      <c r="E232" s="7" t="s">
        <v>21</v>
      </c>
      <c r="F232" s="7" t="s">
        <v>35</v>
      </c>
      <c r="G232" s="7" t="s">
        <v>36</v>
      </c>
      <c r="H232" s="7" t="s">
        <v>57</v>
      </c>
      <c r="I232" s="7">
        <v>59</v>
      </c>
      <c r="J232" s="7">
        <v>20</v>
      </c>
      <c r="K232" s="20">
        <v>47720.29</v>
      </c>
      <c r="L232" s="20">
        <v>71.25</v>
      </c>
      <c r="M232" s="7">
        <v>51.04</v>
      </c>
      <c r="N232" s="20">
        <f>Table15[[#This Row],[Processing Fee]]-Table15[[#This Row],[Discount Applied]]</f>
        <v>20.21</v>
      </c>
      <c r="O232" s="7" t="str">
        <f>IF(Table15[[#This Row],[Revenue]]&gt;35000,"Achieved","Not Achieved")</f>
        <v>Achieved</v>
      </c>
      <c r="P232" s="8">
        <v>3</v>
      </c>
      <c r="Q232" s="7" t="str">
        <f>IF(AND(Table15[[#This Row],[CSAT Score]]&lt;=3,Table15[[#This Row],[Revenue]]&gt;=20000),"High-Risk","Stable")</f>
        <v>High-Risk</v>
      </c>
      <c r="R232" s="8" t="str" cm="1">
        <f t="array" ref="R232">_xlfn.IFS(Table15[[#This Row],[Revenue]]&gt;=35000,"Platinum",Table15[[#This Row],[Revenue]]&gt;=15000,"Gold",TRUE,"Standard")</f>
        <v>Platinum</v>
      </c>
      <c r="S232" s="8" t="str">
        <f>IF(OR(Table15[[#This Row],[Product]]="Wealth Management",Table15[[#This Row],[Revenue]]&gt;=40000),"Yes","No")</f>
        <v>Yes</v>
      </c>
    </row>
    <row r="233" spans="1:19" x14ac:dyDescent="0.3">
      <c r="A233" s="5" t="s">
        <v>291</v>
      </c>
      <c r="B233" s="6">
        <v>45913</v>
      </c>
      <c r="C233" s="7" t="s">
        <v>26</v>
      </c>
      <c r="D233" s="7" t="s">
        <v>27</v>
      </c>
      <c r="E233" s="7" t="s">
        <v>21</v>
      </c>
      <c r="F233" s="7" t="s">
        <v>35</v>
      </c>
      <c r="G233" s="7" t="s">
        <v>65</v>
      </c>
      <c r="H233" s="7" t="s">
        <v>53</v>
      </c>
      <c r="I233" s="7">
        <v>71</v>
      </c>
      <c r="J233" s="7">
        <v>108</v>
      </c>
      <c r="K233" s="20">
        <v>43345.78</v>
      </c>
      <c r="L233" s="20">
        <v>129.4</v>
      </c>
      <c r="M233" s="7">
        <v>171.69</v>
      </c>
      <c r="N233" s="20">
        <f>Table15[[#This Row],[Processing Fee]]-Table15[[#This Row],[Discount Applied]]</f>
        <v>-42.289999999999992</v>
      </c>
      <c r="O233" s="7" t="str">
        <f>IF(Table15[[#This Row],[Revenue]]&gt;35000,"Achieved","Not Achieved")</f>
        <v>Achieved</v>
      </c>
      <c r="P233" s="8">
        <v>5</v>
      </c>
      <c r="Q233" s="7" t="str">
        <f>IF(AND(Table15[[#This Row],[CSAT Score]]&lt;=3,Table15[[#This Row],[Revenue]]&gt;=20000),"High-Risk","Stable")</f>
        <v>Stable</v>
      </c>
      <c r="R233" s="8" t="str" cm="1">
        <f t="array" ref="R233">_xlfn.IFS(Table15[[#This Row],[Revenue]]&gt;=35000,"Platinum",Table15[[#This Row],[Revenue]]&gt;=15000,"Gold",TRUE,"Standard")</f>
        <v>Platinum</v>
      </c>
      <c r="S233" s="8" t="str">
        <f>IF(OR(Table15[[#This Row],[Product]]="Wealth Management",Table15[[#This Row],[Revenue]]&gt;=40000),"Yes","No")</f>
        <v>Yes</v>
      </c>
    </row>
    <row r="234" spans="1:19" x14ac:dyDescent="0.3">
      <c r="A234" s="5" t="s">
        <v>292</v>
      </c>
      <c r="B234" s="6">
        <v>46224</v>
      </c>
      <c r="C234" s="7" t="s">
        <v>26</v>
      </c>
      <c r="D234" s="7" t="s">
        <v>79</v>
      </c>
      <c r="E234" s="7" t="s">
        <v>46</v>
      </c>
      <c r="F234" s="7" t="s">
        <v>35</v>
      </c>
      <c r="G234" s="7" t="s">
        <v>56</v>
      </c>
      <c r="H234" s="7" t="s">
        <v>53</v>
      </c>
      <c r="I234" s="7">
        <v>39</v>
      </c>
      <c r="J234" s="7">
        <v>55</v>
      </c>
      <c r="K234" s="20">
        <v>29072.2</v>
      </c>
      <c r="L234" s="20">
        <v>480.16</v>
      </c>
      <c r="M234" s="7">
        <v>109.28</v>
      </c>
      <c r="N234" s="20">
        <f>Table15[[#This Row],[Processing Fee]]-Table15[[#This Row],[Discount Applied]]</f>
        <v>370.88</v>
      </c>
      <c r="O234" s="7" t="str">
        <f>IF(Table15[[#This Row],[Revenue]]&gt;35000,"Achieved","Not Achieved")</f>
        <v>Not Achieved</v>
      </c>
      <c r="P234" s="8">
        <v>3</v>
      </c>
      <c r="Q234" s="7" t="str">
        <f>IF(AND(Table15[[#This Row],[CSAT Score]]&lt;=3,Table15[[#This Row],[Revenue]]&gt;=20000),"High-Risk","Stable")</f>
        <v>High-Risk</v>
      </c>
      <c r="R234" s="8" t="str" cm="1">
        <f t="array" ref="R234">_xlfn.IFS(Table15[[#This Row],[Revenue]]&gt;=35000,"Platinum",Table15[[#This Row],[Revenue]]&gt;=15000,"Gold",TRUE,"Standard")</f>
        <v>Gold</v>
      </c>
      <c r="S234" s="8" t="str">
        <f>IF(OR(Table15[[#This Row],[Product]]="Wealth Management",Table15[[#This Row],[Revenue]]&gt;=40000),"Yes","No")</f>
        <v>No</v>
      </c>
    </row>
    <row r="235" spans="1:19" x14ac:dyDescent="0.3">
      <c r="A235" s="5" t="s">
        <v>293</v>
      </c>
      <c r="B235" s="6">
        <v>45994</v>
      </c>
      <c r="C235" s="7" t="s">
        <v>26</v>
      </c>
      <c r="D235" s="7" t="s">
        <v>20</v>
      </c>
      <c r="E235" s="7" t="s">
        <v>39</v>
      </c>
      <c r="F235" s="7" t="s">
        <v>69</v>
      </c>
      <c r="G235" s="7" t="s">
        <v>23</v>
      </c>
      <c r="H235" s="7" t="s">
        <v>31</v>
      </c>
      <c r="I235" s="7">
        <v>58</v>
      </c>
      <c r="J235" s="7">
        <v>81</v>
      </c>
      <c r="K235" s="20">
        <v>33864.870000000003</v>
      </c>
      <c r="L235" s="20">
        <v>81.680000000000007</v>
      </c>
      <c r="M235" s="7">
        <v>170.85</v>
      </c>
      <c r="N235" s="20">
        <f>Table15[[#This Row],[Processing Fee]]-Table15[[#This Row],[Discount Applied]]</f>
        <v>-89.169999999999987</v>
      </c>
      <c r="O235" s="7" t="str">
        <f>IF(Table15[[#This Row],[Revenue]]&gt;35000,"Achieved","Not Achieved")</f>
        <v>Not Achieved</v>
      </c>
      <c r="P235" s="8">
        <v>1</v>
      </c>
      <c r="Q235" s="7" t="str">
        <f>IF(AND(Table15[[#This Row],[CSAT Score]]&lt;=3,Table15[[#This Row],[Revenue]]&gt;=20000),"High-Risk","Stable")</f>
        <v>High-Risk</v>
      </c>
      <c r="R235" s="8" t="str" cm="1">
        <f t="array" ref="R235">_xlfn.IFS(Table15[[#This Row],[Revenue]]&gt;=35000,"Platinum",Table15[[#This Row],[Revenue]]&gt;=15000,"Gold",TRUE,"Standard")</f>
        <v>Gold</v>
      </c>
      <c r="S235" s="8" t="str">
        <f>IF(OR(Table15[[#This Row],[Product]]="Wealth Management",Table15[[#This Row],[Revenue]]&gt;=40000),"Yes","No")</f>
        <v>No</v>
      </c>
    </row>
    <row r="236" spans="1:19" x14ac:dyDescent="0.3">
      <c r="A236" s="5" t="s">
        <v>294</v>
      </c>
      <c r="B236" s="6">
        <v>46168</v>
      </c>
      <c r="C236" s="7" t="s">
        <v>26</v>
      </c>
      <c r="D236" s="7" t="s">
        <v>61</v>
      </c>
      <c r="E236" s="7" t="s">
        <v>46</v>
      </c>
      <c r="F236" s="7" t="s">
        <v>35</v>
      </c>
      <c r="G236" s="7" t="s">
        <v>23</v>
      </c>
      <c r="H236" s="7" t="s">
        <v>24</v>
      </c>
      <c r="I236" s="7">
        <v>26</v>
      </c>
      <c r="J236" s="7">
        <v>109</v>
      </c>
      <c r="K236" s="20">
        <v>1324.69</v>
      </c>
      <c r="L236" s="20">
        <v>209.72</v>
      </c>
      <c r="M236" s="7">
        <v>68.63</v>
      </c>
      <c r="N236" s="20">
        <f>Table15[[#This Row],[Processing Fee]]-Table15[[#This Row],[Discount Applied]]</f>
        <v>141.09</v>
      </c>
      <c r="O236" s="7" t="str">
        <f>IF(Table15[[#This Row],[Revenue]]&gt;35000,"Achieved","Not Achieved")</f>
        <v>Not Achieved</v>
      </c>
      <c r="P236" s="8">
        <v>1</v>
      </c>
      <c r="Q236" s="7" t="str">
        <f>IF(AND(Table15[[#This Row],[CSAT Score]]&lt;=3,Table15[[#This Row],[Revenue]]&gt;=20000),"High-Risk","Stable")</f>
        <v>Stable</v>
      </c>
      <c r="R236" s="8" t="str" cm="1">
        <f t="array" ref="R236">_xlfn.IFS(Table15[[#This Row],[Revenue]]&gt;=35000,"Platinum",Table15[[#This Row],[Revenue]]&gt;=15000,"Gold",TRUE,"Standard")</f>
        <v>Standard</v>
      </c>
      <c r="S236" s="8" t="str">
        <f>IF(OR(Table15[[#This Row],[Product]]="Wealth Management",Table15[[#This Row],[Revenue]]&gt;=40000),"Yes","No")</f>
        <v>No</v>
      </c>
    </row>
    <row r="237" spans="1:19" x14ac:dyDescent="0.3">
      <c r="A237" s="5" t="s">
        <v>295</v>
      </c>
      <c r="B237" s="6">
        <v>46125</v>
      </c>
      <c r="C237" s="7" t="s">
        <v>26</v>
      </c>
      <c r="D237" s="7" t="s">
        <v>77</v>
      </c>
      <c r="E237" s="7" t="s">
        <v>39</v>
      </c>
      <c r="F237" s="7" t="s">
        <v>69</v>
      </c>
      <c r="G237" s="7" t="s">
        <v>65</v>
      </c>
      <c r="H237" s="7" t="s">
        <v>53</v>
      </c>
      <c r="I237" s="7">
        <v>72</v>
      </c>
      <c r="J237" s="7">
        <v>2</v>
      </c>
      <c r="K237" s="20">
        <v>17277.77</v>
      </c>
      <c r="L237" s="20">
        <v>276.43</v>
      </c>
      <c r="M237" s="7">
        <v>112.32</v>
      </c>
      <c r="N237" s="20">
        <f>Table15[[#This Row],[Processing Fee]]-Table15[[#This Row],[Discount Applied]]</f>
        <v>164.11</v>
      </c>
      <c r="O237" s="7" t="str">
        <f>IF(Table15[[#This Row],[Revenue]]&gt;35000,"Achieved","Not Achieved")</f>
        <v>Not Achieved</v>
      </c>
      <c r="P237" s="8">
        <v>1</v>
      </c>
      <c r="Q237" s="7" t="str">
        <f>IF(AND(Table15[[#This Row],[CSAT Score]]&lt;=3,Table15[[#This Row],[Revenue]]&gt;=20000),"High-Risk","Stable")</f>
        <v>Stable</v>
      </c>
      <c r="R237" s="8" t="str" cm="1">
        <f t="array" ref="R237">_xlfn.IFS(Table15[[#This Row],[Revenue]]&gt;=35000,"Platinum",Table15[[#This Row],[Revenue]]&gt;=15000,"Gold",TRUE,"Standard")</f>
        <v>Gold</v>
      </c>
      <c r="S237" s="8" t="str">
        <f>IF(OR(Table15[[#This Row],[Product]]="Wealth Management",Table15[[#This Row],[Revenue]]&gt;=40000),"Yes","No")</f>
        <v>No</v>
      </c>
    </row>
    <row r="238" spans="1:19" x14ac:dyDescent="0.3">
      <c r="A238" s="5" t="s">
        <v>296</v>
      </c>
      <c r="B238" s="6">
        <v>46042</v>
      </c>
      <c r="C238" s="7" t="s">
        <v>75</v>
      </c>
      <c r="D238" s="7" t="s">
        <v>52</v>
      </c>
      <c r="E238" s="7" t="s">
        <v>21</v>
      </c>
      <c r="F238" s="7" t="s">
        <v>35</v>
      </c>
      <c r="G238" s="7" t="s">
        <v>36</v>
      </c>
      <c r="H238" s="7" t="s">
        <v>53</v>
      </c>
      <c r="I238" s="7">
        <v>67</v>
      </c>
      <c r="J238" s="7">
        <v>25</v>
      </c>
      <c r="K238" s="20">
        <v>39885.18</v>
      </c>
      <c r="L238" s="20">
        <v>271.98</v>
      </c>
      <c r="M238" s="7">
        <v>14.63</v>
      </c>
      <c r="N238" s="20">
        <f>Table15[[#This Row],[Processing Fee]]-Table15[[#This Row],[Discount Applied]]</f>
        <v>257.35000000000002</v>
      </c>
      <c r="O238" s="7" t="str">
        <f>IF(Table15[[#This Row],[Revenue]]&gt;35000,"Achieved","Not Achieved")</f>
        <v>Achieved</v>
      </c>
      <c r="P238" s="8">
        <v>2</v>
      </c>
      <c r="Q238" s="7" t="str">
        <f>IF(AND(Table15[[#This Row],[CSAT Score]]&lt;=3,Table15[[#This Row],[Revenue]]&gt;=20000),"High-Risk","Stable")</f>
        <v>High-Risk</v>
      </c>
      <c r="R238" s="8" t="str" cm="1">
        <f t="array" ref="R238">_xlfn.IFS(Table15[[#This Row],[Revenue]]&gt;=35000,"Platinum",Table15[[#This Row],[Revenue]]&gt;=15000,"Gold",TRUE,"Standard")</f>
        <v>Platinum</v>
      </c>
      <c r="S238" s="8" t="str">
        <f>IF(OR(Table15[[#This Row],[Product]]="Wealth Management",Table15[[#This Row],[Revenue]]&gt;=40000),"Yes","No")</f>
        <v>No</v>
      </c>
    </row>
    <row r="239" spans="1:19" x14ac:dyDescent="0.3">
      <c r="A239" s="5" t="s">
        <v>297</v>
      </c>
      <c r="B239" s="6">
        <v>46021</v>
      </c>
      <c r="C239" s="7" t="s">
        <v>75</v>
      </c>
      <c r="D239" s="7" t="s">
        <v>87</v>
      </c>
      <c r="E239" s="7" t="s">
        <v>59</v>
      </c>
      <c r="F239" s="7" t="s">
        <v>22</v>
      </c>
      <c r="G239" s="7" t="s">
        <v>30</v>
      </c>
      <c r="H239" s="7" t="s">
        <v>31</v>
      </c>
      <c r="I239" s="7">
        <v>35</v>
      </c>
      <c r="J239" s="7">
        <v>13</v>
      </c>
      <c r="K239" s="20">
        <v>4335.41</v>
      </c>
      <c r="L239" s="20">
        <v>51.78</v>
      </c>
      <c r="M239" s="7">
        <v>229.4</v>
      </c>
      <c r="N239" s="20">
        <f>Table15[[#This Row],[Processing Fee]]-Table15[[#This Row],[Discount Applied]]</f>
        <v>-177.62</v>
      </c>
      <c r="O239" s="7" t="str">
        <f>IF(Table15[[#This Row],[Revenue]]&gt;35000,"Achieved","Not Achieved")</f>
        <v>Not Achieved</v>
      </c>
      <c r="P239" s="8">
        <v>1</v>
      </c>
      <c r="Q239" s="7" t="str">
        <f>IF(AND(Table15[[#This Row],[CSAT Score]]&lt;=3,Table15[[#This Row],[Revenue]]&gt;=20000),"High-Risk","Stable")</f>
        <v>Stable</v>
      </c>
      <c r="R239" s="8" t="str" cm="1">
        <f t="array" ref="R239">_xlfn.IFS(Table15[[#This Row],[Revenue]]&gt;=35000,"Platinum",Table15[[#This Row],[Revenue]]&gt;=15000,"Gold",TRUE,"Standard")</f>
        <v>Standard</v>
      </c>
      <c r="S239" s="8" t="str">
        <f>IF(OR(Table15[[#This Row],[Product]]="Wealth Management",Table15[[#This Row],[Revenue]]&gt;=40000),"Yes","No")</f>
        <v>Yes</v>
      </c>
    </row>
    <row r="240" spans="1:19" x14ac:dyDescent="0.3">
      <c r="A240" s="5" t="s">
        <v>298</v>
      </c>
      <c r="B240" s="6">
        <v>46101</v>
      </c>
      <c r="C240" s="7" t="s">
        <v>42</v>
      </c>
      <c r="D240" s="7" t="s">
        <v>61</v>
      </c>
      <c r="E240" s="7" t="s">
        <v>21</v>
      </c>
      <c r="F240" s="7" t="s">
        <v>35</v>
      </c>
      <c r="G240" s="7" t="s">
        <v>65</v>
      </c>
      <c r="H240" s="7" t="s">
        <v>31</v>
      </c>
      <c r="I240" s="7">
        <v>40</v>
      </c>
      <c r="J240" s="7">
        <v>103</v>
      </c>
      <c r="K240" s="20">
        <v>14474.53</v>
      </c>
      <c r="L240" s="20">
        <v>275.52</v>
      </c>
      <c r="M240" s="7">
        <v>85.41</v>
      </c>
      <c r="N240" s="20">
        <f>Table15[[#This Row],[Processing Fee]]-Table15[[#This Row],[Discount Applied]]</f>
        <v>190.10999999999999</v>
      </c>
      <c r="O240" s="7" t="str">
        <f>IF(Table15[[#This Row],[Revenue]]&gt;35000,"Achieved","Not Achieved")</f>
        <v>Not Achieved</v>
      </c>
      <c r="P240" s="8">
        <v>2</v>
      </c>
      <c r="Q240" s="7" t="str">
        <f>IF(AND(Table15[[#This Row],[CSAT Score]]&lt;=3,Table15[[#This Row],[Revenue]]&gt;=20000),"High-Risk","Stable")</f>
        <v>Stable</v>
      </c>
      <c r="R240" s="8" t="str" cm="1">
        <f t="array" ref="R240">_xlfn.IFS(Table15[[#This Row],[Revenue]]&gt;=35000,"Platinum",Table15[[#This Row],[Revenue]]&gt;=15000,"Gold",TRUE,"Standard")</f>
        <v>Standard</v>
      </c>
      <c r="S240" s="8" t="str">
        <f>IF(OR(Table15[[#This Row],[Product]]="Wealth Management",Table15[[#This Row],[Revenue]]&gt;=40000),"Yes","No")</f>
        <v>No</v>
      </c>
    </row>
    <row r="241" spans="1:19" x14ac:dyDescent="0.3">
      <c r="A241" s="5" t="s">
        <v>299</v>
      </c>
      <c r="B241" s="6">
        <v>46116</v>
      </c>
      <c r="C241" s="7" t="s">
        <v>44</v>
      </c>
      <c r="D241" s="7" t="s">
        <v>79</v>
      </c>
      <c r="E241" s="7" t="s">
        <v>21</v>
      </c>
      <c r="F241" s="7" t="s">
        <v>29</v>
      </c>
      <c r="G241" s="7" t="s">
        <v>56</v>
      </c>
      <c r="H241" s="7" t="s">
        <v>53</v>
      </c>
      <c r="I241" s="7">
        <v>29</v>
      </c>
      <c r="J241" s="7">
        <v>92</v>
      </c>
      <c r="K241" s="20">
        <v>29472.19</v>
      </c>
      <c r="L241" s="20">
        <v>222.7</v>
      </c>
      <c r="M241" s="7">
        <v>177.52</v>
      </c>
      <c r="N241" s="20">
        <f>Table15[[#This Row],[Processing Fee]]-Table15[[#This Row],[Discount Applied]]</f>
        <v>45.179999999999978</v>
      </c>
      <c r="O241" s="7" t="str">
        <f>IF(Table15[[#This Row],[Revenue]]&gt;35000,"Achieved","Not Achieved")</f>
        <v>Not Achieved</v>
      </c>
      <c r="P241" s="8">
        <v>1</v>
      </c>
      <c r="Q241" s="7" t="str">
        <f>IF(AND(Table15[[#This Row],[CSAT Score]]&lt;=3,Table15[[#This Row],[Revenue]]&gt;=20000),"High-Risk","Stable")</f>
        <v>High-Risk</v>
      </c>
      <c r="R241" s="8" t="str" cm="1">
        <f t="array" ref="R241">_xlfn.IFS(Table15[[#This Row],[Revenue]]&gt;=35000,"Platinum",Table15[[#This Row],[Revenue]]&gt;=15000,"Gold",TRUE,"Standard")</f>
        <v>Gold</v>
      </c>
      <c r="S241" s="8" t="str">
        <f>IF(OR(Table15[[#This Row],[Product]]="Wealth Management",Table15[[#This Row],[Revenue]]&gt;=40000),"Yes","No")</f>
        <v>No</v>
      </c>
    </row>
    <row r="242" spans="1:19" x14ac:dyDescent="0.3">
      <c r="A242" s="5" t="s">
        <v>300</v>
      </c>
      <c r="B242" s="6">
        <v>46211</v>
      </c>
      <c r="C242" s="7" t="s">
        <v>55</v>
      </c>
      <c r="D242" s="7" t="s">
        <v>68</v>
      </c>
      <c r="E242" s="7" t="s">
        <v>28</v>
      </c>
      <c r="F242" s="7" t="s">
        <v>35</v>
      </c>
      <c r="G242" s="7" t="s">
        <v>56</v>
      </c>
      <c r="H242" s="7" t="s">
        <v>24</v>
      </c>
      <c r="I242" s="7">
        <v>52</v>
      </c>
      <c r="J242" s="7">
        <v>106</v>
      </c>
      <c r="K242" s="20">
        <v>13192.44</v>
      </c>
      <c r="L242" s="20">
        <v>487.44</v>
      </c>
      <c r="M242" s="7">
        <v>73.569999999999993</v>
      </c>
      <c r="N242" s="20">
        <f>Table15[[#This Row],[Processing Fee]]-Table15[[#This Row],[Discount Applied]]</f>
        <v>413.87</v>
      </c>
      <c r="O242" s="7" t="str">
        <f>IF(Table15[[#This Row],[Revenue]]&gt;35000,"Achieved","Not Achieved")</f>
        <v>Not Achieved</v>
      </c>
      <c r="P242" s="8">
        <v>3</v>
      </c>
      <c r="Q242" s="7" t="str">
        <f>IF(AND(Table15[[#This Row],[CSAT Score]]&lt;=3,Table15[[#This Row],[Revenue]]&gt;=20000),"High-Risk","Stable")</f>
        <v>Stable</v>
      </c>
      <c r="R242" s="8" t="str" cm="1">
        <f t="array" ref="R242">_xlfn.IFS(Table15[[#This Row],[Revenue]]&gt;=35000,"Platinum",Table15[[#This Row],[Revenue]]&gt;=15000,"Gold",TRUE,"Standard")</f>
        <v>Standard</v>
      </c>
      <c r="S242" s="8" t="str">
        <f>IF(OR(Table15[[#This Row],[Product]]="Wealth Management",Table15[[#This Row],[Revenue]]&gt;=40000),"Yes","No")</f>
        <v>No</v>
      </c>
    </row>
    <row r="243" spans="1:19" x14ac:dyDescent="0.3">
      <c r="A243" s="5" t="s">
        <v>301</v>
      </c>
      <c r="B243" s="6">
        <v>45925</v>
      </c>
      <c r="C243" s="7" t="s">
        <v>19</v>
      </c>
      <c r="D243" s="7" t="s">
        <v>50</v>
      </c>
      <c r="E243" s="7" t="s">
        <v>28</v>
      </c>
      <c r="F243" s="7" t="s">
        <v>40</v>
      </c>
      <c r="G243" s="7" t="s">
        <v>23</v>
      </c>
      <c r="H243" s="7" t="s">
        <v>53</v>
      </c>
      <c r="I243" s="7">
        <v>24</v>
      </c>
      <c r="J243" s="7">
        <v>119</v>
      </c>
      <c r="K243" s="20">
        <v>46731.91</v>
      </c>
      <c r="L243" s="20">
        <v>121.62</v>
      </c>
      <c r="M243" s="7">
        <v>28.56</v>
      </c>
      <c r="N243" s="20">
        <f>Table15[[#This Row],[Processing Fee]]-Table15[[#This Row],[Discount Applied]]</f>
        <v>93.06</v>
      </c>
      <c r="O243" s="7" t="str">
        <f>IF(Table15[[#This Row],[Revenue]]&gt;35000,"Achieved","Not Achieved")</f>
        <v>Achieved</v>
      </c>
      <c r="P243" s="8">
        <v>5</v>
      </c>
      <c r="Q243" s="7" t="str">
        <f>IF(AND(Table15[[#This Row],[CSAT Score]]&lt;=3,Table15[[#This Row],[Revenue]]&gt;=20000),"High-Risk","Stable")</f>
        <v>Stable</v>
      </c>
      <c r="R243" s="8" t="str" cm="1">
        <f t="array" ref="R243">_xlfn.IFS(Table15[[#This Row],[Revenue]]&gt;=35000,"Platinum",Table15[[#This Row],[Revenue]]&gt;=15000,"Gold",TRUE,"Standard")</f>
        <v>Platinum</v>
      </c>
      <c r="S243" s="8" t="str">
        <f>IF(OR(Table15[[#This Row],[Product]]="Wealth Management",Table15[[#This Row],[Revenue]]&gt;=40000),"Yes","No")</f>
        <v>Yes</v>
      </c>
    </row>
    <row r="244" spans="1:19" x14ac:dyDescent="0.3">
      <c r="A244" s="5" t="s">
        <v>302</v>
      </c>
      <c r="B244" s="6">
        <v>46063</v>
      </c>
      <c r="C244" s="7" t="s">
        <v>26</v>
      </c>
      <c r="D244" s="7" t="s">
        <v>77</v>
      </c>
      <c r="E244" s="7" t="s">
        <v>28</v>
      </c>
      <c r="F244" s="7" t="s">
        <v>35</v>
      </c>
      <c r="G244" s="7" t="s">
        <v>56</v>
      </c>
      <c r="H244" s="7" t="s">
        <v>31</v>
      </c>
      <c r="I244" s="7">
        <v>70</v>
      </c>
      <c r="J244" s="7">
        <v>70</v>
      </c>
      <c r="K244" s="20">
        <v>6987.4</v>
      </c>
      <c r="L244" s="20">
        <v>209.37</v>
      </c>
      <c r="M244" s="7">
        <v>208.77</v>
      </c>
      <c r="N244" s="20">
        <f>Table15[[#This Row],[Processing Fee]]-Table15[[#This Row],[Discount Applied]]</f>
        <v>0.59999999999999432</v>
      </c>
      <c r="O244" s="7" t="str">
        <f>IF(Table15[[#This Row],[Revenue]]&gt;35000,"Achieved","Not Achieved")</f>
        <v>Not Achieved</v>
      </c>
      <c r="P244" s="8">
        <v>5</v>
      </c>
      <c r="Q244" s="7" t="str">
        <f>IF(AND(Table15[[#This Row],[CSAT Score]]&lt;=3,Table15[[#This Row],[Revenue]]&gt;=20000),"High-Risk","Stable")</f>
        <v>Stable</v>
      </c>
      <c r="R244" s="8" t="str" cm="1">
        <f t="array" ref="R244">_xlfn.IFS(Table15[[#This Row],[Revenue]]&gt;=35000,"Platinum",Table15[[#This Row],[Revenue]]&gt;=15000,"Gold",TRUE,"Standard")</f>
        <v>Standard</v>
      </c>
      <c r="S244" s="8" t="str">
        <f>IF(OR(Table15[[#This Row],[Product]]="Wealth Management",Table15[[#This Row],[Revenue]]&gt;=40000),"Yes","No")</f>
        <v>No</v>
      </c>
    </row>
    <row r="245" spans="1:19" x14ac:dyDescent="0.3">
      <c r="A245" s="5" t="s">
        <v>303</v>
      </c>
      <c r="B245" s="6">
        <v>46161</v>
      </c>
      <c r="C245" s="7" t="s">
        <v>91</v>
      </c>
      <c r="D245" s="7" t="s">
        <v>61</v>
      </c>
      <c r="E245" s="7" t="s">
        <v>28</v>
      </c>
      <c r="F245" s="7" t="s">
        <v>29</v>
      </c>
      <c r="G245" s="7" t="s">
        <v>65</v>
      </c>
      <c r="H245" s="7" t="s">
        <v>31</v>
      </c>
      <c r="I245" s="7">
        <v>38</v>
      </c>
      <c r="J245" s="7">
        <v>67</v>
      </c>
      <c r="K245" s="20">
        <v>39971.019999999997</v>
      </c>
      <c r="L245" s="20">
        <v>238.77</v>
      </c>
      <c r="M245" s="7">
        <v>49.38</v>
      </c>
      <c r="N245" s="20">
        <f>Table15[[#This Row],[Processing Fee]]-Table15[[#This Row],[Discount Applied]]</f>
        <v>189.39000000000001</v>
      </c>
      <c r="O245" s="7" t="str">
        <f>IF(Table15[[#This Row],[Revenue]]&gt;35000,"Achieved","Not Achieved")</f>
        <v>Achieved</v>
      </c>
      <c r="P245" s="8">
        <v>1</v>
      </c>
      <c r="Q245" s="7" t="str">
        <f>IF(AND(Table15[[#This Row],[CSAT Score]]&lt;=3,Table15[[#This Row],[Revenue]]&gt;=20000),"High-Risk","Stable")</f>
        <v>High-Risk</v>
      </c>
      <c r="R245" s="8" t="str" cm="1">
        <f t="array" ref="R245">_xlfn.IFS(Table15[[#This Row],[Revenue]]&gt;=35000,"Platinum",Table15[[#This Row],[Revenue]]&gt;=15000,"Gold",TRUE,"Standard")</f>
        <v>Platinum</v>
      </c>
      <c r="S245" s="8" t="str">
        <f>IF(OR(Table15[[#This Row],[Product]]="Wealth Management",Table15[[#This Row],[Revenue]]&gt;=40000),"Yes","No")</f>
        <v>No</v>
      </c>
    </row>
    <row r="246" spans="1:19" x14ac:dyDescent="0.3">
      <c r="A246" s="5" t="s">
        <v>304</v>
      </c>
      <c r="B246" s="6">
        <v>46188</v>
      </c>
      <c r="C246" s="7" t="s">
        <v>19</v>
      </c>
      <c r="D246" s="7" t="s">
        <v>83</v>
      </c>
      <c r="E246" s="7" t="s">
        <v>39</v>
      </c>
      <c r="F246" s="7" t="s">
        <v>29</v>
      </c>
      <c r="G246" s="7" t="s">
        <v>56</v>
      </c>
      <c r="H246" s="7" t="s">
        <v>53</v>
      </c>
      <c r="I246" s="7">
        <v>25</v>
      </c>
      <c r="J246" s="7">
        <v>58</v>
      </c>
      <c r="K246" s="20">
        <v>25643.46</v>
      </c>
      <c r="L246" s="20">
        <v>225.81</v>
      </c>
      <c r="M246" s="7">
        <v>150.74</v>
      </c>
      <c r="N246" s="20">
        <f>Table15[[#This Row],[Processing Fee]]-Table15[[#This Row],[Discount Applied]]</f>
        <v>75.069999999999993</v>
      </c>
      <c r="O246" s="7" t="str">
        <f>IF(Table15[[#This Row],[Revenue]]&gt;35000,"Achieved","Not Achieved")</f>
        <v>Not Achieved</v>
      </c>
      <c r="P246" s="8">
        <v>5</v>
      </c>
      <c r="Q246" s="7" t="str">
        <f>IF(AND(Table15[[#This Row],[CSAT Score]]&lt;=3,Table15[[#This Row],[Revenue]]&gt;=20000),"High-Risk","Stable")</f>
        <v>Stable</v>
      </c>
      <c r="R246" s="8" t="str" cm="1">
        <f t="array" ref="R246">_xlfn.IFS(Table15[[#This Row],[Revenue]]&gt;=35000,"Platinum",Table15[[#This Row],[Revenue]]&gt;=15000,"Gold",TRUE,"Standard")</f>
        <v>Gold</v>
      </c>
      <c r="S246" s="8" t="str">
        <f>IF(OR(Table15[[#This Row],[Product]]="Wealth Management",Table15[[#This Row],[Revenue]]&gt;=40000),"Yes","No")</f>
        <v>No</v>
      </c>
    </row>
    <row r="247" spans="1:19" x14ac:dyDescent="0.3">
      <c r="A247" s="5" t="s">
        <v>305</v>
      </c>
      <c r="B247" s="6">
        <v>46011</v>
      </c>
      <c r="C247" s="7" t="s">
        <v>75</v>
      </c>
      <c r="D247" s="7" t="s">
        <v>79</v>
      </c>
      <c r="E247" s="7" t="s">
        <v>46</v>
      </c>
      <c r="F247" s="7" t="s">
        <v>69</v>
      </c>
      <c r="G247" s="7" t="s">
        <v>65</v>
      </c>
      <c r="H247" s="7" t="s">
        <v>24</v>
      </c>
      <c r="I247" s="7">
        <v>40</v>
      </c>
      <c r="J247" s="7">
        <v>99</v>
      </c>
      <c r="K247" s="20">
        <v>37641.370000000003</v>
      </c>
      <c r="L247" s="20">
        <v>349.62</v>
      </c>
      <c r="M247" s="7">
        <v>193.62</v>
      </c>
      <c r="N247" s="20">
        <f>Table15[[#This Row],[Processing Fee]]-Table15[[#This Row],[Discount Applied]]</f>
        <v>156</v>
      </c>
      <c r="O247" s="7" t="str">
        <f>IF(Table15[[#This Row],[Revenue]]&gt;35000,"Achieved","Not Achieved")</f>
        <v>Achieved</v>
      </c>
      <c r="P247" s="8">
        <v>1</v>
      </c>
      <c r="Q247" s="7" t="str">
        <f>IF(AND(Table15[[#This Row],[CSAT Score]]&lt;=3,Table15[[#This Row],[Revenue]]&gt;=20000),"High-Risk","Stable")</f>
        <v>High-Risk</v>
      </c>
      <c r="R247" s="8" t="str" cm="1">
        <f t="array" ref="R247">_xlfn.IFS(Table15[[#This Row],[Revenue]]&gt;=35000,"Platinum",Table15[[#This Row],[Revenue]]&gt;=15000,"Gold",TRUE,"Standard")</f>
        <v>Platinum</v>
      </c>
      <c r="S247" s="8" t="str">
        <f>IF(OR(Table15[[#This Row],[Product]]="Wealth Management",Table15[[#This Row],[Revenue]]&gt;=40000),"Yes","No")</f>
        <v>No</v>
      </c>
    </row>
    <row r="248" spans="1:19" x14ac:dyDescent="0.3">
      <c r="A248" s="5" t="s">
        <v>306</v>
      </c>
      <c r="B248" s="6">
        <v>46182</v>
      </c>
      <c r="C248" s="7" t="s">
        <v>91</v>
      </c>
      <c r="D248" s="7" t="s">
        <v>63</v>
      </c>
      <c r="E248" s="7" t="s">
        <v>59</v>
      </c>
      <c r="F248" s="7" t="s">
        <v>22</v>
      </c>
      <c r="G248" s="7" t="s">
        <v>30</v>
      </c>
      <c r="H248" s="7" t="s">
        <v>53</v>
      </c>
      <c r="I248" s="7">
        <v>43</v>
      </c>
      <c r="J248" s="7">
        <v>82</v>
      </c>
      <c r="K248" s="20">
        <v>15880.41</v>
      </c>
      <c r="L248" s="20">
        <v>146.97999999999999</v>
      </c>
      <c r="M248" s="7">
        <v>155.91</v>
      </c>
      <c r="N248" s="20">
        <f>Table15[[#This Row],[Processing Fee]]-Table15[[#This Row],[Discount Applied]]</f>
        <v>-8.9300000000000068</v>
      </c>
      <c r="O248" s="7" t="str">
        <f>IF(Table15[[#This Row],[Revenue]]&gt;35000,"Achieved","Not Achieved")</f>
        <v>Not Achieved</v>
      </c>
      <c r="P248" s="8">
        <v>1</v>
      </c>
      <c r="Q248" s="7" t="str">
        <f>IF(AND(Table15[[#This Row],[CSAT Score]]&lt;=3,Table15[[#This Row],[Revenue]]&gt;=20000),"High-Risk","Stable")</f>
        <v>Stable</v>
      </c>
      <c r="R248" s="8" t="str" cm="1">
        <f t="array" ref="R248">_xlfn.IFS(Table15[[#This Row],[Revenue]]&gt;=35000,"Platinum",Table15[[#This Row],[Revenue]]&gt;=15000,"Gold",TRUE,"Standard")</f>
        <v>Gold</v>
      </c>
      <c r="S248" s="8" t="str">
        <f>IF(OR(Table15[[#This Row],[Product]]="Wealth Management",Table15[[#This Row],[Revenue]]&gt;=40000),"Yes","No")</f>
        <v>Yes</v>
      </c>
    </row>
    <row r="249" spans="1:19" x14ac:dyDescent="0.3">
      <c r="A249" s="5" t="s">
        <v>307</v>
      </c>
      <c r="B249" s="6">
        <v>45936</v>
      </c>
      <c r="C249" s="7" t="s">
        <v>91</v>
      </c>
      <c r="D249" s="7" t="s">
        <v>87</v>
      </c>
      <c r="E249" s="7" t="s">
        <v>21</v>
      </c>
      <c r="F249" s="7" t="s">
        <v>35</v>
      </c>
      <c r="G249" s="7" t="s">
        <v>23</v>
      </c>
      <c r="H249" s="7" t="s">
        <v>53</v>
      </c>
      <c r="I249" s="7">
        <v>31</v>
      </c>
      <c r="J249" s="7">
        <v>75</v>
      </c>
      <c r="K249" s="20">
        <v>25967.24</v>
      </c>
      <c r="L249" s="20">
        <v>149.47999999999999</v>
      </c>
      <c r="M249" s="7">
        <v>4.49</v>
      </c>
      <c r="N249" s="20">
        <f>Table15[[#This Row],[Processing Fee]]-Table15[[#This Row],[Discount Applied]]</f>
        <v>144.98999999999998</v>
      </c>
      <c r="O249" s="7" t="str">
        <f>IF(Table15[[#This Row],[Revenue]]&gt;35000,"Achieved","Not Achieved")</f>
        <v>Not Achieved</v>
      </c>
      <c r="P249" s="8">
        <v>4</v>
      </c>
      <c r="Q249" s="7" t="str">
        <f>IF(AND(Table15[[#This Row],[CSAT Score]]&lt;=3,Table15[[#This Row],[Revenue]]&gt;=20000),"High-Risk","Stable")</f>
        <v>Stable</v>
      </c>
      <c r="R249" s="8" t="str" cm="1">
        <f t="array" ref="R249">_xlfn.IFS(Table15[[#This Row],[Revenue]]&gt;=35000,"Platinum",Table15[[#This Row],[Revenue]]&gt;=15000,"Gold",TRUE,"Standard")</f>
        <v>Gold</v>
      </c>
      <c r="S249" s="8" t="str">
        <f>IF(OR(Table15[[#This Row],[Product]]="Wealth Management",Table15[[#This Row],[Revenue]]&gt;=40000),"Yes","No")</f>
        <v>No</v>
      </c>
    </row>
    <row r="250" spans="1:19" x14ac:dyDescent="0.3">
      <c r="A250" s="5" t="s">
        <v>308</v>
      </c>
      <c r="B250" s="6">
        <v>46090</v>
      </c>
      <c r="C250" s="7" t="s">
        <v>91</v>
      </c>
      <c r="D250" s="7" t="s">
        <v>63</v>
      </c>
      <c r="E250" s="7" t="s">
        <v>39</v>
      </c>
      <c r="F250" s="7" t="s">
        <v>69</v>
      </c>
      <c r="G250" s="7" t="s">
        <v>56</v>
      </c>
      <c r="H250" s="7" t="s">
        <v>31</v>
      </c>
      <c r="I250" s="7">
        <v>57</v>
      </c>
      <c r="J250" s="7">
        <v>118</v>
      </c>
      <c r="K250" s="20">
        <v>42913.35</v>
      </c>
      <c r="L250" s="20">
        <v>378.14</v>
      </c>
      <c r="M250" s="7">
        <v>179.97</v>
      </c>
      <c r="N250" s="20">
        <f>Table15[[#This Row],[Processing Fee]]-Table15[[#This Row],[Discount Applied]]</f>
        <v>198.17</v>
      </c>
      <c r="O250" s="7" t="str">
        <f>IF(Table15[[#This Row],[Revenue]]&gt;35000,"Achieved","Not Achieved")</f>
        <v>Achieved</v>
      </c>
      <c r="P250" s="8">
        <v>4</v>
      </c>
      <c r="Q250" s="7" t="str">
        <f>IF(AND(Table15[[#This Row],[CSAT Score]]&lt;=3,Table15[[#This Row],[Revenue]]&gt;=20000),"High-Risk","Stable")</f>
        <v>Stable</v>
      </c>
      <c r="R250" s="8" t="str" cm="1">
        <f t="array" ref="R250">_xlfn.IFS(Table15[[#This Row],[Revenue]]&gt;=35000,"Platinum",Table15[[#This Row],[Revenue]]&gt;=15000,"Gold",TRUE,"Standard")</f>
        <v>Platinum</v>
      </c>
      <c r="S250" s="8" t="str">
        <f>IF(OR(Table15[[#This Row],[Product]]="Wealth Management",Table15[[#This Row],[Revenue]]&gt;=40000),"Yes","No")</f>
        <v>Yes</v>
      </c>
    </row>
    <row r="251" spans="1:19" x14ac:dyDescent="0.3">
      <c r="A251" s="5" t="s">
        <v>309</v>
      </c>
      <c r="B251" s="6">
        <v>45898</v>
      </c>
      <c r="C251" s="7" t="s">
        <v>42</v>
      </c>
      <c r="D251" s="7" t="s">
        <v>27</v>
      </c>
      <c r="E251" s="7" t="s">
        <v>59</v>
      </c>
      <c r="F251" s="7" t="s">
        <v>22</v>
      </c>
      <c r="G251" s="7" t="s">
        <v>65</v>
      </c>
      <c r="H251" s="7" t="s">
        <v>24</v>
      </c>
      <c r="I251" s="7">
        <v>42</v>
      </c>
      <c r="J251" s="7">
        <v>84</v>
      </c>
      <c r="K251" s="20">
        <v>23610.47</v>
      </c>
      <c r="L251" s="20">
        <v>275.13</v>
      </c>
      <c r="M251" s="7">
        <v>139.08000000000001</v>
      </c>
      <c r="N251" s="20">
        <f>Table15[[#This Row],[Processing Fee]]-Table15[[#This Row],[Discount Applied]]</f>
        <v>136.04999999999998</v>
      </c>
      <c r="O251" s="7" t="str">
        <f>IF(Table15[[#This Row],[Revenue]]&gt;35000,"Achieved","Not Achieved")</f>
        <v>Not Achieved</v>
      </c>
      <c r="P251" s="8">
        <v>4</v>
      </c>
      <c r="Q251" s="7" t="str">
        <f>IF(AND(Table15[[#This Row],[CSAT Score]]&lt;=3,Table15[[#This Row],[Revenue]]&gt;=20000),"High-Risk","Stable")</f>
        <v>Stable</v>
      </c>
      <c r="R251" s="8" t="str" cm="1">
        <f t="array" ref="R251">_xlfn.IFS(Table15[[#This Row],[Revenue]]&gt;=35000,"Platinum",Table15[[#This Row],[Revenue]]&gt;=15000,"Gold",TRUE,"Standard")</f>
        <v>Gold</v>
      </c>
      <c r="S251" s="8" t="str">
        <f>IF(OR(Table15[[#This Row],[Product]]="Wealth Management",Table15[[#This Row],[Revenue]]&gt;=40000),"Yes","No")</f>
        <v>Yes</v>
      </c>
    </row>
    <row r="252" spans="1:19" x14ac:dyDescent="0.3">
      <c r="A252" s="5" t="s">
        <v>310</v>
      </c>
      <c r="B252" s="6">
        <v>46118</v>
      </c>
      <c r="C252" s="7" t="s">
        <v>75</v>
      </c>
      <c r="D252" s="7" t="s">
        <v>87</v>
      </c>
      <c r="E252" s="7" t="s">
        <v>39</v>
      </c>
      <c r="F252" s="7" t="s">
        <v>35</v>
      </c>
      <c r="G252" s="7" t="s">
        <v>36</v>
      </c>
      <c r="H252" s="7" t="s">
        <v>57</v>
      </c>
      <c r="I252" s="7">
        <v>24</v>
      </c>
      <c r="J252" s="7">
        <v>64</v>
      </c>
      <c r="K252" s="20">
        <v>18306.13</v>
      </c>
      <c r="L252" s="20">
        <v>236.82</v>
      </c>
      <c r="M252" s="7">
        <v>165.09</v>
      </c>
      <c r="N252" s="20">
        <f>Table15[[#This Row],[Processing Fee]]-Table15[[#This Row],[Discount Applied]]</f>
        <v>71.72999999999999</v>
      </c>
      <c r="O252" s="7" t="str">
        <f>IF(Table15[[#This Row],[Revenue]]&gt;35000,"Achieved","Not Achieved")</f>
        <v>Not Achieved</v>
      </c>
      <c r="P252" s="8">
        <v>2</v>
      </c>
      <c r="Q252" s="7" t="str">
        <f>IF(AND(Table15[[#This Row],[CSAT Score]]&lt;=3,Table15[[#This Row],[Revenue]]&gt;=20000),"High-Risk","Stable")</f>
        <v>Stable</v>
      </c>
      <c r="R252" s="8" t="str" cm="1">
        <f t="array" ref="R252">_xlfn.IFS(Table15[[#This Row],[Revenue]]&gt;=35000,"Platinum",Table15[[#This Row],[Revenue]]&gt;=15000,"Gold",TRUE,"Standard")</f>
        <v>Gold</v>
      </c>
      <c r="S252" s="8" t="str">
        <f>IF(OR(Table15[[#This Row],[Product]]="Wealth Management",Table15[[#This Row],[Revenue]]&gt;=40000),"Yes","No")</f>
        <v>No</v>
      </c>
    </row>
    <row r="253" spans="1:19" x14ac:dyDescent="0.3">
      <c r="A253" s="5" t="s">
        <v>311</v>
      </c>
      <c r="B253" s="6">
        <v>46192</v>
      </c>
      <c r="C253" s="7" t="s">
        <v>91</v>
      </c>
      <c r="D253" s="7" t="s">
        <v>61</v>
      </c>
      <c r="E253" s="7" t="s">
        <v>39</v>
      </c>
      <c r="F253" s="7" t="s">
        <v>40</v>
      </c>
      <c r="G253" s="7" t="s">
        <v>23</v>
      </c>
      <c r="H253" s="7" t="s">
        <v>24</v>
      </c>
      <c r="I253" s="7">
        <v>49</v>
      </c>
      <c r="J253" s="7">
        <v>69</v>
      </c>
      <c r="K253" s="20">
        <v>27039.69</v>
      </c>
      <c r="L253" s="20">
        <v>126.14</v>
      </c>
      <c r="M253" s="7">
        <v>11.2</v>
      </c>
      <c r="N253" s="20">
        <f>Table15[[#This Row],[Processing Fee]]-Table15[[#This Row],[Discount Applied]]</f>
        <v>114.94</v>
      </c>
      <c r="O253" s="7" t="str">
        <f>IF(Table15[[#This Row],[Revenue]]&gt;35000,"Achieved","Not Achieved")</f>
        <v>Not Achieved</v>
      </c>
      <c r="P253" s="8">
        <v>4</v>
      </c>
      <c r="Q253" s="7" t="str">
        <f>IF(AND(Table15[[#This Row],[CSAT Score]]&lt;=3,Table15[[#This Row],[Revenue]]&gt;=20000),"High-Risk","Stable")</f>
        <v>Stable</v>
      </c>
      <c r="R253" s="8" t="str" cm="1">
        <f t="array" ref="R253">_xlfn.IFS(Table15[[#This Row],[Revenue]]&gt;=35000,"Platinum",Table15[[#This Row],[Revenue]]&gt;=15000,"Gold",TRUE,"Standard")</f>
        <v>Gold</v>
      </c>
      <c r="S253" s="8" t="str">
        <f>IF(OR(Table15[[#This Row],[Product]]="Wealth Management",Table15[[#This Row],[Revenue]]&gt;=40000),"Yes","No")</f>
        <v>No</v>
      </c>
    </row>
    <row r="254" spans="1:19" x14ac:dyDescent="0.3">
      <c r="A254" s="5" t="s">
        <v>312</v>
      </c>
      <c r="B254" s="6">
        <v>46167</v>
      </c>
      <c r="C254" s="7" t="s">
        <v>26</v>
      </c>
      <c r="D254" s="7" t="s">
        <v>83</v>
      </c>
      <c r="E254" s="7" t="s">
        <v>21</v>
      </c>
      <c r="F254" s="7" t="s">
        <v>35</v>
      </c>
      <c r="G254" s="7" t="s">
        <v>30</v>
      </c>
      <c r="H254" s="7" t="s">
        <v>53</v>
      </c>
      <c r="I254" s="7">
        <v>64</v>
      </c>
      <c r="J254" s="7">
        <v>83</v>
      </c>
      <c r="K254" s="20">
        <v>36009.46</v>
      </c>
      <c r="L254" s="20">
        <v>134.38999999999999</v>
      </c>
      <c r="M254" s="7">
        <v>96.02</v>
      </c>
      <c r="N254" s="20">
        <f>Table15[[#This Row],[Processing Fee]]-Table15[[#This Row],[Discount Applied]]</f>
        <v>38.36999999999999</v>
      </c>
      <c r="O254" s="7" t="str">
        <f>IF(Table15[[#This Row],[Revenue]]&gt;35000,"Achieved","Not Achieved")</f>
        <v>Achieved</v>
      </c>
      <c r="P254" s="8">
        <v>1</v>
      </c>
      <c r="Q254" s="7" t="str">
        <f>IF(AND(Table15[[#This Row],[CSAT Score]]&lt;=3,Table15[[#This Row],[Revenue]]&gt;=20000),"High-Risk","Stable")</f>
        <v>High-Risk</v>
      </c>
      <c r="R254" s="8" t="str" cm="1">
        <f t="array" ref="R254">_xlfn.IFS(Table15[[#This Row],[Revenue]]&gt;=35000,"Platinum",Table15[[#This Row],[Revenue]]&gt;=15000,"Gold",TRUE,"Standard")</f>
        <v>Platinum</v>
      </c>
      <c r="S254" s="8" t="str">
        <f>IF(OR(Table15[[#This Row],[Product]]="Wealth Management",Table15[[#This Row],[Revenue]]&gt;=40000),"Yes","No")</f>
        <v>No</v>
      </c>
    </row>
    <row r="255" spans="1:19" x14ac:dyDescent="0.3">
      <c r="A255" s="5" t="s">
        <v>313</v>
      </c>
      <c r="B255" s="6">
        <v>45931</v>
      </c>
      <c r="C255" s="7" t="s">
        <v>33</v>
      </c>
      <c r="D255" s="7" t="s">
        <v>27</v>
      </c>
      <c r="E255" s="7" t="s">
        <v>46</v>
      </c>
      <c r="F255" s="7" t="s">
        <v>29</v>
      </c>
      <c r="G255" s="7" t="s">
        <v>65</v>
      </c>
      <c r="H255" s="7" t="s">
        <v>53</v>
      </c>
      <c r="I255" s="7">
        <v>54</v>
      </c>
      <c r="J255" s="7">
        <v>86</v>
      </c>
      <c r="K255" s="20">
        <v>22456.39</v>
      </c>
      <c r="L255" s="20">
        <v>54.75</v>
      </c>
      <c r="M255" s="7">
        <v>107.07</v>
      </c>
      <c r="N255" s="20">
        <f>Table15[[#This Row],[Processing Fee]]-Table15[[#This Row],[Discount Applied]]</f>
        <v>-52.319999999999993</v>
      </c>
      <c r="O255" s="7" t="str">
        <f>IF(Table15[[#This Row],[Revenue]]&gt;35000,"Achieved","Not Achieved")</f>
        <v>Not Achieved</v>
      </c>
      <c r="P255" s="8">
        <v>3</v>
      </c>
      <c r="Q255" s="7" t="str">
        <f>IF(AND(Table15[[#This Row],[CSAT Score]]&lt;=3,Table15[[#This Row],[Revenue]]&gt;=20000),"High-Risk","Stable")</f>
        <v>High-Risk</v>
      </c>
      <c r="R255" s="8" t="str" cm="1">
        <f t="array" ref="R255">_xlfn.IFS(Table15[[#This Row],[Revenue]]&gt;=35000,"Platinum",Table15[[#This Row],[Revenue]]&gt;=15000,"Gold",TRUE,"Standard")</f>
        <v>Gold</v>
      </c>
      <c r="S255" s="8" t="str">
        <f>IF(OR(Table15[[#This Row],[Product]]="Wealth Management",Table15[[#This Row],[Revenue]]&gt;=40000),"Yes","No")</f>
        <v>No</v>
      </c>
    </row>
    <row r="256" spans="1:19" x14ac:dyDescent="0.3">
      <c r="A256" s="5" t="s">
        <v>314</v>
      </c>
      <c r="B256" s="6">
        <v>45966</v>
      </c>
      <c r="C256" s="7" t="s">
        <v>91</v>
      </c>
      <c r="D256" s="7" t="s">
        <v>52</v>
      </c>
      <c r="E256" s="7" t="s">
        <v>28</v>
      </c>
      <c r="F256" s="7" t="s">
        <v>29</v>
      </c>
      <c r="G256" s="7" t="s">
        <v>30</v>
      </c>
      <c r="H256" s="7" t="s">
        <v>53</v>
      </c>
      <c r="I256" s="7">
        <v>33</v>
      </c>
      <c r="J256" s="7">
        <v>59</v>
      </c>
      <c r="K256" s="20">
        <v>46974.41</v>
      </c>
      <c r="L256" s="20">
        <v>91.14</v>
      </c>
      <c r="M256" s="7">
        <v>33.82</v>
      </c>
      <c r="N256" s="20">
        <f>Table15[[#This Row],[Processing Fee]]-Table15[[#This Row],[Discount Applied]]</f>
        <v>57.32</v>
      </c>
      <c r="O256" s="7" t="str">
        <f>IF(Table15[[#This Row],[Revenue]]&gt;35000,"Achieved","Not Achieved")</f>
        <v>Achieved</v>
      </c>
      <c r="P256" s="8">
        <v>4</v>
      </c>
      <c r="Q256" s="7" t="str">
        <f>IF(AND(Table15[[#This Row],[CSAT Score]]&lt;=3,Table15[[#This Row],[Revenue]]&gt;=20000),"High-Risk","Stable")</f>
        <v>Stable</v>
      </c>
      <c r="R256" s="8" t="str" cm="1">
        <f t="array" ref="R256">_xlfn.IFS(Table15[[#This Row],[Revenue]]&gt;=35000,"Platinum",Table15[[#This Row],[Revenue]]&gt;=15000,"Gold",TRUE,"Standard")</f>
        <v>Platinum</v>
      </c>
      <c r="S256" s="8" t="str">
        <f>IF(OR(Table15[[#This Row],[Product]]="Wealth Management",Table15[[#This Row],[Revenue]]&gt;=40000),"Yes","No")</f>
        <v>Yes</v>
      </c>
    </row>
    <row r="257" spans="1:19" x14ac:dyDescent="0.3">
      <c r="A257" s="5" t="s">
        <v>315</v>
      </c>
      <c r="B257" s="6">
        <v>46131</v>
      </c>
      <c r="C257" s="7" t="s">
        <v>42</v>
      </c>
      <c r="D257" s="7" t="s">
        <v>50</v>
      </c>
      <c r="E257" s="7" t="s">
        <v>46</v>
      </c>
      <c r="F257" s="7" t="s">
        <v>40</v>
      </c>
      <c r="G257" s="7" t="s">
        <v>30</v>
      </c>
      <c r="H257" s="7" t="s">
        <v>24</v>
      </c>
      <c r="I257" s="7">
        <v>62</v>
      </c>
      <c r="J257" s="7">
        <v>60</v>
      </c>
      <c r="K257" s="20">
        <v>15099.82</v>
      </c>
      <c r="L257" s="20">
        <v>300.58</v>
      </c>
      <c r="M257" s="7">
        <v>64.489999999999995</v>
      </c>
      <c r="N257" s="20">
        <f>Table15[[#This Row],[Processing Fee]]-Table15[[#This Row],[Discount Applied]]</f>
        <v>236.08999999999997</v>
      </c>
      <c r="O257" s="7" t="str">
        <f>IF(Table15[[#This Row],[Revenue]]&gt;35000,"Achieved","Not Achieved")</f>
        <v>Not Achieved</v>
      </c>
      <c r="P257" s="8">
        <v>4</v>
      </c>
      <c r="Q257" s="7" t="str">
        <f>IF(AND(Table15[[#This Row],[CSAT Score]]&lt;=3,Table15[[#This Row],[Revenue]]&gt;=20000),"High-Risk","Stable")</f>
        <v>Stable</v>
      </c>
      <c r="R257" s="8" t="str" cm="1">
        <f t="array" ref="R257">_xlfn.IFS(Table15[[#This Row],[Revenue]]&gt;=35000,"Platinum",Table15[[#This Row],[Revenue]]&gt;=15000,"Gold",TRUE,"Standard")</f>
        <v>Gold</v>
      </c>
      <c r="S257" s="8" t="str">
        <f>IF(OR(Table15[[#This Row],[Product]]="Wealth Management",Table15[[#This Row],[Revenue]]&gt;=40000),"Yes","No")</f>
        <v>No</v>
      </c>
    </row>
    <row r="258" spans="1:19" x14ac:dyDescent="0.3">
      <c r="A258" s="5" t="s">
        <v>316</v>
      </c>
      <c r="B258" s="6">
        <v>46172</v>
      </c>
      <c r="C258" s="7" t="s">
        <v>19</v>
      </c>
      <c r="D258" s="7" t="s">
        <v>68</v>
      </c>
      <c r="E258" s="7" t="s">
        <v>21</v>
      </c>
      <c r="F258" s="7" t="s">
        <v>69</v>
      </c>
      <c r="G258" s="7" t="s">
        <v>56</v>
      </c>
      <c r="H258" s="7" t="s">
        <v>31</v>
      </c>
      <c r="I258" s="7">
        <v>29</v>
      </c>
      <c r="J258" s="7">
        <v>83</v>
      </c>
      <c r="K258" s="20">
        <v>24035.45</v>
      </c>
      <c r="L258" s="20">
        <v>451.34</v>
      </c>
      <c r="M258" s="7">
        <v>132.06</v>
      </c>
      <c r="N258" s="20">
        <f>Table15[[#This Row],[Processing Fee]]-Table15[[#This Row],[Discount Applied]]</f>
        <v>319.27999999999997</v>
      </c>
      <c r="O258" s="7" t="str">
        <f>IF(Table15[[#This Row],[Revenue]]&gt;35000,"Achieved","Not Achieved")</f>
        <v>Not Achieved</v>
      </c>
      <c r="P258" s="8">
        <v>3</v>
      </c>
      <c r="Q258" s="7" t="str">
        <f>IF(AND(Table15[[#This Row],[CSAT Score]]&lt;=3,Table15[[#This Row],[Revenue]]&gt;=20000),"High-Risk","Stable")</f>
        <v>High-Risk</v>
      </c>
      <c r="R258" s="8" t="str" cm="1">
        <f t="array" ref="R258">_xlfn.IFS(Table15[[#This Row],[Revenue]]&gt;=35000,"Platinum",Table15[[#This Row],[Revenue]]&gt;=15000,"Gold",TRUE,"Standard")</f>
        <v>Gold</v>
      </c>
      <c r="S258" s="8" t="str">
        <f>IF(OR(Table15[[#This Row],[Product]]="Wealth Management",Table15[[#This Row],[Revenue]]&gt;=40000),"Yes","No")</f>
        <v>No</v>
      </c>
    </row>
    <row r="259" spans="1:19" x14ac:dyDescent="0.3">
      <c r="A259" s="5" t="s">
        <v>317</v>
      </c>
      <c r="B259" s="6">
        <v>46122</v>
      </c>
      <c r="C259" s="7" t="s">
        <v>75</v>
      </c>
      <c r="D259" s="7" t="s">
        <v>77</v>
      </c>
      <c r="E259" s="7" t="s">
        <v>21</v>
      </c>
      <c r="F259" s="7" t="s">
        <v>22</v>
      </c>
      <c r="G259" s="7" t="s">
        <v>56</v>
      </c>
      <c r="H259" s="7" t="s">
        <v>53</v>
      </c>
      <c r="I259" s="7">
        <v>62</v>
      </c>
      <c r="J259" s="7">
        <v>111</v>
      </c>
      <c r="K259" s="20">
        <v>37967.919999999998</v>
      </c>
      <c r="L259" s="20">
        <v>179.22</v>
      </c>
      <c r="M259" s="7">
        <v>166.64</v>
      </c>
      <c r="N259" s="20">
        <f>Table15[[#This Row],[Processing Fee]]-Table15[[#This Row],[Discount Applied]]</f>
        <v>12.580000000000013</v>
      </c>
      <c r="O259" s="7" t="str">
        <f>IF(Table15[[#This Row],[Revenue]]&gt;35000,"Achieved","Not Achieved")</f>
        <v>Achieved</v>
      </c>
      <c r="P259" s="8">
        <v>1</v>
      </c>
      <c r="Q259" s="7" t="str">
        <f>IF(AND(Table15[[#This Row],[CSAT Score]]&lt;=3,Table15[[#This Row],[Revenue]]&gt;=20000),"High-Risk","Stable")</f>
        <v>High-Risk</v>
      </c>
      <c r="R259" s="8" t="str" cm="1">
        <f t="array" ref="R259">_xlfn.IFS(Table15[[#This Row],[Revenue]]&gt;=35000,"Platinum",Table15[[#This Row],[Revenue]]&gt;=15000,"Gold",TRUE,"Standard")</f>
        <v>Platinum</v>
      </c>
      <c r="S259" s="8" t="str">
        <f>IF(OR(Table15[[#This Row],[Product]]="Wealth Management",Table15[[#This Row],[Revenue]]&gt;=40000),"Yes","No")</f>
        <v>Yes</v>
      </c>
    </row>
    <row r="260" spans="1:19" x14ac:dyDescent="0.3">
      <c r="A260" s="5" t="s">
        <v>318</v>
      </c>
      <c r="B260" s="6">
        <v>46081</v>
      </c>
      <c r="C260" s="7" t="s">
        <v>44</v>
      </c>
      <c r="D260" s="7" t="s">
        <v>20</v>
      </c>
      <c r="E260" s="7" t="s">
        <v>21</v>
      </c>
      <c r="F260" s="7" t="s">
        <v>35</v>
      </c>
      <c r="G260" s="7" t="s">
        <v>65</v>
      </c>
      <c r="H260" s="7" t="s">
        <v>53</v>
      </c>
      <c r="I260" s="7">
        <v>51</v>
      </c>
      <c r="J260" s="7">
        <v>62</v>
      </c>
      <c r="K260" s="20">
        <v>34611.49</v>
      </c>
      <c r="L260" s="20">
        <v>197.49</v>
      </c>
      <c r="M260" s="7">
        <v>185.88</v>
      </c>
      <c r="N260" s="20">
        <f>Table15[[#This Row],[Processing Fee]]-Table15[[#This Row],[Discount Applied]]</f>
        <v>11.610000000000014</v>
      </c>
      <c r="O260" s="7" t="str">
        <f>IF(Table15[[#This Row],[Revenue]]&gt;35000,"Achieved","Not Achieved")</f>
        <v>Not Achieved</v>
      </c>
      <c r="P260" s="8">
        <v>2</v>
      </c>
      <c r="Q260" s="7" t="str">
        <f>IF(AND(Table15[[#This Row],[CSAT Score]]&lt;=3,Table15[[#This Row],[Revenue]]&gt;=20000),"High-Risk","Stable")</f>
        <v>High-Risk</v>
      </c>
      <c r="R260" s="8" t="str" cm="1">
        <f t="array" ref="R260">_xlfn.IFS(Table15[[#This Row],[Revenue]]&gt;=35000,"Platinum",Table15[[#This Row],[Revenue]]&gt;=15000,"Gold",TRUE,"Standard")</f>
        <v>Gold</v>
      </c>
      <c r="S260" s="8" t="str">
        <f>IF(OR(Table15[[#This Row],[Product]]="Wealth Management",Table15[[#This Row],[Revenue]]&gt;=40000),"Yes","No")</f>
        <v>No</v>
      </c>
    </row>
    <row r="261" spans="1:19" x14ac:dyDescent="0.3">
      <c r="A261" s="5" t="s">
        <v>319</v>
      </c>
      <c r="B261" s="6">
        <v>46200</v>
      </c>
      <c r="C261" s="7" t="s">
        <v>42</v>
      </c>
      <c r="D261" s="7" t="s">
        <v>63</v>
      </c>
      <c r="E261" s="7" t="s">
        <v>59</v>
      </c>
      <c r="F261" s="7" t="s">
        <v>29</v>
      </c>
      <c r="G261" s="7" t="s">
        <v>36</v>
      </c>
      <c r="H261" s="7" t="s">
        <v>24</v>
      </c>
      <c r="I261" s="7">
        <v>27</v>
      </c>
      <c r="J261" s="7">
        <v>16</v>
      </c>
      <c r="K261" s="20">
        <v>43250.23</v>
      </c>
      <c r="L261" s="20">
        <v>102.02</v>
      </c>
      <c r="M261" s="7">
        <v>125.68</v>
      </c>
      <c r="N261" s="20">
        <f>Table15[[#This Row],[Processing Fee]]-Table15[[#This Row],[Discount Applied]]</f>
        <v>-23.660000000000011</v>
      </c>
      <c r="O261" s="7" t="str">
        <f>IF(Table15[[#This Row],[Revenue]]&gt;35000,"Achieved","Not Achieved")</f>
        <v>Achieved</v>
      </c>
      <c r="P261" s="8">
        <v>4</v>
      </c>
      <c r="Q261" s="7" t="str">
        <f>IF(AND(Table15[[#This Row],[CSAT Score]]&lt;=3,Table15[[#This Row],[Revenue]]&gt;=20000),"High-Risk","Stable")</f>
        <v>Stable</v>
      </c>
      <c r="R261" s="8" t="str" cm="1">
        <f t="array" ref="R261">_xlfn.IFS(Table15[[#This Row],[Revenue]]&gt;=35000,"Platinum",Table15[[#This Row],[Revenue]]&gt;=15000,"Gold",TRUE,"Standard")</f>
        <v>Platinum</v>
      </c>
      <c r="S261" s="8" t="str">
        <f>IF(OR(Table15[[#This Row],[Product]]="Wealth Management",Table15[[#This Row],[Revenue]]&gt;=40000),"Yes","No")</f>
        <v>Yes</v>
      </c>
    </row>
    <row r="262" spans="1:19" x14ac:dyDescent="0.3">
      <c r="A262" s="5" t="s">
        <v>320</v>
      </c>
      <c r="B262" s="6">
        <v>46112</v>
      </c>
      <c r="C262" s="7" t="s">
        <v>91</v>
      </c>
      <c r="D262" s="7" t="s">
        <v>63</v>
      </c>
      <c r="E262" s="7" t="s">
        <v>46</v>
      </c>
      <c r="F262" s="7" t="s">
        <v>69</v>
      </c>
      <c r="G262" s="7" t="s">
        <v>65</v>
      </c>
      <c r="H262" s="7" t="s">
        <v>57</v>
      </c>
      <c r="I262" s="7">
        <v>24</v>
      </c>
      <c r="J262" s="7">
        <v>88</v>
      </c>
      <c r="K262" s="20">
        <v>49842.05</v>
      </c>
      <c r="L262" s="20">
        <v>224.88</v>
      </c>
      <c r="M262" s="7">
        <v>78.989999999999995</v>
      </c>
      <c r="N262" s="20">
        <f>Table15[[#This Row],[Processing Fee]]-Table15[[#This Row],[Discount Applied]]</f>
        <v>145.88999999999999</v>
      </c>
      <c r="O262" s="7" t="str">
        <f>IF(Table15[[#This Row],[Revenue]]&gt;35000,"Achieved","Not Achieved")</f>
        <v>Achieved</v>
      </c>
      <c r="P262" s="8">
        <v>3</v>
      </c>
      <c r="Q262" s="7" t="str">
        <f>IF(AND(Table15[[#This Row],[CSAT Score]]&lt;=3,Table15[[#This Row],[Revenue]]&gt;=20000),"High-Risk","Stable")</f>
        <v>High-Risk</v>
      </c>
      <c r="R262" s="8" t="str" cm="1">
        <f t="array" ref="R262">_xlfn.IFS(Table15[[#This Row],[Revenue]]&gt;=35000,"Platinum",Table15[[#This Row],[Revenue]]&gt;=15000,"Gold",TRUE,"Standard")</f>
        <v>Platinum</v>
      </c>
      <c r="S262" s="8" t="str">
        <f>IF(OR(Table15[[#This Row],[Product]]="Wealth Management",Table15[[#This Row],[Revenue]]&gt;=40000),"Yes","No")</f>
        <v>Yes</v>
      </c>
    </row>
    <row r="263" spans="1:19" x14ac:dyDescent="0.3">
      <c r="A263" s="5" t="s">
        <v>321</v>
      </c>
      <c r="B263" s="6">
        <v>46041</v>
      </c>
      <c r="C263" s="7" t="s">
        <v>75</v>
      </c>
      <c r="D263" s="7" t="s">
        <v>27</v>
      </c>
      <c r="E263" s="7" t="s">
        <v>46</v>
      </c>
      <c r="F263" s="7" t="s">
        <v>40</v>
      </c>
      <c r="G263" s="7" t="s">
        <v>36</v>
      </c>
      <c r="H263" s="7" t="s">
        <v>57</v>
      </c>
      <c r="I263" s="7">
        <v>39</v>
      </c>
      <c r="J263" s="7">
        <v>105</v>
      </c>
      <c r="K263" s="20">
        <v>21629.49</v>
      </c>
      <c r="L263" s="20">
        <v>66.75</v>
      </c>
      <c r="M263" s="7">
        <v>50.81</v>
      </c>
      <c r="N263" s="20">
        <f>Table15[[#This Row],[Processing Fee]]-Table15[[#This Row],[Discount Applied]]</f>
        <v>15.939999999999998</v>
      </c>
      <c r="O263" s="7" t="str">
        <f>IF(Table15[[#This Row],[Revenue]]&gt;35000,"Achieved","Not Achieved")</f>
        <v>Not Achieved</v>
      </c>
      <c r="P263" s="8">
        <v>1</v>
      </c>
      <c r="Q263" s="7" t="str">
        <f>IF(AND(Table15[[#This Row],[CSAT Score]]&lt;=3,Table15[[#This Row],[Revenue]]&gt;=20000),"High-Risk","Stable")</f>
        <v>High-Risk</v>
      </c>
      <c r="R263" s="8" t="str" cm="1">
        <f t="array" ref="R263">_xlfn.IFS(Table15[[#This Row],[Revenue]]&gt;=35000,"Platinum",Table15[[#This Row],[Revenue]]&gt;=15000,"Gold",TRUE,"Standard")</f>
        <v>Gold</v>
      </c>
      <c r="S263" s="8" t="str">
        <f>IF(OR(Table15[[#This Row],[Product]]="Wealth Management",Table15[[#This Row],[Revenue]]&gt;=40000),"Yes","No")</f>
        <v>No</v>
      </c>
    </row>
    <row r="264" spans="1:19" x14ac:dyDescent="0.3">
      <c r="A264" s="5" t="s">
        <v>322</v>
      </c>
      <c r="B264" s="6">
        <v>46012</v>
      </c>
      <c r="C264" s="7" t="s">
        <v>33</v>
      </c>
      <c r="D264" s="7" t="s">
        <v>38</v>
      </c>
      <c r="E264" s="7" t="s">
        <v>39</v>
      </c>
      <c r="F264" s="7" t="s">
        <v>29</v>
      </c>
      <c r="G264" s="7" t="s">
        <v>30</v>
      </c>
      <c r="H264" s="7" t="s">
        <v>31</v>
      </c>
      <c r="I264" s="7">
        <v>62</v>
      </c>
      <c r="J264" s="7">
        <v>68</v>
      </c>
      <c r="K264" s="20">
        <v>6001.97</v>
      </c>
      <c r="L264" s="20">
        <v>462.92</v>
      </c>
      <c r="M264" s="7">
        <v>294.64</v>
      </c>
      <c r="N264" s="20">
        <f>Table15[[#This Row],[Processing Fee]]-Table15[[#This Row],[Discount Applied]]</f>
        <v>168.28000000000003</v>
      </c>
      <c r="O264" s="7" t="str">
        <f>IF(Table15[[#This Row],[Revenue]]&gt;35000,"Achieved","Not Achieved")</f>
        <v>Not Achieved</v>
      </c>
      <c r="P264" s="8">
        <v>5</v>
      </c>
      <c r="Q264" s="7" t="str">
        <f>IF(AND(Table15[[#This Row],[CSAT Score]]&lt;=3,Table15[[#This Row],[Revenue]]&gt;=20000),"High-Risk","Stable")</f>
        <v>Stable</v>
      </c>
      <c r="R264" s="8" t="str" cm="1">
        <f t="array" ref="R264">_xlfn.IFS(Table15[[#This Row],[Revenue]]&gt;=35000,"Platinum",Table15[[#This Row],[Revenue]]&gt;=15000,"Gold",TRUE,"Standard")</f>
        <v>Standard</v>
      </c>
      <c r="S264" s="8" t="str">
        <f>IF(OR(Table15[[#This Row],[Product]]="Wealth Management",Table15[[#This Row],[Revenue]]&gt;=40000),"Yes","No")</f>
        <v>No</v>
      </c>
    </row>
    <row r="265" spans="1:19" x14ac:dyDescent="0.3">
      <c r="A265" s="5" t="s">
        <v>323</v>
      </c>
      <c r="B265" s="6">
        <v>45937</v>
      </c>
      <c r="C265" s="7" t="s">
        <v>91</v>
      </c>
      <c r="D265" s="7" t="s">
        <v>87</v>
      </c>
      <c r="E265" s="7" t="s">
        <v>39</v>
      </c>
      <c r="F265" s="7" t="s">
        <v>40</v>
      </c>
      <c r="G265" s="7" t="s">
        <v>23</v>
      </c>
      <c r="H265" s="7" t="s">
        <v>31</v>
      </c>
      <c r="I265" s="7">
        <v>50</v>
      </c>
      <c r="J265" s="7">
        <v>15</v>
      </c>
      <c r="K265" s="20">
        <v>2005.59</v>
      </c>
      <c r="L265" s="20">
        <v>352.9</v>
      </c>
      <c r="M265" s="7">
        <v>294.89999999999998</v>
      </c>
      <c r="N265" s="20">
        <f>Table15[[#This Row],[Processing Fee]]-Table15[[#This Row],[Discount Applied]]</f>
        <v>58</v>
      </c>
      <c r="O265" s="7" t="str">
        <f>IF(Table15[[#This Row],[Revenue]]&gt;35000,"Achieved","Not Achieved")</f>
        <v>Not Achieved</v>
      </c>
      <c r="P265" s="8">
        <v>2</v>
      </c>
      <c r="Q265" s="7" t="str">
        <f>IF(AND(Table15[[#This Row],[CSAT Score]]&lt;=3,Table15[[#This Row],[Revenue]]&gt;=20000),"High-Risk","Stable")</f>
        <v>Stable</v>
      </c>
      <c r="R265" s="8" t="str" cm="1">
        <f t="array" ref="R265">_xlfn.IFS(Table15[[#This Row],[Revenue]]&gt;=35000,"Platinum",Table15[[#This Row],[Revenue]]&gt;=15000,"Gold",TRUE,"Standard")</f>
        <v>Standard</v>
      </c>
      <c r="S265" s="8" t="str">
        <f>IF(OR(Table15[[#This Row],[Product]]="Wealth Management",Table15[[#This Row],[Revenue]]&gt;=40000),"Yes","No")</f>
        <v>No</v>
      </c>
    </row>
    <row r="266" spans="1:19" x14ac:dyDescent="0.3">
      <c r="A266" s="5" t="s">
        <v>324</v>
      </c>
      <c r="B266" s="6">
        <v>45898</v>
      </c>
      <c r="C266" s="7" t="s">
        <v>42</v>
      </c>
      <c r="D266" s="7" t="s">
        <v>45</v>
      </c>
      <c r="E266" s="7" t="s">
        <v>39</v>
      </c>
      <c r="F266" s="7" t="s">
        <v>35</v>
      </c>
      <c r="G266" s="7" t="s">
        <v>65</v>
      </c>
      <c r="H266" s="7" t="s">
        <v>53</v>
      </c>
      <c r="I266" s="7">
        <v>51</v>
      </c>
      <c r="J266" s="7">
        <v>89</v>
      </c>
      <c r="K266" s="20">
        <v>36480.410000000003</v>
      </c>
      <c r="L266" s="20">
        <v>495.84</v>
      </c>
      <c r="M266" s="7">
        <v>185</v>
      </c>
      <c r="N266" s="20">
        <f>Table15[[#This Row],[Processing Fee]]-Table15[[#This Row],[Discount Applied]]</f>
        <v>310.83999999999997</v>
      </c>
      <c r="O266" s="7" t="str">
        <f>IF(Table15[[#This Row],[Revenue]]&gt;35000,"Achieved","Not Achieved")</f>
        <v>Achieved</v>
      </c>
      <c r="P266" s="8">
        <v>3</v>
      </c>
      <c r="Q266" s="7" t="str">
        <f>IF(AND(Table15[[#This Row],[CSAT Score]]&lt;=3,Table15[[#This Row],[Revenue]]&gt;=20000),"High-Risk","Stable")</f>
        <v>High-Risk</v>
      </c>
      <c r="R266" s="8" t="str" cm="1">
        <f t="array" ref="R266">_xlfn.IFS(Table15[[#This Row],[Revenue]]&gt;=35000,"Platinum",Table15[[#This Row],[Revenue]]&gt;=15000,"Gold",TRUE,"Standard")</f>
        <v>Platinum</v>
      </c>
      <c r="S266" s="8" t="str">
        <f>IF(OR(Table15[[#This Row],[Product]]="Wealth Management",Table15[[#This Row],[Revenue]]&gt;=40000),"Yes","No")</f>
        <v>No</v>
      </c>
    </row>
    <row r="267" spans="1:19" x14ac:dyDescent="0.3">
      <c r="A267" s="5" t="s">
        <v>325</v>
      </c>
      <c r="B267" s="6">
        <v>45896</v>
      </c>
      <c r="C267" s="7" t="s">
        <v>55</v>
      </c>
      <c r="D267" s="7" t="s">
        <v>52</v>
      </c>
      <c r="E267" s="7" t="s">
        <v>21</v>
      </c>
      <c r="F267" s="7" t="s">
        <v>22</v>
      </c>
      <c r="G267" s="7" t="s">
        <v>65</v>
      </c>
      <c r="H267" s="7" t="s">
        <v>24</v>
      </c>
      <c r="I267" s="7">
        <v>55</v>
      </c>
      <c r="J267" s="7">
        <v>108</v>
      </c>
      <c r="K267" s="20">
        <v>43763.68</v>
      </c>
      <c r="L267" s="20">
        <v>447.27</v>
      </c>
      <c r="M267" s="7">
        <v>157.13</v>
      </c>
      <c r="N267" s="20">
        <f>Table15[[#This Row],[Processing Fee]]-Table15[[#This Row],[Discount Applied]]</f>
        <v>290.14</v>
      </c>
      <c r="O267" s="7" t="str">
        <f>IF(Table15[[#This Row],[Revenue]]&gt;35000,"Achieved","Not Achieved")</f>
        <v>Achieved</v>
      </c>
      <c r="P267" s="8">
        <v>3</v>
      </c>
      <c r="Q267" s="7" t="str">
        <f>IF(AND(Table15[[#This Row],[CSAT Score]]&lt;=3,Table15[[#This Row],[Revenue]]&gt;=20000),"High-Risk","Stable")</f>
        <v>High-Risk</v>
      </c>
      <c r="R267" s="8" t="str" cm="1">
        <f t="array" ref="R267">_xlfn.IFS(Table15[[#This Row],[Revenue]]&gt;=35000,"Platinum",Table15[[#This Row],[Revenue]]&gt;=15000,"Gold",TRUE,"Standard")</f>
        <v>Platinum</v>
      </c>
      <c r="S267" s="8" t="str">
        <f>IF(OR(Table15[[#This Row],[Product]]="Wealth Management",Table15[[#This Row],[Revenue]]&gt;=40000),"Yes","No")</f>
        <v>Yes</v>
      </c>
    </row>
    <row r="268" spans="1:19" x14ac:dyDescent="0.3">
      <c r="A268" s="5" t="s">
        <v>326</v>
      </c>
      <c r="B268" s="6">
        <v>46026</v>
      </c>
      <c r="C268" s="7" t="s">
        <v>26</v>
      </c>
      <c r="D268" s="7" t="s">
        <v>77</v>
      </c>
      <c r="E268" s="7" t="s">
        <v>46</v>
      </c>
      <c r="F268" s="7" t="s">
        <v>29</v>
      </c>
      <c r="G268" s="7" t="s">
        <v>36</v>
      </c>
      <c r="H268" s="7" t="s">
        <v>53</v>
      </c>
      <c r="I268" s="7">
        <v>41</v>
      </c>
      <c r="J268" s="7">
        <v>55</v>
      </c>
      <c r="K268" s="20">
        <v>11425.27</v>
      </c>
      <c r="L268" s="20">
        <v>262.85000000000002</v>
      </c>
      <c r="M268" s="7">
        <v>65.16</v>
      </c>
      <c r="N268" s="20">
        <f>Table15[[#This Row],[Processing Fee]]-Table15[[#This Row],[Discount Applied]]</f>
        <v>197.69000000000003</v>
      </c>
      <c r="O268" s="7" t="str">
        <f>IF(Table15[[#This Row],[Revenue]]&gt;35000,"Achieved","Not Achieved")</f>
        <v>Not Achieved</v>
      </c>
      <c r="P268" s="8">
        <v>3</v>
      </c>
      <c r="Q268" s="7" t="str">
        <f>IF(AND(Table15[[#This Row],[CSAT Score]]&lt;=3,Table15[[#This Row],[Revenue]]&gt;=20000),"High-Risk","Stable")</f>
        <v>Stable</v>
      </c>
      <c r="R268" s="8" t="str" cm="1">
        <f t="array" ref="R268">_xlfn.IFS(Table15[[#This Row],[Revenue]]&gt;=35000,"Platinum",Table15[[#This Row],[Revenue]]&gt;=15000,"Gold",TRUE,"Standard")</f>
        <v>Standard</v>
      </c>
      <c r="S268" s="8" t="str">
        <f>IF(OR(Table15[[#This Row],[Product]]="Wealth Management",Table15[[#This Row],[Revenue]]&gt;=40000),"Yes","No")</f>
        <v>No</v>
      </c>
    </row>
    <row r="269" spans="1:19" x14ac:dyDescent="0.3">
      <c r="A269" s="5" t="s">
        <v>327</v>
      </c>
      <c r="B269" s="6">
        <v>45888</v>
      </c>
      <c r="C269" s="7" t="s">
        <v>44</v>
      </c>
      <c r="D269" s="7" t="s">
        <v>87</v>
      </c>
      <c r="E269" s="7" t="s">
        <v>21</v>
      </c>
      <c r="F269" s="7" t="s">
        <v>29</v>
      </c>
      <c r="G269" s="7" t="s">
        <v>30</v>
      </c>
      <c r="H269" s="7" t="s">
        <v>31</v>
      </c>
      <c r="I269" s="7">
        <v>51</v>
      </c>
      <c r="J269" s="7">
        <v>35</v>
      </c>
      <c r="K269" s="20">
        <v>8343.18</v>
      </c>
      <c r="L269" s="20">
        <v>283.86</v>
      </c>
      <c r="M269" s="7">
        <v>245.1</v>
      </c>
      <c r="N269" s="20">
        <f>Table15[[#This Row],[Processing Fee]]-Table15[[#This Row],[Discount Applied]]</f>
        <v>38.760000000000019</v>
      </c>
      <c r="O269" s="7" t="str">
        <f>IF(Table15[[#This Row],[Revenue]]&gt;35000,"Achieved","Not Achieved")</f>
        <v>Not Achieved</v>
      </c>
      <c r="P269" s="8">
        <v>4</v>
      </c>
      <c r="Q269" s="7" t="str">
        <f>IF(AND(Table15[[#This Row],[CSAT Score]]&lt;=3,Table15[[#This Row],[Revenue]]&gt;=20000),"High-Risk","Stable")</f>
        <v>Stable</v>
      </c>
      <c r="R269" s="8" t="str" cm="1">
        <f t="array" ref="R269">_xlfn.IFS(Table15[[#This Row],[Revenue]]&gt;=35000,"Platinum",Table15[[#This Row],[Revenue]]&gt;=15000,"Gold",TRUE,"Standard")</f>
        <v>Standard</v>
      </c>
      <c r="S269" s="8" t="str">
        <f>IF(OR(Table15[[#This Row],[Product]]="Wealth Management",Table15[[#This Row],[Revenue]]&gt;=40000),"Yes","No")</f>
        <v>No</v>
      </c>
    </row>
    <row r="270" spans="1:19" x14ac:dyDescent="0.3">
      <c r="A270" s="5" t="s">
        <v>328</v>
      </c>
      <c r="B270" s="6">
        <v>46028</v>
      </c>
      <c r="C270" s="7" t="s">
        <v>19</v>
      </c>
      <c r="D270" s="7" t="s">
        <v>38</v>
      </c>
      <c r="E270" s="7" t="s">
        <v>59</v>
      </c>
      <c r="F270" s="7" t="s">
        <v>35</v>
      </c>
      <c r="G270" s="7" t="s">
        <v>30</v>
      </c>
      <c r="H270" s="7" t="s">
        <v>24</v>
      </c>
      <c r="I270" s="7">
        <v>39</v>
      </c>
      <c r="J270" s="7">
        <v>55</v>
      </c>
      <c r="K270" s="20">
        <v>3579.15</v>
      </c>
      <c r="L270" s="20">
        <v>135.76</v>
      </c>
      <c r="M270" s="7">
        <v>81.760000000000005</v>
      </c>
      <c r="N270" s="20">
        <f>Table15[[#This Row],[Processing Fee]]-Table15[[#This Row],[Discount Applied]]</f>
        <v>53.999999999999986</v>
      </c>
      <c r="O270" s="7" t="str">
        <f>IF(Table15[[#This Row],[Revenue]]&gt;35000,"Achieved","Not Achieved")</f>
        <v>Not Achieved</v>
      </c>
      <c r="P270" s="8">
        <v>5</v>
      </c>
      <c r="Q270" s="7" t="str">
        <f>IF(AND(Table15[[#This Row],[CSAT Score]]&lt;=3,Table15[[#This Row],[Revenue]]&gt;=20000),"High-Risk","Stable")</f>
        <v>Stable</v>
      </c>
      <c r="R270" s="8" t="str" cm="1">
        <f t="array" ref="R270">_xlfn.IFS(Table15[[#This Row],[Revenue]]&gt;=35000,"Platinum",Table15[[#This Row],[Revenue]]&gt;=15000,"Gold",TRUE,"Standard")</f>
        <v>Standard</v>
      </c>
      <c r="S270" s="8" t="str">
        <f>IF(OR(Table15[[#This Row],[Product]]="Wealth Management",Table15[[#This Row],[Revenue]]&gt;=40000),"Yes","No")</f>
        <v>No</v>
      </c>
    </row>
    <row r="271" spans="1:19" x14ac:dyDescent="0.3">
      <c r="A271" s="5" t="s">
        <v>329</v>
      </c>
      <c r="B271" s="6">
        <v>45980</v>
      </c>
      <c r="C271" s="7" t="s">
        <v>42</v>
      </c>
      <c r="D271" s="7" t="s">
        <v>34</v>
      </c>
      <c r="E271" s="7" t="s">
        <v>39</v>
      </c>
      <c r="F271" s="7" t="s">
        <v>69</v>
      </c>
      <c r="G271" s="7" t="s">
        <v>36</v>
      </c>
      <c r="H271" s="7" t="s">
        <v>24</v>
      </c>
      <c r="I271" s="7">
        <v>51</v>
      </c>
      <c r="J271" s="7">
        <v>14</v>
      </c>
      <c r="K271" s="20">
        <v>41223.79</v>
      </c>
      <c r="L271" s="20">
        <v>257.92</v>
      </c>
      <c r="M271" s="7">
        <v>65.349999999999994</v>
      </c>
      <c r="N271" s="20">
        <f>Table15[[#This Row],[Processing Fee]]-Table15[[#This Row],[Discount Applied]]</f>
        <v>192.57000000000002</v>
      </c>
      <c r="O271" s="7" t="str">
        <f>IF(Table15[[#This Row],[Revenue]]&gt;35000,"Achieved","Not Achieved")</f>
        <v>Achieved</v>
      </c>
      <c r="P271" s="8">
        <v>2</v>
      </c>
      <c r="Q271" s="7" t="str">
        <f>IF(AND(Table15[[#This Row],[CSAT Score]]&lt;=3,Table15[[#This Row],[Revenue]]&gt;=20000),"High-Risk","Stable")</f>
        <v>High-Risk</v>
      </c>
      <c r="R271" s="8" t="str" cm="1">
        <f t="array" ref="R271">_xlfn.IFS(Table15[[#This Row],[Revenue]]&gt;=35000,"Platinum",Table15[[#This Row],[Revenue]]&gt;=15000,"Gold",TRUE,"Standard")</f>
        <v>Platinum</v>
      </c>
      <c r="S271" s="8" t="str">
        <f>IF(OR(Table15[[#This Row],[Product]]="Wealth Management",Table15[[#This Row],[Revenue]]&gt;=40000),"Yes","No")</f>
        <v>Yes</v>
      </c>
    </row>
    <row r="272" spans="1:19" x14ac:dyDescent="0.3">
      <c r="A272" s="5" t="s">
        <v>330</v>
      </c>
      <c r="B272" s="6">
        <v>45908</v>
      </c>
      <c r="C272" s="7" t="s">
        <v>75</v>
      </c>
      <c r="D272" s="7" t="s">
        <v>87</v>
      </c>
      <c r="E272" s="7" t="s">
        <v>21</v>
      </c>
      <c r="F272" s="7" t="s">
        <v>22</v>
      </c>
      <c r="G272" s="7" t="s">
        <v>30</v>
      </c>
      <c r="H272" s="7" t="s">
        <v>31</v>
      </c>
      <c r="I272" s="7">
        <v>73</v>
      </c>
      <c r="J272" s="7">
        <v>49</v>
      </c>
      <c r="K272" s="20">
        <v>15913.41</v>
      </c>
      <c r="L272" s="20">
        <v>456.36</v>
      </c>
      <c r="M272" s="7">
        <v>223.46</v>
      </c>
      <c r="N272" s="20">
        <f>Table15[[#This Row],[Processing Fee]]-Table15[[#This Row],[Discount Applied]]</f>
        <v>232.9</v>
      </c>
      <c r="O272" s="7" t="str">
        <f>IF(Table15[[#This Row],[Revenue]]&gt;35000,"Achieved","Not Achieved")</f>
        <v>Not Achieved</v>
      </c>
      <c r="P272" s="8">
        <v>1</v>
      </c>
      <c r="Q272" s="7" t="str">
        <f>IF(AND(Table15[[#This Row],[CSAT Score]]&lt;=3,Table15[[#This Row],[Revenue]]&gt;=20000),"High-Risk","Stable")</f>
        <v>Stable</v>
      </c>
      <c r="R272" s="8" t="str" cm="1">
        <f t="array" ref="R272">_xlfn.IFS(Table15[[#This Row],[Revenue]]&gt;=35000,"Platinum",Table15[[#This Row],[Revenue]]&gt;=15000,"Gold",TRUE,"Standard")</f>
        <v>Gold</v>
      </c>
      <c r="S272" s="8" t="str">
        <f>IF(OR(Table15[[#This Row],[Product]]="Wealth Management",Table15[[#This Row],[Revenue]]&gt;=40000),"Yes","No")</f>
        <v>Yes</v>
      </c>
    </row>
    <row r="273" spans="1:19" x14ac:dyDescent="0.3">
      <c r="A273" s="5" t="s">
        <v>331</v>
      </c>
      <c r="B273" s="6">
        <v>46150</v>
      </c>
      <c r="C273" s="7" t="s">
        <v>44</v>
      </c>
      <c r="D273" s="7" t="s">
        <v>20</v>
      </c>
      <c r="E273" s="7" t="s">
        <v>21</v>
      </c>
      <c r="F273" s="7" t="s">
        <v>29</v>
      </c>
      <c r="G273" s="7" t="s">
        <v>56</v>
      </c>
      <c r="H273" s="7" t="s">
        <v>57</v>
      </c>
      <c r="I273" s="7">
        <v>52</v>
      </c>
      <c r="J273" s="7">
        <v>83</v>
      </c>
      <c r="K273" s="20">
        <v>20384</v>
      </c>
      <c r="L273" s="20">
        <v>72.88</v>
      </c>
      <c r="M273" s="7">
        <v>15.93</v>
      </c>
      <c r="N273" s="20">
        <f>Table15[[#This Row],[Processing Fee]]-Table15[[#This Row],[Discount Applied]]</f>
        <v>56.949999999999996</v>
      </c>
      <c r="O273" s="7" t="str">
        <f>IF(Table15[[#This Row],[Revenue]]&gt;35000,"Achieved","Not Achieved")</f>
        <v>Not Achieved</v>
      </c>
      <c r="P273" s="8">
        <v>1</v>
      </c>
      <c r="Q273" s="7" t="str">
        <f>IF(AND(Table15[[#This Row],[CSAT Score]]&lt;=3,Table15[[#This Row],[Revenue]]&gt;=20000),"High-Risk","Stable")</f>
        <v>High-Risk</v>
      </c>
      <c r="R273" s="8" t="str" cm="1">
        <f t="array" ref="R273">_xlfn.IFS(Table15[[#This Row],[Revenue]]&gt;=35000,"Platinum",Table15[[#This Row],[Revenue]]&gt;=15000,"Gold",TRUE,"Standard")</f>
        <v>Gold</v>
      </c>
      <c r="S273" s="8" t="str">
        <f>IF(OR(Table15[[#This Row],[Product]]="Wealth Management",Table15[[#This Row],[Revenue]]&gt;=40000),"Yes","No")</f>
        <v>No</v>
      </c>
    </row>
    <row r="274" spans="1:19" x14ac:dyDescent="0.3">
      <c r="A274" s="5" t="s">
        <v>332</v>
      </c>
      <c r="B274" s="6">
        <v>45988</v>
      </c>
      <c r="C274" s="7" t="s">
        <v>44</v>
      </c>
      <c r="D274" s="7" t="s">
        <v>77</v>
      </c>
      <c r="E274" s="7" t="s">
        <v>59</v>
      </c>
      <c r="F274" s="7" t="s">
        <v>22</v>
      </c>
      <c r="G274" s="7" t="s">
        <v>23</v>
      </c>
      <c r="H274" s="7" t="s">
        <v>57</v>
      </c>
      <c r="I274" s="7">
        <v>22</v>
      </c>
      <c r="J274" s="7">
        <v>102</v>
      </c>
      <c r="K274" s="20">
        <v>25386.13</v>
      </c>
      <c r="L274" s="20">
        <v>438.6</v>
      </c>
      <c r="M274" s="7">
        <v>9.7100000000000009</v>
      </c>
      <c r="N274" s="20">
        <f>Table15[[#This Row],[Processing Fee]]-Table15[[#This Row],[Discount Applied]]</f>
        <v>428.89000000000004</v>
      </c>
      <c r="O274" s="7" t="str">
        <f>IF(Table15[[#This Row],[Revenue]]&gt;35000,"Achieved","Not Achieved")</f>
        <v>Not Achieved</v>
      </c>
      <c r="P274" s="8">
        <v>5</v>
      </c>
      <c r="Q274" s="7" t="str">
        <f>IF(AND(Table15[[#This Row],[CSAT Score]]&lt;=3,Table15[[#This Row],[Revenue]]&gt;=20000),"High-Risk","Stable")</f>
        <v>Stable</v>
      </c>
      <c r="R274" s="8" t="str" cm="1">
        <f t="array" ref="R274">_xlfn.IFS(Table15[[#This Row],[Revenue]]&gt;=35000,"Platinum",Table15[[#This Row],[Revenue]]&gt;=15000,"Gold",TRUE,"Standard")</f>
        <v>Gold</v>
      </c>
      <c r="S274" s="8" t="str">
        <f>IF(OR(Table15[[#This Row],[Product]]="Wealth Management",Table15[[#This Row],[Revenue]]&gt;=40000),"Yes","No")</f>
        <v>Yes</v>
      </c>
    </row>
    <row r="275" spans="1:19" x14ac:dyDescent="0.3">
      <c r="A275" s="5" t="s">
        <v>333</v>
      </c>
      <c r="B275" s="6">
        <v>46041</v>
      </c>
      <c r="C275" s="7" t="s">
        <v>44</v>
      </c>
      <c r="D275" s="7" t="s">
        <v>61</v>
      </c>
      <c r="E275" s="7" t="s">
        <v>28</v>
      </c>
      <c r="F275" s="7" t="s">
        <v>29</v>
      </c>
      <c r="G275" s="7" t="s">
        <v>65</v>
      </c>
      <c r="H275" s="7" t="s">
        <v>24</v>
      </c>
      <c r="I275" s="7">
        <v>72</v>
      </c>
      <c r="J275" s="7">
        <v>100</v>
      </c>
      <c r="K275" s="20">
        <v>42052.94</v>
      </c>
      <c r="L275" s="20">
        <v>203.43</v>
      </c>
      <c r="M275" s="7">
        <v>89.59</v>
      </c>
      <c r="N275" s="20">
        <f>Table15[[#This Row],[Processing Fee]]-Table15[[#This Row],[Discount Applied]]</f>
        <v>113.84</v>
      </c>
      <c r="O275" s="7" t="str">
        <f>IF(Table15[[#This Row],[Revenue]]&gt;35000,"Achieved","Not Achieved")</f>
        <v>Achieved</v>
      </c>
      <c r="P275" s="8">
        <v>3</v>
      </c>
      <c r="Q275" s="7" t="str">
        <f>IF(AND(Table15[[#This Row],[CSAT Score]]&lt;=3,Table15[[#This Row],[Revenue]]&gt;=20000),"High-Risk","Stable")</f>
        <v>High-Risk</v>
      </c>
      <c r="R275" s="8" t="str" cm="1">
        <f t="array" ref="R275">_xlfn.IFS(Table15[[#This Row],[Revenue]]&gt;=35000,"Platinum",Table15[[#This Row],[Revenue]]&gt;=15000,"Gold",TRUE,"Standard")</f>
        <v>Platinum</v>
      </c>
      <c r="S275" s="8" t="str">
        <f>IF(OR(Table15[[#This Row],[Product]]="Wealth Management",Table15[[#This Row],[Revenue]]&gt;=40000),"Yes","No")</f>
        <v>Yes</v>
      </c>
    </row>
    <row r="276" spans="1:19" x14ac:dyDescent="0.3">
      <c r="A276" s="5" t="s">
        <v>334</v>
      </c>
      <c r="B276" s="6">
        <v>46108</v>
      </c>
      <c r="C276" s="7" t="s">
        <v>91</v>
      </c>
      <c r="D276" s="7" t="s">
        <v>52</v>
      </c>
      <c r="E276" s="7" t="s">
        <v>46</v>
      </c>
      <c r="F276" s="7" t="s">
        <v>22</v>
      </c>
      <c r="G276" s="7" t="s">
        <v>23</v>
      </c>
      <c r="H276" s="7" t="s">
        <v>53</v>
      </c>
      <c r="I276" s="7">
        <v>30</v>
      </c>
      <c r="J276" s="7">
        <v>7</v>
      </c>
      <c r="K276" s="20">
        <v>32716.240000000002</v>
      </c>
      <c r="L276" s="20">
        <v>454.78</v>
      </c>
      <c r="M276" s="7">
        <v>89.13</v>
      </c>
      <c r="N276" s="20">
        <f>Table15[[#This Row],[Processing Fee]]-Table15[[#This Row],[Discount Applied]]</f>
        <v>365.65</v>
      </c>
      <c r="O276" s="7" t="str">
        <f>IF(Table15[[#This Row],[Revenue]]&gt;35000,"Achieved","Not Achieved")</f>
        <v>Not Achieved</v>
      </c>
      <c r="P276" s="8">
        <v>3</v>
      </c>
      <c r="Q276" s="7" t="str">
        <f>IF(AND(Table15[[#This Row],[CSAT Score]]&lt;=3,Table15[[#This Row],[Revenue]]&gt;=20000),"High-Risk","Stable")</f>
        <v>High-Risk</v>
      </c>
      <c r="R276" s="8" t="str" cm="1">
        <f t="array" ref="R276">_xlfn.IFS(Table15[[#This Row],[Revenue]]&gt;=35000,"Platinum",Table15[[#This Row],[Revenue]]&gt;=15000,"Gold",TRUE,"Standard")</f>
        <v>Gold</v>
      </c>
      <c r="S276" s="8" t="str">
        <f>IF(OR(Table15[[#This Row],[Product]]="Wealth Management",Table15[[#This Row],[Revenue]]&gt;=40000),"Yes","No")</f>
        <v>Yes</v>
      </c>
    </row>
    <row r="277" spans="1:19" x14ac:dyDescent="0.3">
      <c r="A277" s="5" t="s">
        <v>335</v>
      </c>
      <c r="B277" s="6">
        <v>46128</v>
      </c>
      <c r="C277" s="7" t="s">
        <v>26</v>
      </c>
      <c r="D277" s="7" t="s">
        <v>38</v>
      </c>
      <c r="E277" s="7" t="s">
        <v>28</v>
      </c>
      <c r="F277" s="7" t="s">
        <v>40</v>
      </c>
      <c r="G277" s="7" t="s">
        <v>65</v>
      </c>
      <c r="H277" s="7" t="s">
        <v>57</v>
      </c>
      <c r="I277" s="7">
        <v>22</v>
      </c>
      <c r="J277" s="7">
        <v>30</v>
      </c>
      <c r="K277" s="20">
        <v>30945.7</v>
      </c>
      <c r="L277" s="20">
        <v>473.4</v>
      </c>
      <c r="M277" s="7">
        <v>179.13</v>
      </c>
      <c r="N277" s="20">
        <f>Table15[[#This Row],[Processing Fee]]-Table15[[#This Row],[Discount Applied]]</f>
        <v>294.27</v>
      </c>
      <c r="O277" s="7" t="str">
        <f>IF(Table15[[#This Row],[Revenue]]&gt;35000,"Achieved","Not Achieved")</f>
        <v>Not Achieved</v>
      </c>
      <c r="P277" s="8">
        <v>3</v>
      </c>
      <c r="Q277" s="7" t="str">
        <f>IF(AND(Table15[[#This Row],[CSAT Score]]&lt;=3,Table15[[#This Row],[Revenue]]&gt;=20000),"High-Risk","Stable")</f>
        <v>High-Risk</v>
      </c>
      <c r="R277" s="8" t="str" cm="1">
        <f t="array" ref="R277">_xlfn.IFS(Table15[[#This Row],[Revenue]]&gt;=35000,"Platinum",Table15[[#This Row],[Revenue]]&gt;=15000,"Gold",TRUE,"Standard")</f>
        <v>Gold</v>
      </c>
      <c r="S277" s="8" t="str">
        <f>IF(OR(Table15[[#This Row],[Product]]="Wealth Management",Table15[[#This Row],[Revenue]]&gt;=40000),"Yes","No")</f>
        <v>No</v>
      </c>
    </row>
    <row r="278" spans="1:19" x14ac:dyDescent="0.3">
      <c r="A278" s="5" t="s">
        <v>336</v>
      </c>
      <c r="B278" s="6">
        <v>46111</v>
      </c>
      <c r="C278" s="7" t="s">
        <v>91</v>
      </c>
      <c r="D278" s="7" t="s">
        <v>34</v>
      </c>
      <c r="E278" s="7" t="s">
        <v>39</v>
      </c>
      <c r="F278" s="7" t="s">
        <v>29</v>
      </c>
      <c r="G278" s="7" t="s">
        <v>56</v>
      </c>
      <c r="H278" s="7" t="s">
        <v>53</v>
      </c>
      <c r="I278" s="7">
        <v>22</v>
      </c>
      <c r="J278" s="7">
        <v>83</v>
      </c>
      <c r="K278" s="20">
        <v>9195.77</v>
      </c>
      <c r="L278" s="20">
        <v>351.89</v>
      </c>
      <c r="M278" s="7">
        <v>25.23</v>
      </c>
      <c r="N278" s="20">
        <f>Table15[[#This Row],[Processing Fee]]-Table15[[#This Row],[Discount Applied]]</f>
        <v>326.65999999999997</v>
      </c>
      <c r="O278" s="7" t="str">
        <f>IF(Table15[[#This Row],[Revenue]]&gt;35000,"Achieved","Not Achieved")</f>
        <v>Not Achieved</v>
      </c>
      <c r="P278" s="8">
        <v>3</v>
      </c>
      <c r="Q278" s="7" t="str">
        <f>IF(AND(Table15[[#This Row],[CSAT Score]]&lt;=3,Table15[[#This Row],[Revenue]]&gt;=20000),"High-Risk","Stable")</f>
        <v>Stable</v>
      </c>
      <c r="R278" s="8" t="str" cm="1">
        <f t="array" ref="R278">_xlfn.IFS(Table15[[#This Row],[Revenue]]&gt;=35000,"Platinum",Table15[[#This Row],[Revenue]]&gt;=15000,"Gold",TRUE,"Standard")</f>
        <v>Standard</v>
      </c>
      <c r="S278" s="8" t="str">
        <f>IF(OR(Table15[[#This Row],[Product]]="Wealth Management",Table15[[#This Row],[Revenue]]&gt;=40000),"Yes","No")</f>
        <v>No</v>
      </c>
    </row>
    <row r="279" spans="1:19" x14ac:dyDescent="0.3">
      <c r="A279" s="5" t="s">
        <v>337</v>
      </c>
      <c r="B279" s="6">
        <v>45922</v>
      </c>
      <c r="C279" s="7" t="s">
        <v>75</v>
      </c>
      <c r="D279" s="7" t="s">
        <v>50</v>
      </c>
      <c r="E279" s="7" t="s">
        <v>21</v>
      </c>
      <c r="F279" s="7" t="s">
        <v>22</v>
      </c>
      <c r="G279" s="7" t="s">
        <v>30</v>
      </c>
      <c r="H279" s="7" t="s">
        <v>57</v>
      </c>
      <c r="I279" s="7">
        <v>44</v>
      </c>
      <c r="J279" s="7">
        <v>49</v>
      </c>
      <c r="K279" s="20">
        <v>25902.9</v>
      </c>
      <c r="L279" s="20">
        <v>348.99</v>
      </c>
      <c r="M279" s="7">
        <v>24.66</v>
      </c>
      <c r="N279" s="20">
        <f>Table15[[#This Row],[Processing Fee]]-Table15[[#This Row],[Discount Applied]]</f>
        <v>324.33</v>
      </c>
      <c r="O279" s="7" t="str">
        <f>IF(Table15[[#This Row],[Revenue]]&gt;35000,"Achieved","Not Achieved")</f>
        <v>Not Achieved</v>
      </c>
      <c r="P279" s="8">
        <v>3</v>
      </c>
      <c r="Q279" s="7" t="str">
        <f>IF(AND(Table15[[#This Row],[CSAT Score]]&lt;=3,Table15[[#This Row],[Revenue]]&gt;=20000),"High-Risk","Stable")</f>
        <v>High-Risk</v>
      </c>
      <c r="R279" s="8" t="str" cm="1">
        <f t="array" ref="R279">_xlfn.IFS(Table15[[#This Row],[Revenue]]&gt;=35000,"Platinum",Table15[[#This Row],[Revenue]]&gt;=15000,"Gold",TRUE,"Standard")</f>
        <v>Gold</v>
      </c>
      <c r="S279" s="8" t="str">
        <f>IF(OR(Table15[[#This Row],[Product]]="Wealth Management",Table15[[#This Row],[Revenue]]&gt;=40000),"Yes","No")</f>
        <v>Yes</v>
      </c>
    </row>
    <row r="280" spans="1:19" x14ac:dyDescent="0.3">
      <c r="A280" s="5" t="s">
        <v>338</v>
      </c>
      <c r="B280" s="6">
        <v>46019</v>
      </c>
      <c r="C280" s="7" t="s">
        <v>91</v>
      </c>
      <c r="D280" s="7" t="s">
        <v>48</v>
      </c>
      <c r="E280" s="7" t="s">
        <v>59</v>
      </c>
      <c r="F280" s="7" t="s">
        <v>69</v>
      </c>
      <c r="G280" s="7" t="s">
        <v>36</v>
      </c>
      <c r="H280" s="7" t="s">
        <v>57</v>
      </c>
      <c r="I280" s="7">
        <v>37</v>
      </c>
      <c r="J280" s="7">
        <v>89</v>
      </c>
      <c r="K280" s="20">
        <v>35911.360000000001</v>
      </c>
      <c r="L280" s="20">
        <v>253.74</v>
      </c>
      <c r="M280" s="7">
        <v>29.49</v>
      </c>
      <c r="N280" s="20">
        <f>Table15[[#This Row],[Processing Fee]]-Table15[[#This Row],[Discount Applied]]</f>
        <v>224.25</v>
      </c>
      <c r="O280" s="7" t="str">
        <f>IF(Table15[[#This Row],[Revenue]]&gt;35000,"Achieved","Not Achieved")</f>
        <v>Achieved</v>
      </c>
      <c r="P280" s="8">
        <v>5</v>
      </c>
      <c r="Q280" s="7" t="str">
        <f>IF(AND(Table15[[#This Row],[CSAT Score]]&lt;=3,Table15[[#This Row],[Revenue]]&gt;=20000),"High-Risk","Stable")</f>
        <v>Stable</v>
      </c>
      <c r="R280" s="8" t="str" cm="1">
        <f t="array" ref="R280">_xlfn.IFS(Table15[[#This Row],[Revenue]]&gt;=35000,"Platinum",Table15[[#This Row],[Revenue]]&gt;=15000,"Gold",TRUE,"Standard")</f>
        <v>Platinum</v>
      </c>
      <c r="S280" s="8" t="str">
        <f>IF(OR(Table15[[#This Row],[Product]]="Wealth Management",Table15[[#This Row],[Revenue]]&gt;=40000),"Yes","No")</f>
        <v>No</v>
      </c>
    </row>
    <row r="281" spans="1:19" x14ac:dyDescent="0.3">
      <c r="A281" s="5" t="s">
        <v>339</v>
      </c>
      <c r="B281" s="6">
        <v>45938</v>
      </c>
      <c r="C281" s="7" t="s">
        <v>55</v>
      </c>
      <c r="D281" s="7" t="s">
        <v>38</v>
      </c>
      <c r="E281" s="7" t="s">
        <v>59</v>
      </c>
      <c r="F281" s="7" t="s">
        <v>40</v>
      </c>
      <c r="G281" s="7" t="s">
        <v>56</v>
      </c>
      <c r="H281" s="7" t="s">
        <v>53</v>
      </c>
      <c r="I281" s="7">
        <v>52</v>
      </c>
      <c r="J281" s="7">
        <v>16</v>
      </c>
      <c r="K281" s="20">
        <v>48676.41</v>
      </c>
      <c r="L281" s="20">
        <v>425.99</v>
      </c>
      <c r="M281" s="7">
        <v>5.95</v>
      </c>
      <c r="N281" s="20">
        <f>Table15[[#This Row],[Processing Fee]]-Table15[[#This Row],[Discount Applied]]</f>
        <v>420.04</v>
      </c>
      <c r="O281" s="7" t="str">
        <f>IF(Table15[[#This Row],[Revenue]]&gt;35000,"Achieved","Not Achieved")</f>
        <v>Achieved</v>
      </c>
      <c r="P281" s="8">
        <v>4</v>
      </c>
      <c r="Q281" s="7" t="str">
        <f>IF(AND(Table15[[#This Row],[CSAT Score]]&lt;=3,Table15[[#This Row],[Revenue]]&gt;=20000),"High-Risk","Stable")</f>
        <v>Stable</v>
      </c>
      <c r="R281" s="8" t="str" cm="1">
        <f t="array" ref="R281">_xlfn.IFS(Table15[[#This Row],[Revenue]]&gt;=35000,"Platinum",Table15[[#This Row],[Revenue]]&gt;=15000,"Gold",TRUE,"Standard")</f>
        <v>Platinum</v>
      </c>
      <c r="S281" s="8" t="str">
        <f>IF(OR(Table15[[#This Row],[Product]]="Wealth Management",Table15[[#This Row],[Revenue]]&gt;=40000),"Yes","No")</f>
        <v>Yes</v>
      </c>
    </row>
    <row r="282" spans="1:19" x14ac:dyDescent="0.3">
      <c r="A282" s="5" t="s">
        <v>340</v>
      </c>
      <c r="B282" s="6">
        <v>45949</v>
      </c>
      <c r="C282" s="7" t="s">
        <v>26</v>
      </c>
      <c r="D282" s="7" t="s">
        <v>48</v>
      </c>
      <c r="E282" s="7" t="s">
        <v>46</v>
      </c>
      <c r="F282" s="7" t="s">
        <v>40</v>
      </c>
      <c r="G282" s="7" t="s">
        <v>23</v>
      </c>
      <c r="H282" s="7" t="s">
        <v>31</v>
      </c>
      <c r="I282" s="7">
        <v>36</v>
      </c>
      <c r="J282" s="7">
        <v>111</v>
      </c>
      <c r="K282" s="20">
        <v>10469.61</v>
      </c>
      <c r="L282" s="20">
        <v>482.73</v>
      </c>
      <c r="M282" s="7">
        <v>21.52</v>
      </c>
      <c r="N282" s="20">
        <f>Table15[[#This Row],[Processing Fee]]-Table15[[#This Row],[Discount Applied]]</f>
        <v>461.21000000000004</v>
      </c>
      <c r="O282" s="7" t="str">
        <f>IF(Table15[[#This Row],[Revenue]]&gt;35000,"Achieved","Not Achieved")</f>
        <v>Not Achieved</v>
      </c>
      <c r="P282" s="8">
        <v>2</v>
      </c>
      <c r="Q282" s="7" t="str">
        <f>IF(AND(Table15[[#This Row],[CSAT Score]]&lt;=3,Table15[[#This Row],[Revenue]]&gt;=20000),"High-Risk","Stable")</f>
        <v>Stable</v>
      </c>
      <c r="R282" s="8" t="str" cm="1">
        <f t="array" ref="R282">_xlfn.IFS(Table15[[#This Row],[Revenue]]&gt;=35000,"Platinum",Table15[[#This Row],[Revenue]]&gt;=15000,"Gold",TRUE,"Standard")</f>
        <v>Standard</v>
      </c>
      <c r="S282" s="8" t="str">
        <f>IF(OR(Table15[[#This Row],[Product]]="Wealth Management",Table15[[#This Row],[Revenue]]&gt;=40000),"Yes","No")</f>
        <v>No</v>
      </c>
    </row>
    <row r="283" spans="1:19" x14ac:dyDescent="0.3">
      <c r="A283" s="5" t="s">
        <v>341</v>
      </c>
      <c r="B283" s="6">
        <v>45932</v>
      </c>
      <c r="C283" s="7" t="s">
        <v>26</v>
      </c>
      <c r="D283" s="7" t="s">
        <v>77</v>
      </c>
      <c r="E283" s="7" t="s">
        <v>28</v>
      </c>
      <c r="F283" s="7" t="s">
        <v>69</v>
      </c>
      <c r="G283" s="7" t="s">
        <v>36</v>
      </c>
      <c r="H283" s="7" t="s">
        <v>57</v>
      </c>
      <c r="I283" s="7">
        <v>36</v>
      </c>
      <c r="J283" s="7">
        <v>118</v>
      </c>
      <c r="K283" s="20">
        <v>972.4</v>
      </c>
      <c r="L283" s="20">
        <v>398.79</v>
      </c>
      <c r="M283" s="7">
        <v>131.97</v>
      </c>
      <c r="N283" s="20">
        <f>Table15[[#This Row],[Processing Fee]]-Table15[[#This Row],[Discount Applied]]</f>
        <v>266.82000000000005</v>
      </c>
      <c r="O283" s="7" t="str">
        <f>IF(Table15[[#This Row],[Revenue]]&gt;35000,"Achieved","Not Achieved")</f>
        <v>Not Achieved</v>
      </c>
      <c r="P283" s="8">
        <v>3</v>
      </c>
      <c r="Q283" s="7" t="str">
        <f>IF(AND(Table15[[#This Row],[CSAT Score]]&lt;=3,Table15[[#This Row],[Revenue]]&gt;=20000),"High-Risk","Stable")</f>
        <v>Stable</v>
      </c>
      <c r="R283" s="8" t="str" cm="1">
        <f t="array" ref="R283">_xlfn.IFS(Table15[[#This Row],[Revenue]]&gt;=35000,"Platinum",Table15[[#This Row],[Revenue]]&gt;=15000,"Gold",TRUE,"Standard")</f>
        <v>Standard</v>
      </c>
      <c r="S283" s="8" t="str">
        <f>IF(OR(Table15[[#This Row],[Product]]="Wealth Management",Table15[[#This Row],[Revenue]]&gt;=40000),"Yes","No")</f>
        <v>No</v>
      </c>
    </row>
    <row r="284" spans="1:19" x14ac:dyDescent="0.3">
      <c r="A284" s="5" t="s">
        <v>342</v>
      </c>
      <c r="B284" s="6">
        <v>46115</v>
      </c>
      <c r="C284" s="7" t="s">
        <v>75</v>
      </c>
      <c r="D284" s="7" t="s">
        <v>63</v>
      </c>
      <c r="E284" s="7" t="s">
        <v>46</v>
      </c>
      <c r="F284" s="7" t="s">
        <v>22</v>
      </c>
      <c r="G284" s="7" t="s">
        <v>30</v>
      </c>
      <c r="H284" s="7" t="s">
        <v>57</v>
      </c>
      <c r="I284" s="7">
        <v>66</v>
      </c>
      <c r="J284" s="7">
        <v>104</v>
      </c>
      <c r="K284" s="20">
        <v>4227.42</v>
      </c>
      <c r="L284" s="20">
        <v>329.87</v>
      </c>
      <c r="M284" s="7">
        <v>86.32</v>
      </c>
      <c r="N284" s="20">
        <f>Table15[[#This Row],[Processing Fee]]-Table15[[#This Row],[Discount Applied]]</f>
        <v>243.55</v>
      </c>
      <c r="O284" s="7" t="str">
        <f>IF(Table15[[#This Row],[Revenue]]&gt;35000,"Achieved","Not Achieved")</f>
        <v>Not Achieved</v>
      </c>
      <c r="P284" s="8">
        <v>4</v>
      </c>
      <c r="Q284" s="7" t="str">
        <f>IF(AND(Table15[[#This Row],[CSAT Score]]&lt;=3,Table15[[#This Row],[Revenue]]&gt;=20000),"High-Risk","Stable")</f>
        <v>Stable</v>
      </c>
      <c r="R284" s="8" t="str" cm="1">
        <f t="array" ref="R284">_xlfn.IFS(Table15[[#This Row],[Revenue]]&gt;=35000,"Platinum",Table15[[#This Row],[Revenue]]&gt;=15000,"Gold",TRUE,"Standard")</f>
        <v>Standard</v>
      </c>
      <c r="S284" s="8" t="str">
        <f>IF(OR(Table15[[#This Row],[Product]]="Wealth Management",Table15[[#This Row],[Revenue]]&gt;=40000),"Yes","No")</f>
        <v>Yes</v>
      </c>
    </row>
    <row r="285" spans="1:19" x14ac:dyDescent="0.3">
      <c r="A285" s="5" t="s">
        <v>343</v>
      </c>
      <c r="B285" s="6">
        <v>45900</v>
      </c>
      <c r="C285" s="7" t="s">
        <v>19</v>
      </c>
      <c r="D285" s="7" t="s">
        <v>38</v>
      </c>
      <c r="E285" s="7" t="s">
        <v>21</v>
      </c>
      <c r="F285" s="7" t="s">
        <v>35</v>
      </c>
      <c r="G285" s="7" t="s">
        <v>56</v>
      </c>
      <c r="H285" s="7" t="s">
        <v>53</v>
      </c>
      <c r="I285" s="7">
        <v>59</v>
      </c>
      <c r="J285" s="7">
        <v>51</v>
      </c>
      <c r="K285" s="20">
        <v>19104.7</v>
      </c>
      <c r="L285" s="20">
        <v>323.06</v>
      </c>
      <c r="M285" s="7">
        <v>152.72</v>
      </c>
      <c r="N285" s="20">
        <f>Table15[[#This Row],[Processing Fee]]-Table15[[#This Row],[Discount Applied]]</f>
        <v>170.34</v>
      </c>
      <c r="O285" s="7" t="str">
        <f>IF(Table15[[#This Row],[Revenue]]&gt;35000,"Achieved","Not Achieved")</f>
        <v>Not Achieved</v>
      </c>
      <c r="P285" s="8">
        <v>1</v>
      </c>
      <c r="Q285" s="7" t="str">
        <f>IF(AND(Table15[[#This Row],[CSAT Score]]&lt;=3,Table15[[#This Row],[Revenue]]&gt;=20000),"High-Risk","Stable")</f>
        <v>Stable</v>
      </c>
      <c r="R285" s="8" t="str" cm="1">
        <f t="array" ref="R285">_xlfn.IFS(Table15[[#This Row],[Revenue]]&gt;=35000,"Platinum",Table15[[#This Row],[Revenue]]&gt;=15000,"Gold",TRUE,"Standard")</f>
        <v>Gold</v>
      </c>
      <c r="S285" s="8" t="str">
        <f>IF(OR(Table15[[#This Row],[Product]]="Wealth Management",Table15[[#This Row],[Revenue]]&gt;=40000),"Yes","No")</f>
        <v>No</v>
      </c>
    </row>
    <row r="286" spans="1:19" x14ac:dyDescent="0.3">
      <c r="A286" s="5" t="s">
        <v>344</v>
      </c>
      <c r="B286" s="6">
        <v>46228</v>
      </c>
      <c r="C286" s="7" t="s">
        <v>55</v>
      </c>
      <c r="D286" s="7" t="s">
        <v>50</v>
      </c>
      <c r="E286" s="7" t="s">
        <v>46</v>
      </c>
      <c r="F286" s="7" t="s">
        <v>69</v>
      </c>
      <c r="G286" s="7" t="s">
        <v>36</v>
      </c>
      <c r="H286" s="7" t="s">
        <v>31</v>
      </c>
      <c r="I286" s="7">
        <v>73</v>
      </c>
      <c r="J286" s="7">
        <v>72</v>
      </c>
      <c r="K286" s="20">
        <v>41116.959999999999</v>
      </c>
      <c r="L286" s="20">
        <v>432.26</v>
      </c>
      <c r="M286" s="7">
        <v>297.77999999999997</v>
      </c>
      <c r="N286" s="20">
        <f>Table15[[#This Row],[Processing Fee]]-Table15[[#This Row],[Discount Applied]]</f>
        <v>134.48000000000002</v>
      </c>
      <c r="O286" s="7" t="str">
        <f>IF(Table15[[#This Row],[Revenue]]&gt;35000,"Achieved","Not Achieved")</f>
        <v>Achieved</v>
      </c>
      <c r="P286" s="8">
        <v>5</v>
      </c>
      <c r="Q286" s="7" t="str">
        <f>IF(AND(Table15[[#This Row],[CSAT Score]]&lt;=3,Table15[[#This Row],[Revenue]]&gt;=20000),"High-Risk","Stable")</f>
        <v>Stable</v>
      </c>
      <c r="R286" s="8" t="str" cm="1">
        <f t="array" ref="R286">_xlfn.IFS(Table15[[#This Row],[Revenue]]&gt;=35000,"Platinum",Table15[[#This Row],[Revenue]]&gt;=15000,"Gold",TRUE,"Standard")</f>
        <v>Platinum</v>
      </c>
      <c r="S286" s="8" t="str">
        <f>IF(OR(Table15[[#This Row],[Product]]="Wealth Management",Table15[[#This Row],[Revenue]]&gt;=40000),"Yes","No")</f>
        <v>Yes</v>
      </c>
    </row>
    <row r="287" spans="1:19" x14ac:dyDescent="0.3">
      <c r="A287" s="5" t="s">
        <v>345</v>
      </c>
      <c r="B287" s="6">
        <v>46097</v>
      </c>
      <c r="C287" s="7" t="s">
        <v>42</v>
      </c>
      <c r="D287" s="7" t="s">
        <v>68</v>
      </c>
      <c r="E287" s="7" t="s">
        <v>59</v>
      </c>
      <c r="F287" s="7" t="s">
        <v>22</v>
      </c>
      <c r="G287" s="7" t="s">
        <v>56</v>
      </c>
      <c r="H287" s="7" t="s">
        <v>57</v>
      </c>
      <c r="I287" s="7">
        <v>51</v>
      </c>
      <c r="J287" s="7">
        <v>82</v>
      </c>
      <c r="K287" s="20">
        <v>853.53</v>
      </c>
      <c r="L287" s="20">
        <v>293.54000000000002</v>
      </c>
      <c r="M287" s="7">
        <v>131.81</v>
      </c>
      <c r="N287" s="20">
        <f>Table15[[#This Row],[Processing Fee]]-Table15[[#This Row],[Discount Applied]]</f>
        <v>161.73000000000002</v>
      </c>
      <c r="O287" s="7" t="str">
        <f>IF(Table15[[#This Row],[Revenue]]&gt;35000,"Achieved","Not Achieved")</f>
        <v>Not Achieved</v>
      </c>
      <c r="P287" s="8">
        <v>4</v>
      </c>
      <c r="Q287" s="7" t="str">
        <f>IF(AND(Table15[[#This Row],[CSAT Score]]&lt;=3,Table15[[#This Row],[Revenue]]&gt;=20000),"High-Risk","Stable")</f>
        <v>Stable</v>
      </c>
      <c r="R287" s="8" t="str" cm="1">
        <f t="array" ref="R287">_xlfn.IFS(Table15[[#This Row],[Revenue]]&gt;=35000,"Platinum",Table15[[#This Row],[Revenue]]&gt;=15000,"Gold",TRUE,"Standard")</f>
        <v>Standard</v>
      </c>
      <c r="S287" s="8" t="str">
        <f>IF(OR(Table15[[#This Row],[Product]]="Wealth Management",Table15[[#This Row],[Revenue]]&gt;=40000),"Yes","No")</f>
        <v>Yes</v>
      </c>
    </row>
    <row r="288" spans="1:19" x14ac:dyDescent="0.3">
      <c r="A288" s="5" t="s">
        <v>346</v>
      </c>
      <c r="B288" s="6">
        <v>46098</v>
      </c>
      <c r="C288" s="7" t="s">
        <v>91</v>
      </c>
      <c r="D288" s="7" t="s">
        <v>27</v>
      </c>
      <c r="E288" s="7" t="s">
        <v>59</v>
      </c>
      <c r="F288" s="7" t="s">
        <v>69</v>
      </c>
      <c r="G288" s="7" t="s">
        <v>56</v>
      </c>
      <c r="H288" s="7" t="s">
        <v>57</v>
      </c>
      <c r="I288" s="7">
        <v>63</v>
      </c>
      <c r="J288" s="7">
        <v>92</v>
      </c>
      <c r="K288" s="20">
        <v>23108.16</v>
      </c>
      <c r="L288" s="20">
        <v>411.74</v>
      </c>
      <c r="M288" s="7">
        <v>10.09</v>
      </c>
      <c r="N288" s="20">
        <f>Table15[[#This Row],[Processing Fee]]-Table15[[#This Row],[Discount Applied]]</f>
        <v>401.65000000000003</v>
      </c>
      <c r="O288" s="7" t="str">
        <f>IF(Table15[[#This Row],[Revenue]]&gt;35000,"Achieved","Not Achieved")</f>
        <v>Not Achieved</v>
      </c>
      <c r="P288" s="8">
        <v>3</v>
      </c>
      <c r="Q288" s="7" t="str">
        <f>IF(AND(Table15[[#This Row],[CSAT Score]]&lt;=3,Table15[[#This Row],[Revenue]]&gt;=20000),"High-Risk","Stable")</f>
        <v>High-Risk</v>
      </c>
      <c r="R288" s="8" t="str" cm="1">
        <f t="array" ref="R288">_xlfn.IFS(Table15[[#This Row],[Revenue]]&gt;=35000,"Platinum",Table15[[#This Row],[Revenue]]&gt;=15000,"Gold",TRUE,"Standard")</f>
        <v>Gold</v>
      </c>
      <c r="S288" s="8" t="str">
        <f>IF(OR(Table15[[#This Row],[Product]]="Wealth Management",Table15[[#This Row],[Revenue]]&gt;=40000),"Yes","No")</f>
        <v>No</v>
      </c>
    </row>
    <row r="289" spans="1:19" x14ac:dyDescent="0.3">
      <c r="A289" s="5" t="s">
        <v>347</v>
      </c>
      <c r="B289" s="6">
        <v>45944</v>
      </c>
      <c r="C289" s="7" t="s">
        <v>33</v>
      </c>
      <c r="D289" s="7" t="s">
        <v>48</v>
      </c>
      <c r="E289" s="7" t="s">
        <v>39</v>
      </c>
      <c r="F289" s="7" t="s">
        <v>69</v>
      </c>
      <c r="G289" s="7" t="s">
        <v>30</v>
      </c>
      <c r="H289" s="7" t="s">
        <v>31</v>
      </c>
      <c r="I289" s="7">
        <v>44</v>
      </c>
      <c r="J289" s="7">
        <v>80</v>
      </c>
      <c r="K289" s="20">
        <v>16796.919999999998</v>
      </c>
      <c r="L289" s="20">
        <v>279</v>
      </c>
      <c r="M289" s="7">
        <v>31.36</v>
      </c>
      <c r="N289" s="20">
        <f>Table15[[#This Row],[Processing Fee]]-Table15[[#This Row],[Discount Applied]]</f>
        <v>247.64</v>
      </c>
      <c r="O289" s="7" t="str">
        <f>IF(Table15[[#This Row],[Revenue]]&gt;35000,"Achieved","Not Achieved")</f>
        <v>Not Achieved</v>
      </c>
      <c r="P289" s="8">
        <v>3</v>
      </c>
      <c r="Q289" s="7" t="str">
        <f>IF(AND(Table15[[#This Row],[CSAT Score]]&lt;=3,Table15[[#This Row],[Revenue]]&gt;=20000),"High-Risk","Stable")</f>
        <v>Stable</v>
      </c>
      <c r="R289" s="8" t="str" cm="1">
        <f t="array" ref="R289">_xlfn.IFS(Table15[[#This Row],[Revenue]]&gt;=35000,"Platinum",Table15[[#This Row],[Revenue]]&gt;=15000,"Gold",TRUE,"Standard")</f>
        <v>Gold</v>
      </c>
      <c r="S289" s="8" t="str">
        <f>IF(OR(Table15[[#This Row],[Product]]="Wealth Management",Table15[[#This Row],[Revenue]]&gt;=40000),"Yes","No")</f>
        <v>No</v>
      </c>
    </row>
    <row r="290" spans="1:19" x14ac:dyDescent="0.3">
      <c r="A290" s="5" t="s">
        <v>348</v>
      </c>
      <c r="B290" s="6">
        <v>46227</v>
      </c>
      <c r="C290" s="7" t="s">
        <v>91</v>
      </c>
      <c r="D290" s="7" t="s">
        <v>27</v>
      </c>
      <c r="E290" s="7" t="s">
        <v>39</v>
      </c>
      <c r="F290" s="7" t="s">
        <v>29</v>
      </c>
      <c r="G290" s="7" t="s">
        <v>65</v>
      </c>
      <c r="H290" s="7" t="s">
        <v>57</v>
      </c>
      <c r="I290" s="7">
        <v>21</v>
      </c>
      <c r="J290" s="7">
        <v>116</v>
      </c>
      <c r="K290" s="20">
        <v>3097.84</v>
      </c>
      <c r="L290" s="20">
        <v>78.099999999999994</v>
      </c>
      <c r="M290" s="7">
        <v>176.2</v>
      </c>
      <c r="N290" s="20">
        <f>Table15[[#This Row],[Processing Fee]]-Table15[[#This Row],[Discount Applied]]</f>
        <v>-98.1</v>
      </c>
      <c r="O290" s="7" t="str">
        <f>IF(Table15[[#This Row],[Revenue]]&gt;35000,"Achieved","Not Achieved")</f>
        <v>Not Achieved</v>
      </c>
      <c r="P290" s="8">
        <v>3</v>
      </c>
      <c r="Q290" s="7" t="str">
        <f>IF(AND(Table15[[#This Row],[CSAT Score]]&lt;=3,Table15[[#This Row],[Revenue]]&gt;=20000),"High-Risk","Stable")</f>
        <v>Stable</v>
      </c>
      <c r="R290" s="8" t="str" cm="1">
        <f t="array" ref="R290">_xlfn.IFS(Table15[[#This Row],[Revenue]]&gt;=35000,"Platinum",Table15[[#This Row],[Revenue]]&gt;=15000,"Gold",TRUE,"Standard")</f>
        <v>Standard</v>
      </c>
      <c r="S290" s="8" t="str">
        <f>IF(OR(Table15[[#This Row],[Product]]="Wealth Management",Table15[[#This Row],[Revenue]]&gt;=40000),"Yes","No")</f>
        <v>No</v>
      </c>
    </row>
    <row r="291" spans="1:19" x14ac:dyDescent="0.3">
      <c r="A291" s="5" t="s">
        <v>349</v>
      </c>
      <c r="B291" s="6">
        <v>45927</v>
      </c>
      <c r="C291" s="7" t="s">
        <v>44</v>
      </c>
      <c r="D291" s="7" t="s">
        <v>20</v>
      </c>
      <c r="E291" s="7" t="s">
        <v>21</v>
      </c>
      <c r="F291" s="7" t="s">
        <v>22</v>
      </c>
      <c r="G291" s="7" t="s">
        <v>36</v>
      </c>
      <c r="H291" s="7" t="s">
        <v>31</v>
      </c>
      <c r="I291" s="7">
        <v>31</v>
      </c>
      <c r="J291" s="7">
        <v>83</v>
      </c>
      <c r="K291" s="20">
        <v>22786.7</v>
      </c>
      <c r="L291" s="20">
        <v>222.78</v>
      </c>
      <c r="M291" s="7">
        <v>158.25</v>
      </c>
      <c r="N291" s="20">
        <f>Table15[[#This Row],[Processing Fee]]-Table15[[#This Row],[Discount Applied]]</f>
        <v>64.53</v>
      </c>
      <c r="O291" s="7" t="str">
        <f>IF(Table15[[#This Row],[Revenue]]&gt;35000,"Achieved","Not Achieved")</f>
        <v>Not Achieved</v>
      </c>
      <c r="P291" s="8">
        <v>4</v>
      </c>
      <c r="Q291" s="7" t="str">
        <f>IF(AND(Table15[[#This Row],[CSAT Score]]&lt;=3,Table15[[#This Row],[Revenue]]&gt;=20000),"High-Risk","Stable")</f>
        <v>Stable</v>
      </c>
      <c r="R291" s="8" t="str" cm="1">
        <f t="array" ref="R291">_xlfn.IFS(Table15[[#This Row],[Revenue]]&gt;=35000,"Platinum",Table15[[#This Row],[Revenue]]&gt;=15000,"Gold",TRUE,"Standard")</f>
        <v>Gold</v>
      </c>
      <c r="S291" s="8" t="str">
        <f>IF(OR(Table15[[#This Row],[Product]]="Wealth Management",Table15[[#This Row],[Revenue]]&gt;=40000),"Yes","No")</f>
        <v>Yes</v>
      </c>
    </row>
    <row r="292" spans="1:19" x14ac:dyDescent="0.3">
      <c r="A292" s="5" t="s">
        <v>350</v>
      </c>
      <c r="B292" s="6">
        <v>46048</v>
      </c>
      <c r="C292" s="7" t="s">
        <v>91</v>
      </c>
      <c r="D292" s="7" t="s">
        <v>68</v>
      </c>
      <c r="E292" s="7" t="s">
        <v>28</v>
      </c>
      <c r="F292" s="7" t="s">
        <v>35</v>
      </c>
      <c r="G292" s="7" t="s">
        <v>30</v>
      </c>
      <c r="H292" s="7" t="s">
        <v>31</v>
      </c>
      <c r="I292" s="7">
        <v>41</v>
      </c>
      <c r="J292" s="7">
        <v>42</v>
      </c>
      <c r="K292" s="20">
        <v>13110.06</v>
      </c>
      <c r="L292" s="20">
        <v>250</v>
      </c>
      <c r="M292" s="7">
        <v>247.46</v>
      </c>
      <c r="N292" s="20">
        <f>Table15[[#This Row],[Processing Fee]]-Table15[[#This Row],[Discount Applied]]</f>
        <v>2.539999999999992</v>
      </c>
      <c r="O292" s="7" t="str">
        <f>IF(Table15[[#This Row],[Revenue]]&gt;35000,"Achieved","Not Achieved")</f>
        <v>Not Achieved</v>
      </c>
      <c r="P292" s="8">
        <v>3</v>
      </c>
      <c r="Q292" s="7" t="str">
        <f>IF(AND(Table15[[#This Row],[CSAT Score]]&lt;=3,Table15[[#This Row],[Revenue]]&gt;=20000),"High-Risk","Stable")</f>
        <v>Stable</v>
      </c>
      <c r="R292" s="8" t="str" cm="1">
        <f t="array" ref="R292">_xlfn.IFS(Table15[[#This Row],[Revenue]]&gt;=35000,"Platinum",Table15[[#This Row],[Revenue]]&gt;=15000,"Gold",TRUE,"Standard")</f>
        <v>Standard</v>
      </c>
      <c r="S292" s="8" t="str">
        <f>IF(OR(Table15[[#This Row],[Product]]="Wealth Management",Table15[[#This Row],[Revenue]]&gt;=40000),"Yes","No")</f>
        <v>No</v>
      </c>
    </row>
    <row r="293" spans="1:19" x14ac:dyDescent="0.3">
      <c r="A293" s="5" t="s">
        <v>351</v>
      </c>
      <c r="B293" s="6">
        <v>46063</v>
      </c>
      <c r="C293" s="7" t="s">
        <v>42</v>
      </c>
      <c r="D293" s="7" t="s">
        <v>27</v>
      </c>
      <c r="E293" s="7" t="s">
        <v>46</v>
      </c>
      <c r="F293" s="7" t="s">
        <v>29</v>
      </c>
      <c r="G293" s="7" t="s">
        <v>56</v>
      </c>
      <c r="H293" s="7" t="s">
        <v>53</v>
      </c>
      <c r="I293" s="7">
        <v>24</v>
      </c>
      <c r="J293" s="7">
        <v>17</v>
      </c>
      <c r="K293" s="20">
        <v>17918.3</v>
      </c>
      <c r="L293" s="20">
        <v>113.73</v>
      </c>
      <c r="M293" s="7">
        <v>171.32</v>
      </c>
      <c r="N293" s="20">
        <f>Table15[[#This Row],[Processing Fee]]-Table15[[#This Row],[Discount Applied]]</f>
        <v>-57.589999999999989</v>
      </c>
      <c r="O293" s="7" t="str">
        <f>IF(Table15[[#This Row],[Revenue]]&gt;35000,"Achieved","Not Achieved")</f>
        <v>Not Achieved</v>
      </c>
      <c r="P293" s="8">
        <v>4</v>
      </c>
      <c r="Q293" s="7" t="str">
        <f>IF(AND(Table15[[#This Row],[CSAT Score]]&lt;=3,Table15[[#This Row],[Revenue]]&gt;=20000),"High-Risk","Stable")</f>
        <v>Stable</v>
      </c>
      <c r="R293" s="8" t="str" cm="1">
        <f t="array" ref="R293">_xlfn.IFS(Table15[[#This Row],[Revenue]]&gt;=35000,"Platinum",Table15[[#This Row],[Revenue]]&gt;=15000,"Gold",TRUE,"Standard")</f>
        <v>Gold</v>
      </c>
      <c r="S293" s="8" t="str">
        <f>IF(OR(Table15[[#This Row],[Product]]="Wealth Management",Table15[[#This Row],[Revenue]]&gt;=40000),"Yes","No")</f>
        <v>No</v>
      </c>
    </row>
    <row r="294" spans="1:19" x14ac:dyDescent="0.3">
      <c r="A294" s="5" t="s">
        <v>352</v>
      </c>
      <c r="B294" s="6">
        <v>46160</v>
      </c>
      <c r="C294" s="7" t="s">
        <v>91</v>
      </c>
      <c r="D294" s="7" t="s">
        <v>79</v>
      </c>
      <c r="E294" s="7" t="s">
        <v>21</v>
      </c>
      <c r="F294" s="7" t="s">
        <v>69</v>
      </c>
      <c r="G294" s="7" t="s">
        <v>30</v>
      </c>
      <c r="H294" s="7" t="s">
        <v>24</v>
      </c>
      <c r="I294" s="7">
        <v>27</v>
      </c>
      <c r="J294" s="7">
        <v>63</v>
      </c>
      <c r="K294" s="20">
        <v>35427.96</v>
      </c>
      <c r="L294" s="20">
        <v>96.12</v>
      </c>
      <c r="M294" s="7">
        <v>185.53</v>
      </c>
      <c r="N294" s="20">
        <f>Table15[[#This Row],[Processing Fee]]-Table15[[#This Row],[Discount Applied]]</f>
        <v>-89.41</v>
      </c>
      <c r="O294" s="7" t="str">
        <f>IF(Table15[[#This Row],[Revenue]]&gt;35000,"Achieved","Not Achieved")</f>
        <v>Achieved</v>
      </c>
      <c r="P294" s="8">
        <v>3</v>
      </c>
      <c r="Q294" s="7" t="str">
        <f>IF(AND(Table15[[#This Row],[CSAT Score]]&lt;=3,Table15[[#This Row],[Revenue]]&gt;=20000),"High-Risk","Stable")</f>
        <v>High-Risk</v>
      </c>
      <c r="R294" s="8" t="str" cm="1">
        <f t="array" ref="R294">_xlfn.IFS(Table15[[#This Row],[Revenue]]&gt;=35000,"Platinum",Table15[[#This Row],[Revenue]]&gt;=15000,"Gold",TRUE,"Standard")</f>
        <v>Platinum</v>
      </c>
      <c r="S294" s="8" t="str">
        <f>IF(OR(Table15[[#This Row],[Product]]="Wealth Management",Table15[[#This Row],[Revenue]]&gt;=40000),"Yes","No")</f>
        <v>No</v>
      </c>
    </row>
    <row r="295" spans="1:19" x14ac:dyDescent="0.3">
      <c r="A295" s="5" t="s">
        <v>353</v>
      </c>
      <c r="B295" s="6">
        <v>46107</v>
      </c>
      <c r="C295" s="7" t="s">
        <v>55</v>
      </c>
      <c r="D295" s="7" t="s">
        <v>79</v>
      </c>
      <c r="E295" s="7" t="s">
        <v>39</v>
      </c>
      <c r="F295" s="7" t="s">
        <v>69</v>
      </c>
      <c r="G295" s="7" t="s">
        <v>65</v>
      </c>
      <c r="H295" s="7" t="s">
        <v>31</v>
      </c>
      <c r="I295" s="7">
        <v>46</v>
      </c>
      <c r="J295" s="7">
        <v>45</v>
      </c>
      <c r="K295" s="20">
        <v>26316.77</v>
      </c>
      <c r="L295" s="20">
        <v>290.95999999999998</v>
      </c>
      <c r="M295" s="7">
        <v>284.95999999999998</v>
      </c>
      <c r="N295" s="20">
        <f>Table15[[#This Row],[Processing Fee]]-Table15[[#This Row],[Discount Applied]]</f>
        <v>6</v>
      </c>
      <c r="O295" s="7" t="str">
        <f>IF(Table15[[#This Row],[Revenue]]&gt;35000,"Achieved","Not Achieved")</f>
        <v>Not Achieved</v>
      </c>
      <c r="P295" s="8">
        <v>1</v>
      </c>
      <c r="Q295" s="7" t="str">
        <f>IF(AND(Table15[[#This Row],[CSAT Score]]&lt;=3,Table15[[#This Row],[Revenue]]&gt;=20000),"High-Risk","Stable")</f>
        <v>High-Risk</v>
      </c>
      <c r="R295" s="8" t="str" cm="1">
        <f t="array" ref="R295">_xlfn.IFS(Table15[[#This Row],[Revenue]]&gt;=35000,"Platinum",Table15[[#This Row],[Revenue]]&gt;=15000,"Gold",TRUE,"Standard")</f>
        <v>Gold</v>
      </c>
      <c r="S295" s="8" t="str">
        <f>IF(OR(Table15[[#This Row],[Product]]="Wealth Management",Table15[[#This Row],[Revenue]]&gt;=40000),"Yes","No")</f>
        <v>No</v>
      </c>
    </row>
    <row r="296" spans="1:19" x14ac:dyDescent="0.3">
      <c r="A296" s="5" t="s">
        <v>354</v>
      </c>
      <c r="B296" s="6">
        <v>45957</v>
      </c>
      <c r="C296" s="7" t="s">
        <v>55</v>
      </c>
      <c r="D296" s="7" t="s">
        <v>34</v>
      </c>
      <c r="E296" s="7" t="s">
        <v>46</v>
      </c>
      <c r="F296" s="7" t="s">
        <v>69</v>
      </c>
      <c r="G296" s="7" t="s">
        <v>36</v>
      </c>
      <c r="H296" s="7" t="s">
        <v>53</v>
      </c>
      <c r="I296" s="7">
        <v>67</v>
      </c>
      <c r="J296" s="7">
        <v>77</v>
      </c>
      <c r="K296" s="20">
        <v>6670.05</v>
      </c>
      <c r="L296" s="20">
        <v>88.31</v>
      </c>
      <c r="M296" s="7">
        <v>110.97</v>
      </c>
      <c r="N296" s="20">
        <f>Table15[[#This Row],[Processing Fee]]-Table15[[#This Row],[Discount Applied]]</f>
        <v>-22.659999999999997</v>
      </c>
      <c r="O296" s="7" t="str">
        <f>IF(Table15[[#This Row],[Revenue]]&gt;35000,"Achieved","Not Achieved")</f>
        <v>Not Achieved</v>
      </c>
      <c r="P296" s="8">
        <v>1</v>
      </c>
      <c r="Q296" s="7" t="str">
        <f>IF(AND(Table15[[#This Row],[CSAT Score]]&lt;=3,Table15[[#This Row],[Revenue]]&gt;=20000),"High-Risk","Stable")</f>
        <v>Stable</v>
      </c>
      <c r="R296" s="8" t="str" cm="1">
        <f t="array" ref="R296">_xlfn.IFS(Table15[[#This Row],[Revenue]]&gt;=35000,"Platinum",Table15[[#This Row],[Revenue]]&gt;=15000,"Gold",TRUE,"Standard")</f>
        <v>Standard</v>
      </c>
      <c r="S296" s="8" t="str">
        <f>IF(OR(Table15[[#This Row],[Product]]="Wealth Management",Table15[[#This Row],[Revenue]]&gt;=40000),"Yes","No")</f>
        <v>No</v>
      </c>
    </row>
    <row r="297" spans="1:19" x14ac:dyDescent="0.3">
      <c r="A297" s="5" t="s">
        <v>355</v>
      </c>
      <c r="B297" s="6">
        <v>45901</v>
      </c>
      <c r="C297" s="7" t="s">
        <v>26</v>
      </c>
      <c r="D297" s="7" t="s">
        <v>52</v>
      </c>
      <c r="E297" s="7" t="s">
        <v>39</v>
      </c>
      <c r="F297" s="7" t="s">
        <v>22</v>
      </c>
      <c r="G297" s="7" t="s">
        <v>65</v>
      </c>
      <c r="H297" s="7" t="s">
        <v>24</v>
      </c>
      <c r="I297" s="7">
        <v>70</v>
      </c>
      <c r="J297" s="7">
        <v>7</v>
      </c>
      <c r="K297" s="20">
        <v>48090.02</v>
      </c>
      <c r="L297" s="20">
        <v>186.33</v>
      </c>
      <c r="M297" s="7">
        <v>68.2</v>
      </c>
      <c r="N297" s="20">
        <f>Table15[[#This Row],[Processing Fee]]-Table15[[#This Row],[Discount Applied]]</f>
        <v>118.13000000000001</v>
      </c>
      <c r="O297" s="7" t="str">
        <f>IF(Table15[[#This Row],[Revenue]]&gt;35000,"Achieved","Not Achieved")</f>
        <v>Achieved</v>
      </c>
      <c r="P297" s="8">
        <v>2</v>
      </c>
      <c r="Q297" s="7" t="str">
        <f>IF(AND(Table15[[#This Row],[CSAT Score]]&lt;=3,Table15[[#This Row],[Revenue]]&gt;=20000),"High-Risk","Stable")</f>
        <v>High-Risk</v>
      </c>
      <c r="R297" s="8" t="str" cm="1">
        <f t="array" ref="R297">_xlfn.IFS(Table15[[#This Row],[Revenue]]&gt;=35000,"Platinum",Table15[[#This Row],[Revenue]]&gt;=15000,"Gold",TRUE,"Standard")</f>
        <v>Platinum</v>
      </c>
      <c r="S297" s="8" t="str">
        <f>IF(OR(Table15[[#This Row],[Product]]="Wealth Management",Table15[[#This Row],[Revenue]]&gt;=40000),"Yes","No")</f>
        <v>Yes</v>
      </c>
    </row>
    <row r="298" spans="1:19" x14ac:dyDescent="0.3">
      <c r="A298" s="5" t="s">
        <v>356</v>
      </c>
      <c r="B298" s="6">
        <v>46000</v>
      </c>
      <c r="C298" s="7" t="s">
        <v>75</v>
      </c>
      <c r="D298" s="7" t="s">
        <v>63</v>
      </c>
      <c r="E298" s="7" t="s">
        <v>46</v>
      </c>
      <c r="F298" s="7" t="s">
        <v>22</v>
      </c>
      <c r="G298" s="7" t="s">
        <v>23</v>
      </c>
      <c r="H298" s="7" t="s">
        <v>57</v>
      </c>
      <c r="I298" s="7">
        <v>32</v>
      </c>
      <c r="J298" s="7">
        <v>27</v>
      </c>
      <c r="K298" s="20">
        <v>31977.58</v>
      </c>
      <c r="L298" s="20">
        <v>385.07</v>
      </c>
      <c r="M298" s="7">
        <v>192.37</v>
      </c>
      <c r="N298" s="20">
        <f>Table15[[#This Row],[Processing Fee]]-Table15[[#This Row],[Discount Applied]]</f>
        <v>192.7</v>
      </c>
      <c r="O298" s="7" t="str">
        <f>IF(Table15[[#This Row],[Revenue]]&gt;35000,"Achieved","Not Achieved")</f>
        <v>Not Achieved</v>
      </c>
      <c r="P298" s="8">
        <v>3</v>
      </c>
      <c r="Q298" s="7" t="str">
        <f>IF(AND(Table15[[#This Row],[CSAT Score]]&lt;=3,Table15[[#This Row],[Revenue]]&gt;=20000),"High-Risk","Stable")</f>
        <v>High-Risk</v>
      </c>
      <c r="R298" s="8" t="str" cm="1">
        <f t="array" ref="R298">_xlfn.IFS(Table15[[#This Row],[Revenue]]&gt;=35000,"Platinum",Table15[[#This Row],[Revenue]]&gt;=15000,"Gold",TRUE,"Standard")</f>
        <v>Gold</v>
      </c>
      <c r="S298" s="8" t="str">
        <f>IF(OR(Table15[[#This Row],[Product]]="Wealth Management",Table15[[#This Row],[Revenue]]&gt;=40000),"Yes","No")</f>
        <v>Yes</v>
      </c>
    </row>
    <row r="299" spans="1:19" x14ac:dyDescent="0.3">
      <c r="A299" s="5" t="s">
        <v>357</v>
      </c>
      <c r="B299" s="6">
        <v>45963</v>
      </c>
      <c r="C299" s="7" t="s">
        <v>19</v>
      </c>
      <c r="D299" s="7" t="s">
        <v>77</v>
      </c>
      <c r="E299" s="7" t="s">
        <v>28</v>
      </c>
      <c r="F299" s="7" t="s">
        <v>29</v>
      </c>
      <c r="G299" s="7" t="s">
        <v>36</v>
      </c>
      <c r="H299" s="7" t="s">
        <v>24</v>
      </c>
      <c r="I299" s="7">
        <v>51</v>
      </c>
      <c r="J299" s="7">
        <v>10</v>
      </c>
      <c r="K299" s="20">
        <v>38410.49</v>
      </c>
      <c r="L299" s="20">
        <v>483.99</v>
      </c>
      <c r="M299" s="7">
        <v>109.48</v>
      </c>
      <c r="N299" s="20">
        <f>Table15[[#This Row],[Processing Fee]]-Table15[[#This Row],[Discount Applied]]</f>
        <v>374.51</v>
      </c>
      <c r="O299" s="7" t="str">
        <f>IF(Table15[[#This Row],[Revenue]]&gt;35000,"Achieved","Not Achieved")</f>
        <v>Achieved</v>
      </c>
      <c r="P299" s="8">
        <v>3</v>
      </c>
      <c r="Q299" s="7" t="str">
        <f>IF(AND(Table15[[#This Row],[CSAT Score]]&lt;=3,Table15[[#This Row],[Revenue]]&gt;=20000),"High-Risk","Stable")</f>
        <v>High-Risk</v>
      </c>
      <c r="R299" s="8" t="str" cm="1">
        <f t="array" ref="R299">_xlfn.IFS(Table15[[#This Row],[Revenue]]&gt;=35000,"Platinum",Table15[[#This Row],[Revenue]]&gt;=15000,"Gold",TRUE,"Standard")</f>
        <v>Platinum</v>
      </c>
      <c r="S299" s="8" t="str">
        <f>IF(OR(Table15[[#This Row],[Product]]="Wealth Management",Table15[[#This Row],[Revenue]]&gt;=40000),"Yes","No")</f>
        <v>No</v>
      </c>
    </row>
    <row r="300" spans="1:19" x14ac:dyDescent="0.3">
      <c r="A300" s="5" t="s">
        <v>358</v>
      </c>
      <c r="B300" s="6">
        <v>46001</v>
      </c>
      <c r="C300" s="7" t="s">
        <v>33</v>
      </c>
      <c r="D300" s="7" t="s">
        <v>38</v>
      </c>
      <c r="E300" s="7" t="s">
        <v>21</v>
      </c>
      <c r="F300" s="7" t="s">
        <v>35</v>
      </c>
      <c r="G300" s="7" t="s">
        <v>65</v>
      </c>
      <c r="H300" s="7" t="s">
        <v>31</v>
      </c>
      <c r="I300" s="7">
        <v>37</v>
      </c>
      <c r="J300" s="7">
        <v>34</v>
      </c>
      <c r="K300" s="20">
        <v>4421.05</v>
      </c>
      <c r="L300" s="20">
        <v>373.04</v>
      </c>
      <c r="M300" s="7">
        <v>19.27</v>
      </c>
      <c r="N300" s="20">
        <f>Table15[[#This Row],[Processing Fee]]-Table15[[#This Row],[Discount Applied]]</f>
        <v>353.77000000000004</v>
      </c>
      <c r="O300" s="7" t="str">
        <f>IF(Table15[[#This Row],[Revenue]]&gt;35000,"Achieved","Not Achieved")</f>
        <v>Not Achieved</v>
      </c>
      <c r="P300" s="8">
        <v>4</v>
      </c>
      <c r="Q300" s="7" t="str">
        <f>IF(AND(Table15[[#This Row],[CSAT Score]]&lt;=3,Table15[[#This Row],[Revenue]]&gt;=20000),"High-Risk","Stable")</f>
        <v>Stable</v>
      </c>
      <c r="R300" s="8" t="str" cm="1">
        <f t="array" ref="R300">_xlfn.IFS(Table15[[#This Row],[Revenue]]&gt;=35000,"Platinum",Table15[[#This Row],[Revenue]]&gt;=15000,"Gold",TRUE,"Standard")</f>
        <v>Standard</v>
      </c>
      <c r="S300" s="8" t="str">
        <f>IF(OR(Table15[[#This Row],[Product]]="Wealth Management",Table15[[#This Row],[Revenue]]&gt;=40000),"Yes","No")</f>
        <v>No</v>
      </c>
    </row>
    <row r="301" spans="1:19" x14ac:dyDescent="0.3">
      <c r="A301" s="5" t="s">
        <v>359</v>
      </c>
      <c r="B301" s="6">
        <v>46088</v>
      </c>
      <c r="C301" s="7" t="s">
        <v>44</v>
      </c>
      <c r="D301" s="7" t="s">
        <v>45</v>
      </c>
      <c r="E301" s="7" t="s">
        <v>46</v>
      </c>
      <c r="F301" s="7" t="s">
        <v>29</v>
      </c>
      <c r="G301" s="7" t="s">
        <v>56</v>
      </c>
      <c r="H301" s="7" t="s">
        <v>31</v>
      </c>
      <c r="I301" s="7">
        <v>53</v>
      </c>
      <c r="J301" s="7">
        <v>36</v>
      </c>
      <c r="K301" s="20">
        <v>2829.39</v>
      </c>
      <c r="L301" s="20">
        <v>496.68</v>
      </c>
      <c r="M301" s="7">
        <v>192.84</v>
      </c>
      <c r="N301" s="20">
        <f>Table15[[#This Row],[Processing Fee]]-Table15[[#This Row],[Discount Applied]]</f>
        <v>303.84000000000003</v>
      </c>
      <c r="O301" s="7" t="str">
        <f>IF(Table15[[#This Row],[Revenue]]&gt;35000,"Achieved","Not Achieved")</f>
        <v>Not Achieved</v>
      </c>
      <c r="P301" s="8">
        <v>4</v>
      </c>
      <c r="Q301" s="7" t="str">
        <f>IF(AND(Table15[[#This Row],[CSAT Score]]&lt;=3,Table15[[#This Row],[Revenue]]&gt;=20000),"High-Risk","Stable")</f>
        <v>Stable</v>
      </c>
      <c r="R301" s="8" t="str" cm="1">
        <f t="array" ref="R301">_xlfn.IFS(Table15[[#This Row],[Revenue]]&gt;=35000,"Platinum",Table15[[#This Row],[Revenue]]&gt;=15000,"Gold",TRUE,"Standard")</f>
        <v>Standard</v>
      </c>
      <c r="S301" s="8" t="str">
        <f>IF(OR(Table15[[#This Row],[Product]]="Wealth Management",Table15[[#This Row],[Revenue]]&gt;=40000),"Yes","No")</f>
        <v>No</v>
      </c>
    </row>
    <row r="302" spans="1:19" x14ac:dyDescent="0.3">
      <c r="A302" s="5" t="s">
        <v>360</v>
      </c>
      <c r="B302" s="6">
        <v>46215</v>
      </c>
      <c r="C302" s="7" t="s">
        <v>91</v>
      </c>
      <c r="D302" s="7" t="s">
        <v>20</v>
      </c>
      <c r="E302" s="7" t="s">
        <v>59</v>
      </c>
      <c r="F302" s="7" t="s">
        <v>40</v>
      </c>
      <c r="G302" s="7" t="s">
        <v>36</v>
      </c>
      <c r="H302" s="7" t="s">
        <v>31</v>
      </c>
      <c r="I302" s="7">
        <v>31</v>
      </c>
      <c r="J302" s="7">
        <v>25</v>
      </c>
      <c r="K302" s="20">
        <v>1462.68</v>
      </c>
      <c r="L302" s="20">
        <v>364.25</v>
      </c>
      <c r="M302" s="7">
        <v>176.31</v>
      </c>
      <c r="N302" s="20">
        <f>Table15[[#This Row],[Processing Fee]]-Table15[[#This Row],[Discount Applied]]</f>
        <v>187.94</v>
      </c>
      <c r="O302" s="7" t="str">
        <f>IF(Table15[[#This Row],[Revenue]]&gt;35000,"Achieved","Not Achieved")</f>
        <v>Not Achieved</v>
      </c>
      <c r="P302" s="8">
        <v>3</v>
      </c>
      <c r="Q302" s="7" t="str">
        <f>IF(AND(Table15[[#This Row],[CSAT Score]]&lt;=3,Table15[[#This Row],[Revenue]]&gt;=20000),"High-Risk","Stable")</f>
        <v>Stable</v>
      </c>
      <c r="R302" s="8" t="str" cm="1">
        <f t="array" ref="R302">_xlfn.IFS(Table15[[#This Row],[Revenue]]&gt;=35000,"Platinum",Table15[[#This Row],[Revenue]]&gt;=15000,"Gold",TRUE,"Standard")</f>
        <v>Standard</v>
      </c>
      <c r="S302" s="8" t="str">
        <f>IF(OR(Table15[[#This Row],[Product]]="Wealth Management",Table15[[#This Row],[Revenue]]&gt;=40000),"Yes","No")</f>
        <v>No</v>
      </c>
    </row>
    <row r="303" spans="1:19" x14ac:dyDescent="0.3">
      <c r="A303" s="5" t="s">
        <v>361</v>
      </c>
      <c r="B303" s="6">
        <v>45890</v>
      </c>
      <c r="C303" s="7" t="s">
        <v>91</v>
      </c>
      <c r="D303" s="7" t="s">
        <v>48</v>
      </c>
      <c r="E303" s="7" t="s">
        <v>59</v>
      </c>
      <c r="F303" s="7" t="s">
        <v>69</v>
      </c>
      <c r="G303" s="7" t="s">
        <v>36</v>
      </c>
      <c r="H303" s="7" t="s">
        <v>31</v>
      </c>
      <c r="I303" s="7">
        <v>48</v>
      </c>
      <c r="J303" s="7">
        <v>6</v>
      </c>
      <c r="K303" s="20">
        <v>9845.2999999999993</v>
      </c>
      <c r="L303" s="20">
        <v>182.21</v>
      </c>
      <c r="M303" s="7">
        <v>268.74</v>
      </c>
      <c r="N303" s="20">
        <f>Table15[[#This Row],[Processing Fee]]-Table15[[#This Row],[Discount Applied]]</f>
        <v>-86.53</v>
      </c>
      <c r="O303" s="7" t="str">
        <f>IF(Table15[[#This Row],[Revenue]]&gt;35000,"Achieved","Not Achieved")</f>
        <v>Not Achieved</v>
      </c>
      <c r="P303" s="8">
        <v>2</v>
      </c>
      <c r="Q303" s="7" t="str">
        <f>IF(AND(Table15[[#This Row],[CSAT Score]]&lt;=3,Table15[[#This Row],[Revenue]]&gt;=20000),"High-Risk","Stable")</f>
        <v>Stable</v>
      </c>
      <c r="R303" s="8" t="str" cm="1">
        <f t="array" ref="R303">_xlfn.IFS(Table15[[#This Row],[Revenue]]&gt;=35000,"Platinum",Table15[[#This Row],[Revenue]]&gt;=15000,"Gold",TRUE,"Standard")</f>
        <v>Standard</v>
      </c>
      <c r="S303" s="8" t="str">
        <f>IF(OR(Table15[[#This Row],[Product]]="Wealth Management",Table15[[#This Row],[Revenue]]&gt;=40000),"Yes","No")</f>
        <v>No</v>
      </c>
    </row>
    <row r="304" spans="1:19" x14ac:dyDescent="0.3">
      <c r="A304" s="5" t="s">
        <v>362</v>
      </c>
      <c r="B304" s="6">
        <v>46031</v>
      </c>
      <c r="C304" s="7" t="s">
        <v>42</v>
      </c>
      <c r="D304" s="7" t="s">
        <v>77</v>
      </c>
      <c r="E304" s="7" t="s">
        <v>46</v>
      </c>
      <c r="F304" s="7" t="s">
        <v>69</v>
      </c>
      <c r="G304" s="7" t="s">
        <v>30</v>
      </c>
      <c r="H304" s="7" t="s">
        <v>31</v>
      </c>
      <c r="I304" s="7">
        <v>52</v>
      </c>
      <c r="J304" s="7">
        <v>24</v>
      </c>
      <c r="K304" s="20">
        <v>21013.22</v>
      </c>
      <c r="L304" s="20">
        <v>352.42</v>
      </c>
      <c r="M304" s="7">
        <v>195.96</v>
      </c>
      <c r="N304" s="20">
        <f>Table15[[#This Row],[Processing Fee]]-Table15[[#This Row],[Discount Applied]]</f>
        <v>156.46</v>
      </c>
      <c r="O304" s="7" t="str">
        <f>IF(Table15[[#This Row],[Revenue]]&gt;35000,"Achieved","Not Achieved")</f>
        <v>Not Achieved</v>
      </c>
      <c r="P304" s="8">
        <v>3</v>
      </c>
      <c r="Q304" s="7" t="str">
        <f>IF(AND(Table15[[#This Row],[CSAT Score]]&lt;=3,Table15[[#This Row],[Revenue]]&gt;=20000),"High-Risk","Stable")</f>
        <v>High-Risk</v>
      </c>
      <c r="R304" s="8" t="str" cm="1">
        <f t="array" ref="R304">_xlfn.IFS(Table15[[#This Row],[Revenue]]&gt;=35000,"Platinum",Table15[[#This Row],[Revenue]]&gt;=15000,"Gold",TRUE,"Standard")</f>
        <v>Gold</v>
      </c>
      <c r="S304" s="8" t="str">
        <f>IF(OR(Table15[[#This Row],[Product]]="Wealth Management",Table15[[#This Row],[Revenue]]&gt;=40000),"Yes","No")</f>
        <v>No</v>
      </c>
    </row>
    <row r="305" spans="1:19" x14ac:dyDescent="0.3">
      <c r="A305" s="5" t="s">
        <v>363</v>
      </c>
      <c r="B305" s="6">
        <v>45983</v>
      </c>
      <c r="C305" s="7" t="s">
        <v>75</v>
      </c>
      <c r="D305" s="7" t="s">
        <v>68</v>
      </c>
      <c r="E305" s="7" t="s">
        <v>46</v>
      </c>
      <c r="F305" s="7" t="s">
        <v>69</v>
      </c>
      <c r="G305" s="7" t="s">
        <v>56</v>
      </c>
      <c r="H305" s="7" t="s">
        <v>53</v>
      </c>
      <c r="I305" s="7">
        <v>21</v>
      </c>
      <c r="J305" s="7">
        <v>18</v>
      </c>
      <c r="K305" s="20">
        <v>46823.39</v>
      </c>
      <c r="L305" s="20">
        <v>365.97</v>
      </c>
      <c r="M305" s="7">
        <v>69.81</v>
      </c>
      <c r="N305" s="20">
        <f>Table15[[#This Row],[Processing Fee]]-Table15[[#This Row],[Discount Applied]]</f>
        <v>296.16000000000003</v>
      </c>
      <c r="O305" s="7" t="str">
        <f>IF(Table15[[#This Row],[Revenue]]&gt;35000,"Achieved","Not Achieved")</f>
        <v>Achieved</v>
      </c>
      <c r="P305" s="8">
        <v>4</v>
      </c>
      <c r="Q305" s="7" t="str">
        <f>IF(AND(Table15[[#This Row],[CSAT Score]]&lt;=3,Table15[[#This Row],[Revenue]]&gt;=20000),"High-Risk","Stable")</f>
        <v>Stable</v>
      </c>
      <c r="R305" s="8" t="str" cm="1">
        <f t="array" ref="R305">_xlfn.IFS(Table15[[#This Row],[Revenue]]&gt;=35000,"Platinum",Table15[[#This Row],[Revenue]]&gt;=15000,"Gold",TRUE,"Standard")</f>
        <v>Platinum</v>
      </c>
      <c r="S305" s="8" t="str">
        <f>IF(OR(Table15[[#This Row],[Product]]="Wealth Management",Table15[[#This Row],[Revenue]]&gt;=40000),"Yes","No")</f>
        <v>Yes</v>
      </c>
    </row>
    <row r="306" spans="1:19" x14ac:dyDescent="0.3">
      <c r="A306" s="5" t="s">
        <v>364</v>
      </c>
      <c r="B306" s="6">
        <v>46130</v>
      </c>
      <c r="C306" s="7" t="s">
        <v>55</v>
      </c>
      <c r="D306" s="7" t="s">
        <v>83</v>
      </c>
      <c r="E306" s="7" t="s">
        <v>46</v>
      </c>
      <c r="F306" s="7" t="s">
        <v>29</v>
      </c>
      <c r="G306" s="7" t="s">
        <v>23</v>
      </c>
      <c r="H306" s="7" t="s">
        <v>31</v>
      </c>
      <c r="I306" s="7">
        <v>67</v>
      </c>
      <c r="J306" s="7">
        <v>87</v>
      </c>
      <c r="K306" s="20">
        <v>23124.45</v>
      </c>
      <c r="L306" s="20">
        <v>217.28</v>
      </c>
      <c r="M306" s="7">
        <v>289.88</v>
      </c>
      <c r="N306" s="20">
        <f>Table15[[#This Row],[Processing Fee]]-Table15[[#This Row],[Discount Applied]]</f>
        <v>-72.599999999999994</v>
      </c>
      <c r="O306" s="7" t="str">
        <f>IF(Table15[[#This Row],[Revenue]]&gt;35000,"Achieved","Not Achieved")</f>
        <v>Not Achieved</v>
      </c>
      <c r="P306" s="8">
        <v>3</v>
      </c>
      <c r="Q306" s="7" t="str">
        <f>IF(AND(Table15[[#This Row],[CSAT Score]]&lt;=3,Table15[[#This Row],[Revenue]]&gt;=20000),"High-Risk","Stable")</f>
        <v>High-Risk</v>
      </c>
      <c r="R306" s="8" t="str" cm="1">
        <f t="array" ref="R306">_xlfn.IFS(Table15[[#This Row],[Revenue]]&gt;=35000,"Platinum",Table15[[#This Row],[Revenue]]&gt;=15000,"Gold",TRUE,"Standard")</f>
        <v>Gold</v>
      </c>
      <c r="S306" s="8" t="str">
        <f>IF(OR(Table15[[#This Row],[Product]]="Wealth Management",Table15[[#This Row],[Revenue]]&gt;=40000),"Yes","No")</f>
        <v>No</v>
      </c>
    </row>
    <row r="307" spans="1:19" x14ac:dyDescent="0.3">
      <c r="A307" s="5" t="s">
        <v>365</v>
      </c>
      <c r="B307" s="6">
        <v>45876</v>
      </c>
      <c r="C307" s="7" t="s">
        <v>33</v>
      </c>
      <c r="D307" s="7" t="s">
        <v>79</v>
      </c>
      <c r="E307" s="7" t="s">
        <v>59</v>
      </c>
      <c r="F307" s="7" t="s">
        <v>29</v>
      </c>
      <c r="G307" s="7" t="s">
        <v>65</v>
      </c>
      <c r="H307" s="7" t="s">
        <v>53</v>
      </c>
      <c r="I307" s="7">
        <v>48</v>
      </c>
      <c r="J307" s="7">
        <v>6</v>
      </c>
      <c r="K307" s="20">
        <v>14867.63</v>
      </c>
      <c r="L307" s="20">
        <v>57.97</v>
      </c>
      <c r="M307" s="7">
        <v>160.32</v>
      </c>
      <c r="N307" s="20">
        <f>Table15[[#This Row],[Processing Fee]]-Table15[[#This Row],[Discount Applied]]</f>
        <v>-102.35</v>
      </c>
      <c r="O307" s="7" t="str">
        <f>IF(Table15[[#This Row],[Revenue]]&gt;35000,"Achieved","Not Achieved")</f>
        <v>Not Achieved</v>
      </c>
      <c r="P307" s="8">
        <v>4</v>
      </c>
      <c r="Q307" s="7" t="str">
        <f>IF(AND(Table15[[#This Row],[CSAT Score]]&lt;=3,Table15[[#This Row],[Revenue]]&gt;=20000),"High-Risk","Stable")</f>
        <v>Stable</v>
      </c>
      <c r="R307" s="8" t="str" cm="1">
        <f t="array" ref="R307">_xlfn.IFS(Table15[[#This Row],[Revenue]]&gt;=35000,"Platinum",Table15[[#This Row],[Revenue]]&gt;=15000,"Gold",TRUE,"Standard")</f>
        <v>Standard</v>
      </c>
      <c r="S307" s="8" t="str">
        <f>IF(OR(Table15[[#This Row],[Product]]="Wealth Management",Table15[[#This Row],[Revenue]]&gt;=40000),"Yes","No")</f>
        <v>No</v>
      </c>
    </row>
    <row r="308" spans="1:19" x14ac:dyDescent="0.3">
      <c r="A308" s="5" t="s">
        <v>366</v>
      </c>
      <c r="B308" s="6">
        <v>45946</v>
      </c>
      <c r="C308" s="7" t="s">
        <v>26</v>
      </c>
      <c r="D308" s="7" t="s">
        <v>83</v>
      </c>
      <c r="E308" s="7" t="s">
        <v>59</v>
      </c>
      <c r="F308" s="7" t="s">
        <v>69</v>
      </c>
      <c r="G308" s="7" t="s">
        <v>30</v>
      </c>
      <c r="H308" s="7" t="s">
        <v>57</v>
      </c>
      <c r="I308" s="7">
        <v>73</v>
      </c>
      <c r="J308" s="7">
        <v>29</v>
      </c>
      <c r="K308" s="20">
        <v>28315.8</v>
      </c>
      <c r="L308" s="20">
        <v>366.44</v>
      </c>
      <c r="M308" s="7">
        <v>126.08</v>
      </c>
      <c r="N308" s="20">
        <f>Table15[[#This Row],[Processing Fee]]-Table15[[#This Row],[Discount Applied]]</f>
        <v>240.36</v>
      </c>
      <c r="O308" s="7" t="str">
        <f>IF(Table15[[#This Row],[Revenue]]&gt;35000,"Achieved","Not Achieved")</f>
        <v>Not Achieved</v>
      </c>
      <c r="P308" s="8">
        <v>3</v>
      </c>
      <c r="Q308" s="7" t="str">
        <f>IF(AND(Table15[[#This Row],[CSAT Score]]&lt;=3,Table15[[#This Row],[Revenue]]&gt;=20000),"High-Risk","Stable")</f>
        <v>High-Risk</v>
      </c>
      <c r="R308" s="8" t="str" cm="1">
        <f t="array" ref="R308">_xlfn.IFS(Table15[[#This Row],[Revenue]]&gt;=35000,"Platinum",Table15[[#This Row],[Revenue]]&gt;=15000,"Gold",TRUE,"Standard")</f>
        <v>Gold</v>
      </c>
      <c r="S308" s="8" t="str">
        <f>IF(OR(Table15[[#This Row],[Product]]="Wealth Management",Table15[[#This Row],[Revenue]]&gt;=40000),"Yes","No")</f>
        <v>No</v>
      </c>
    </row>
    <row r="309" spans="1:19" x14ac:dyDescent="0.3">
      <c r="A309" s="5" t="s">
        <v>367</v>
      </c>
      <c r="B309" s="6">
        <v>46024</v>
      </c>
      <c r="C309" s="7" t="s">
        <v>55</v>
      </c>
      <c r="D309" s="7" t="s">
        <v>50</v>
      </c>
      <c r="E309" s="7" t="s">
        <v>46</v>
      </c>
      <c r="F309" s="7" t="s">
        <v>29</v>
      </c>
      <c r="G309" s="7" t="s">
        <v>65</v>
      </c>
      <c r="H309" s="7" t="s">
        <v>31</v>
      </c>
      <c r="I309" s="7">
        <v>62</v>
      </c>
      <c r="J309" s="7">
        <v>25</v>
      </c>
      <c r="K309" s="20">
        <v>6040.76</v>
      </c>
      <c r="L309" s="20">
        <v>59.77</v>
      </c>
      <c r="M309" s="7">
        <v>87.88</v>
      </c>
      <c r="N309" s="20">
        <f>Table15[[#This Row],[Processing Fee]]-Table15[[#This Row],[Discount Applied]]</f>
        <v>-28.109999999999992</v>
      </c>
      <c r="O309" s="7" t="str">
        <f>IF(Table15[[#This Row],[Revenue]]&gt;35000,"Achieved","Not Achieved")</f>
        <v>Not Achieved</v>
      </c>
      <c r="P309" s="8">
        <v>5</v>
      </c>
      <c r="Q309" s="7" t="str">
        <f>IF(AND(Table15[[#This Row],[CSAT Score]]&lt;=3,Table15[[#This Row],[Revenue]]&gt;=20000),"High-Risk","Stable")</f>
        <v>Stable</v>
      </c>
      <c r="R309" s="8" t="str" cm="1">
        <f t="array" ref="R309">_xlfn.IFS(Table15[[#This Row],[Revenue]]&gt;=35000,"Platinum",Table15[[#This Row],[Revenue]]&gt;=15000,"Gold",TRUE,"Standard")</f>
        <v>Standard</v>
      </c>
      <c r="S309" s="8" t="str">
        <f>IF(OR(Table15[[#This Row],[Product]]="Wealth Management",Table15[[#This Row],[Revenue]]&gt;=40000),"Yes","No")</f>
        <v>No</v>
      </c>
    </row>
    <row r="310" spans="1:19" x14ac:dyDescent="0.3">
      <c r="A310" s="5" t="s">
        <v>368</v>
      </c>
      <c r="B310" s="6">
        <v>46119</v>
      </c>
      <c r="C310" s="7" t="s">
        <v>44</v>
      </c>
      <c r="D310" s="7" t="s">
        <v>20</v>
      </c>
      <c r="E310" s="7" t="s">
        <v>39</v>
      </c>
      <c r="F310" s="7" t="s">
        <v>22</v>
      </c>
      <c r="G310" s="7" t="s">
        <v>23</v>
      </c>
      <c r="H310" s="7" t="s">
        <v>31</v>
      </c>
      <c r="I310" s="7">
        <v>27</v>
      </c>
      <c r="J310" s="7">
        <v>55</v>
      </c>
      <c r="K310" s="20">
        <v>30670.54</v>
      </c>
      <c r="L310" s="20">
        <v>334.03</v>
      </c>
      <c r="M310" s="7">
        <v>112.06</v>
      </c>
      <c r="N310" s="20">
        <f>Table15[[#This Row],[Processing Fee]]-Table15[[#This Row],[Discount Applied]]</f>
        <v>221.96999999999997</v>
      </c>
      <c r="O310" s="7" t="str">
        <f>IF(Table15[[#This Row],[Revenue]]&gt;35000,"Achieved","Not Achieved")</f>
        <v>Not Achieved</v>
      </c>
      <c r="P310" s="8">
        <v>4</v>
      </c>
      <c r="Q310" s="7" t="str">
        <f>IF(AND(Table15[[#This Row],[CSAT Score]]&lt;=3,Table15[[#This Row],[Revenue]]&gt;=20000),"High-Risk","Stable")</f>
        <v>Stable</v>
      </c>
      <c r="R310" s="8" t="str" cm="1">
        <f t="array" ref="R310">_xlfn.IFS(Table15[[#This Row],[Revenue]]&gt;=35000,"Platinum",Table15[[#This Row],[Revenue]]&gt;=15000,"Gold",TRUE,"Standard")</f>
        <v>Gold</v>
      </c>
      <c r="S310" s="8" t="str">
        <f>IF(OR(Table15[[#This Row],[Product]]="Wealth Management",Table15[[#This Row],[Revenue]]&gt;=40000),"Yes","No")</f>
        <v>Yes</v>
      </c>
    </row>
    <row r="311" spans="1:19" x14ac:dyDescent="0.3">
      <c r="A311" s="5" t="s">
        <v>369</v>
      </c>
      <c r="B311" s="6">
        <v>46226</v>
      </c>
      <c r="C311" s="7" t="s">
        <v>75</v>
      </c>
      <c r="D311" s="7" t="s">
        <v>45</v>
      </c>
      <c r="E311" s="7" t="s">
        <v>39</v>
      </c>
      <c r="F311" s="7" t="s">
        <v>22</v>
      </c>
      <c r="G311" s="7" t="s">
        <v>23</v>
      </c>
      <c r="H311" s="7" t="s">
        <v>24</v>
      </c>
      <c r="I311" s="7">
        <v>22</v>
      </c>
      <c r="J311" s="7">
        <v>81</v>
      </c>
      <c r="K311" s="20">
        <v>28637.38</v>
      </c>
      <c r="L311" s="20">
        <v>123.63</v>
      </c>
      <c r="M311" s="7">
        <v>133.99</v>
      </c>
      <c r="N311" s="20">
        <f>Table15[[#This Row],[Processing Fee]]-Table15[[#This Row],[Discount Applied]]</f>
        <v>-10.360000000000014</v>
      </c>
      <c r="O311" s="7" t="str">
        <f>IF(Table15[[#This Row],[Revenue]]&gt;35000,"Achieved","Not Achieved")</f>
        <v>Not Achieved</v>
      </c>
      <c r="P311" s="8">
        <v>2</v>
      </c>
      <c r="Q311" s="7" t="str">
        <f>IF(AND(Table15[[#This Row],[CSAT Score]]&lt;=3,Table15[[#This Row],[Revenue]]&gt;=20000),"High-Risk","Stable")</f>
        <v>High-Risk</v>
      </c>
      <c r="R311" s="8" t="str" cm="1">
        <f t="array" ref="R311">_xlfn.IFS(Table15[[#This Row],[Revenue]]&gt;=35000,"Platinum",Table15[[#This Row],[Revenue]]&gt;=15000,"Gold",TRUE,"Standard")</f>
        <v>Gold</v>
      </c>
      <c r="S311" s="8" t="str">
        <f>IF(OR(Table15[[#This Row],[Product]]="Wealth Management",Table15[[#This Row],[Revenue]]&gt;=40000),"Yes","No")</f>
        <v>Yes</v>
      </c>
    </row>
    <row r="312" spans="1:19" x14ac:dyDescent="0.3">
      <c r="A312" s="5" t="s">
        <v>370</v>
      </c>
      <c r="B312" s="6">
        <v>46230</v>
      </c>
      <c r="C312" s="7" t="s">
        <v>44</v>
      </c>
      <c r="D312" s="7" t="s">
        <v>38</v>
      </c>
      <c r="E312" s="7" t="s">
        <v>28</v>
      </c>
      <c r="F312" s="7" t="s">
        <v>29</v>
      </c>
      <c r="G312" s="7" t="s">
        <v>36</v>
      </c>
      <c r="H312" s="7" t="s">
        <v>57</v>
      </c>
      <c r="I312" s="7">
        <v>62</v>
      </c>
      <c r="J312" s="7">
        <v>46</v>
      </c>
      <c r="K312" s="20">
        <v>39703.660000000003</v>
      </c>
      <c r="L312" s="20">
        <v>304.52</v>
      </c>
      <c r="M312" s="7">
        <v>14.4</v>
      </c>
      <c r="N312" s="20">
        <f>Table15[[#This Row],[Processing Fee]]-Table15[[#This Row],[Discount Applied]]</f>
        <v>290.12</v>
      </c>
      <c r="O312" s="7" t="str">
        <f>IF(Table15[[#This Row],[Revenue]]&gt;35000,"Achieved","Not Achieved")</f>
        <v>Achieved</v>
      </c>
      <c r="P312" s="8">
        <v>5</v>
      </c>
      <c r="Q312" s="7" t="str">
        <f>IF(AND(Table15[[#This Row],[CSAT Score]]&lt;=3,Table15[[#This Row],[Revenue]]&gt;=20000),"High-Risk","Stable")</f>
        <v>Stable</v>
      </c>
      <c r="R312" s="8" t="str" cm="1">
        <f t="array" ref="R312">_xlfn.IFS(Table15[[#This Row],[Revenue]]&gt;=35000,"Platinum",Table15[[#This Row],[Revenue]]&gt;=15000,"Gold",TRUE,"Standard")</f>
        <v>Platinum</v>
      </c>
      <c r="S312" s="8" t="str">
        <f>IF(OR(Table15[[#This Row],[Product]]="Wealth Management",Table15[[#This Row],[Revenue]]&gt;=40000),"Yes","No")</f>
        <v>No</v>
      </c>
    </row>
    <row r="313" spans="1:19" x14ac:dyDescent="0.3">
      <c r="A313" s="5" t="s">
        <v>371</v>
      </c>
      <c r="B313" s="6">
        <v>46007</v>
      </c>
      <c r="C313" s="7" t="s">
        <v>19</v>
      </c>
      <c r="D313" s="7" t="s">
        <v>34</v>
      </c>
      <c r="E313" s="7" t="s">
        <v>21</v>
      </c>
      <c r="F313" s="7" t="s">
        <v>69</v>
      </c>
      <c r="G313" s="7" t="s">
        <v>23</v>
      </c>
      <c r="H313" s="7" t="s">
        <v>31</v>
      </c>
      <c r="I313" s="7">
        <v>44</v>
      </c>
      <c r="J313" s="7">
        <v>24</v>
      </c>
      <c r="K313" s="20">
        <v>49341.04</v>
      </c>
      <c r="L313" s="20">
        <v>276.76</v>
      </c>
      <c r="M313" s="7">
        <v>77.010000000000005</v>
      </c>
      <c r="N313" s="20">
        <f>Table15[[#This Row],[Processing Fee]]-Table15[[#This Row],[Discount Applied]]</f>
        <v>199.75</v>
      </c>
      <c r="O313" s="7" t="str">
        <f>IF(Table15[[#This Row],[Revenue]]&gt;35000,"Achieved","Not Achieved")</f>
        <v>Achieved</v>
      </c>
      <c r="P313" s="8">
        <v>3</v>
      </c>
      <c r="Q313" s="7" t="str">
        <f>IF(AND(Table15[[#This Row],[CSAT Score]]&lt;=3,Table15[[#This Row],[Revenue]]&gt;=20000),"High-Risk","Stable")</f>
        <v>High-Risk</v>
      </c>
      <c r="R313" s="8" t="str" cm="1">
        <f t="array" ref="R313">_xlfn.IFS(Table15[[#This Row],[Revenue]]&gt;=35000,"Platinum",Table15[[#This Row],[Revenue]]&gt;=15000,"Gold",TRUE,"Standard")</f>
        <v>Platinum</v>
      </c>
      <c r="S313" s="8" t="str">
        <f>IF(OR(Table15[[#This Row],[Product]]="Wealth Management",Table15[[#This Row],[Revenue]]&gt;=40000),"Yes","No")</f>
        <v>Yes</v>
      </c>
    </row>
    <row r="314" spans="1:19" x14ac:dyDescent="0.3">
      <c r="A314" s="5" t="s">
        <v>372</v>
      </c>
      <c r="B314" s="6">
        <v>45963</v>
      </c>
      <c r="C314" s="7" t="s">
        <v>26</v>
      </c>
      <c r="D314" s="7" t="s">
        <v>45</v>
      </c>
      <c r="E314" s="7" t="s">
        <v>39</v>
      </c>
      <c r="F314" s="7" t="s">
        <v>29</v>
      </c>
      <c r="G314" s="7" t="s">
        <v>65</v>
      </c>
      <c r="H314" s="7" t="s">
        <v>31</v>
      </c>
      <c r="I314" s="7">
        <v>24</v>
      </c>
      <c r="J314" s="7">
        <v>75</v>
      </c>
      <c r="K314" s="20">
        <v>12918.24</v>
      </c>
      <c r="L314" s="20">
        <v>56.08</v>
      </c>
      <c r="M314" s="7">
        <v>214.17</v>
      </c>
      <c r="N314" s="20">
        <f>Table15[[#This Row],[Processing Fee]]-Table15[[#This Row],[Discount Applied]]</f>
        <v>-158.08999999999997</v>
      </c>
      <c r="O314" s="7" t="str">
        <f>IF(Table15[[#This Row],[Revenue]]&gt;35000,"Achieved","Not Achieved")</f>
        <v>Not Achieved</v>
      </c>
      <c r="P314" s="8">
        <v>4</v>
      </c>
      <c r="Q314" s="7" t="str">
        <f>IF(AND(Table15[[#This Row],[CSAT Score]]&lt;=3,Table15[[#This Row],[Revenue]]&gt;=20000),"High-Risk","Stable")</f>
        <v>Stable</v>
      </c>
      <c r="R314" s="8" t="str" cm="1">
        <f t="array" ref="R314">_xlfn.IFS(Table15[[#This Row],[Revenue]]&gt;=35000,"Platinum",Table15[[#This Row],[Revenue]]&gt;=15000,"Gold",TRUE,"Standard")</f>
        <v>Standard</v>
      </c>
      <c r="S314" s="8" t="str">
        <f>IF(OR(Table15[[#This Row],[Product]]="Wealth Management",Table15[[#This Row],[Revenue]]&gt;=40000),"Yes","No")</f>
        <v>No</v>
      </c>
    </row>
    <row r="315" spans="1:19" x14ac:dyDescent="0.3">
      <c r="A315" s="5" t="s">
        <v>373</v>
      </c>
      <c r="B315" s="6">
        <v>46090</v>
      </c>
      <c r="C315" s="7" t="s">
        <v>19</v>
      </c>
      <c r="D315" s="7" t="s">
        <v>20</v>
      </c>
      <c r="E315" s="7" t="s">
        <v>59</v>
      </c>
      <c r="F315" s="7" t="s">
        <v>29</v>
      </c>
      <c r="G315" s="7" t="s">
        <v>56</v>
      </c>
      <c r="H315" s="7" t="s">
        <v>57</v>
      </c>
      <c r="I315" s="7">
        <v>64</v>
      </c>
      <c r="J315" s="7">
        <v>26</v>
      </c>
      <c r="K315" s="20">
        <v>25727.99</v>
      </c>
      <c r="L315" s="20">
        <v>213.29</v>
      </c>
      <c r="M315" s="7">
        <v>96</v>
      </c>
      <c r="N315" s="20">
        <f>Table15[[#This Row],[Processing Fee]]-Table15[[#This Row],[Discount Applied]]</f>
        <v>117.28999999999999</v>
      </c>
      <c r="O315" s="7" t="str">
        <f>IF(Table15[[#This Row],[Revenue]]&gt;35000,"Achieved","Not Achieved")</f>
        <v>Not Achieved</v>
      </c>
      <c r="P315" s="8">
        <v>5</v>
      </c>
      <c r="Q315" s="7" t="str">
        <f>IF(AND(Table15[[#This Row],[CSAT Score]]&lt;=3,Table15[[#This Row],[Revenue]]&gt;=20000),"High-Risk","Stable")</f>
        <v>Stable</v>
      </c>
      <c r="R315" s="8" t="str" cm="1">
        <f t="array" ref="R315">_xlfn.IFS(Table15[[#This Row],[Revenue]]&gt;=35000,"Platinum",Table15[[#This Row],[Revenue]]&gt;=15000,"Gold",TRUE,"Standard")</f>
        <v>Gold</v>
      </c>
      <c r="S315" s="8" t="str">
        <f>IF(OR(Table15[[#This Row],[Product]]="Wealth Management",Table15[[#This Row],[Revenue]]&gt;=40000),"Yes","No")</f>
        <v>No</v>
      </c>
    </row>
    <row r="316" spans="1:19" x14ac:dyDescent="0.3">
      <c r="A316" s="5" t="s">
        <v>374</v>
      </c>
      <c r="B316" s="6">
        <v>45950</v>
      </c>
      <c r="C316" s="7" t="s">
        <v>42</v>
      </c>
      <c r="D316" s="7" t="s">
        <v>45</v>
      </c>
      <c r="E316" s="7" t="s">
        <v>39</v>
      </c>
      <c r="F316" s="7" t="s">
        <v>29</v>
      </c>
      <c r="G316" s="7" t="s">
        <v>56</v>
      </c>
      <c r="H316" s="7" t="s">
        <v>53</v>
      </c>
      <c r="I316" s="7">
        <v>39</v>
      </c>
      <c r="J316" s="7">
        <v>115</v>
      </c>
      <c r="K316" s="20">
        <v>45488.84</v>
      </c>
      <c r="L316" s="20">
        <v>320.49</v>
      </c>
      <c r="M316" s="7">
        <v>80.48</v>
      </c>
      <c r="N316" s="20">
        <f>Table15[[#This Row],[Processing Fee]]-Table15[[#This Row],[Discount Applied]]</f>
        <v>240.01</v>
      </c>
      <c r="O316" s="7" t="str">
        <f>IF(Table15[[#This Row],[Revenue]]&gt;35000,"Achieved","Not Achieved")</f>
        <v>Achieved</v>
      </c>
      <c r="P316" s="8">
        <v>2</v>
      </c>
      <c r="Q316" s="7" t="str">
        <f>IF(AND(Table15[[#This Row],[CSAT Score]]&lt;=3,Table15[[#This Row],[Revenue]]&gt;=20000),"High-Risk","Stable")</f>
        <v>High-Risk</v>
      </c>
      <c r="R316" s="8" t="str" cm="1">
        <f t="array" ref="R316">_xlfn.IFS(Table15[[#This Row],[Revenue]]&gt;=35000,"Platinum",Table15[[#This Row],[Revenue]]&gt;=15000,"Gold",TRUE,"Standard")</f>
        <v>Platinum</v>
      </c>
      <c r="S316" s="8" t="str">
        <f>IF(OR(Table15[[#This Row],[Product]]="Wealth Management",Table15[[#This Row],[Revenue]]&gt;=40000),"Yes","No")</f>
        <v>Yes</v>
      </c>
    </row>
    <row r="317" spans="1:19" x14ac:dyDescent="0.3">
      <c r="A317" s="5" t="s">
        <v>375</v>
      </c>
      <c r="B317" s="6">
        <v>46063</v>
      </c>
      <c r="C317" s="7" t="s">
        <v>44</v>
      </c>
      <c r="D317" s="7" t="s">
        <v>20</v>
      </c>
      <c r="E317" s="7" t="s">
        <v>28</v>
      </c>
      <c r="F317" s="7" t="s">
        <v>40</v>
      </c>
      <c r="G317" s="7" t="s">
        <v>36</v>
      </c>
      <c r="H317" s="7" t="s">
        <v>31</v>
      </c>
      <c r="I317" s="7">
        <v>46</v>
      </c>
      <c r="J317" s="7">
        <v>98</v>
      </c>
      <c r="K317" s="20">
        <v>39366.9</v>
      </c>
      <c r="L317" s="20">
        <v>431.87</v>
      </c>
      <c r="M317" s="7">
        <v>45.44</v>
      </c>
      <c r="N317" s="20">
        <f>Table15[[#This Row],[Processing Fee]]-Table15[[#This Row],[Discount Applied]]</f>
        <v>386.43</v>
      </c>
      <c r="O317" s="7" t="str">
        <f>IF(Table15[[#This Row],[Revenue]]&gt;35000,"Achieved","Not Achieved")</f>
        <v>Achieved</v>
      </c>
      <c r="P317" s="8">
        <v>4</v>
      </c>
      <c r="Q317" s="7" t="str">
        <f>IF(AND(Table15[[#This Row],[CSAT Score]]&lt;=3,Table15[[#This Row],[Revenue]]&gt;=20000),"High-Risk","Stable")</f>
        <v>Stable</v>
      </c>
      <c r="R317" s="8" t="str" cm="1">
        <f t="array" ref="R317">_xlfn.IFS(Table15[[#This Row],[Revenue]]&gt;=35000,"Platinum",Table15[[#This Row],[Revenue]]&gt;=15000,"Gold",TRUE,"Standard")</f>
        <v>Platinum</v>
      </c>
      <c r="S317" s="8" t="str">
        <f>IF(OR(Table15[[#This Row],[Product]]="Wealth Management",Table15[[#This Row],[Revenue]]&gt;=40000),"Yes","No")</f>
        <v>No</v>
      </c>
    </row>
    <row r="318" spans="1:19" x14ac:dyDescent="0.3">
      <c r="A318" s="5" t="s">
        <v>376</v>
      </c>
      <c r="B318" s="6">
        <v>46026</v>
      </c>
      <c r="C318" s="7" t="s">
        <v>42</v>
      </c>
      <c r="D318" s="7" t="s">
        <v>20</v>
      </c>
      <c r="E318" s="7" t="s">
        <v>28</v>
      </c>
      <c r="F318" s="7" t="s">
        <v>22</v>
      </c>
      <c r="G318" s="7" t="s">
        <v>65</v>
      </c>
      <c r="H318" s="7" t="s">
        <v>24</v>
      </c>
      <c r="I318" s="7">
        <v>31</v>
      </c>
      <c r="J318" s="7">
        <v>28</v>
      </c>
      <c r="K318" s="20">
        <v>24626.61</v>
      </c>
      <c r="L318" s="20">
        <v>449.89</v>
      </c>
      <c r="M318" s="7">
        <v>88.37</v>
      </c>
      <c r="N318" s="20">
        <f>Table15[[#This Row],[Processing Fee]]-Table15[[#This Row],[Discount Applied]]</f>
        <v>361.52</v>
      </c>
      <c r="O318" s="7" t="str">
        <f>IF(Table15[[#This Row],[Revenue]]&gt;35000,"Achieved","Not Achieved")</f>
        <v>Not Achieved</v>
      </c>
      <c r="P318" s="8">
        <v>5</v>
      </c>
      <c r="Q318" s="7" t="str">
        <f>IF(AND(Table15[[#This Row],[CSAT Score]]&lt;=3,Table15[[#This Row],[Revenue]]&gt;=20000),"High-Risk","Stable")</f>
        <v>Stable</v>
      </c>
      <c r="R318" s="8" t="str" cm="1">
        <f t="array" ref="R318">_xlfn.IFS(Table15[[#This Row],[Revenue]]&gt;=35000,"Platinum",Table15[[#This Row],[Revenue]]&gt;=15000,"Gold",TRUE,"Standard")</f>
        <v>Gold</v>
      </c>
      <c r="S318" s="8" t="str">
        <f>IF(OR(Table15[[#This Row],[Product]]="Wealth Management",Table15[[#This Row],[Revenue]]&gt;=40000),"Yes","No")</f>
        <v>Yes</v>
      </c>
    </row>
    <row r="319" spans="1:19" x14ac:dyDescent="0.3">
      <c r="A319" s="5" t="s">
        <v>377</v>
      </c>
      <c r="B319" s="6">
        <v>45930</v>
      </c>
      <c r="C319" s="7" t="s">
        <v>91</v>
      </c>
      <c r="D319" s="7" t="s">
        <v>87</v>
      </c>
      <c r="E319" s="7" t="s">
        <v>21</v>
      </c>
      <c r="F319" s="7" t="s">
        <v>35</v>
      </c>
      <c r="G319" s="7" t="s">
        <v>65</v>
      </c>
      <c r="H319" s="7" t="s">
        <v>31</v>
      </c>
      <c r="I319" s="7">
        <v>60</v>
      </c>
      <c r="J319" s="7">
        <v>3</v>
      </c>
      <c r="K319" s="20">
        <v>47295.9</v>
      </c>
      <c r="L319" s="20">
        <v>267.73</v>
      </c>
      <c r="M319" s="7">
        <v>231.21</v>
      </c>
      <c r="N319" s="20">
        <f>Table15[[#This Row],[Processing Fee]]-Table15[[#This Row],[Discount Applied]]</f>
        <v>36.52000000000001</v>
      </c>
      <c r="O319" s="7" t="str">
        <f>IF(Table15[[#This Row],[Revenue]]&gt;35000,"Achieved","Not Achieved")</f>
        <v>Achieved</v>
      </c>
      <c r="P319" s="8">
        <v>5</v>
      </c>
      <c r="Q319" s="7" t="str">
        <f>IF(AND(Table15[[#This Row],[CSAT Score]]&lt;=3,Table15[[#This Row],[Revenue]]&gt;=20000),"High-Risk","Stable")</f>
        <v>Stable</v>
      </c>
      <c r="R319" s="8" t="str" cm="1">
        <f t="array" ref="R319">_xlfn.IFS(Table15[[#This Row],[Revenue]]&gt;=35000,"Platinum",Table15[[#This Row],[Revenue]]&gt;=15000,"Gold",TRUE,"Standard")</f>
        <v>Platinum</v>
      </c>
      <c r="S319" s="8" t="str">
        <f>IF(OR(Table15[[#This Row],[Product]]="Wealth Management",Table15[[#This Row],[Revenue]]&gt;=40000),"Yes","No")</f>
        <v>Yes</v>
      </c>
    </row>
    <row r="320" spans="1:19" x14ac:dyDescent="0.3">
      <c r="A320" s="5" t="s">
        <v>378</v>
      </c>
      <c r="B320" s="6">
        <v>46151</v>
      </c>
      <c r="C320" s="7" t="s">
        <v>19</v>
      </c>
      <c r="D320" s="7" t="s">
        <v>48</v>
      </c>
      <c r="E320" s="7" t="s">
        <v>39</v>
      </c>
      <c r="F320" s="7" t="s">
        <v>35</v>
      </c>
      <c r="G320" s="7" t="s">
        <v>23</v>
      </c>
      <c r="H320" s="7" t="s">
        <v>24</v>
      </c>
      <c r="I320" s="7">
        <v>70</v>
      </c>
      <c r="J320" s="7">
        <v>75</v>
      </c>
      <c r="K320" s="20">
        <v>3333.22</v>
      </c>
      <c r="L320" s="20">
        <v>377.79</v>
      </c>
      <c r="M320" s="7">
        <v>52.8</v>
      </c>
      <c r="N320" s="20">
        <f>Table15[[#This Row],[Processing Fee]]-Table15[[#This Row],[Discount Applied]]</f>
        <v>324.99</v>
      </c>
      <c r="O320" s="7" t="str">
        <f>IF(Table15[[#This Row],[Revenue]]&gt;35000,"Achieved","Not Achieved")</f>
        <v>Not Achieved</v>
      </c>
      <c r="P320" s="8">
        <v>5</v>
      </c>
      <c r="Q320" s="7" t="str">
        <f>IF(AND(Table15[[#This Row],[CSAT Score]]&lt;=3,Table15[[#This Row],[Revenue]]&gt;=20000),"High-Risk","Stable")</f>
        <v>Stable</v>
      </c>
      <c r="R320" s="8" t="str" cm="1">
        <f t="array" ref="R320">_xlfn.IFS(Table15[[#This Row],[Revenue]]&gt;=35000,"Platinum",Table15[[#This Row],[Revenue]]&gt;=15000,"Gold",TRUE,"Standard")</f>
        <v>Standard</v>
      </c>
      <c r="S320" s="8" t="str">
        <f>IF(OR(Table15[[#This Row],[Product]]="Wealth Management",Table15[[#This Row],[Revenue]]&gt;=40000),"Yes","No")</f>
        <v>No</v>
      </c>
    </row>
    <row r="321" spans="1:19" x14ac:dyDescent="0.3">
      <c r="A321" s="5" t="s">
        <v>379</v>
      </c>
      <c r="B321" s="6">
        <v>45925</v>
      </c>
      <c r="C321" s="7" t="s">
        <v>75</v>
      </c>
      <c r="D321" s="7" t="s">
        <v>61</v>
      </c>
      <c r="E321" s="7" t="s">
        <v>59</v>
      </c>
      <c r="F321" s="7" t="s">
        <v>40</v>
      </c>
      <c r="G321" s="7" t="s">
        <v>65</v>
      </c>
      <c r="H321" s="7" t="s">
        <v>24</v>
      </c>
      <c r="I321" s="7">
        <v>63</v>
      </c>
      <c r="J321" s="7">
        <v>38</v>
      </c>
      <c r="K321" s="20">
        <v>46584.43</v>
      </c>
      <c r="L321" s="20">
        <v>192.4</v>
      </c>
      <c r="M321" s="7">
        <v>1.08</v>
      </c>
      <c r="N321" s="20">
        <f>Table15[[#This Row],[Processing Fee]]-Table15[[#This Row],[Discount Applied]]</f>
        <v>191.32</v>
      </c>
      <c r="O321" s="7" t="str">
        <f>IF(Table15[[#This Row],[Revenue]]&gt;35000,"Achieved","Not Achieved")</f>
        <v>Achieved</v>
      </c>
      <c r="P321" s="8">
        <v>1</v>
      </c>
      <c r="Q321" s="7" t="str">
        <f>IF(AND(Table15[[#This Row],[CSAT Score]]&lt;=3,Table15[[#This Row],[Revenue]]&gt;=20000),"High-Risk","Stable")</f>
        <v>High-Risk</v>
      </c>
      <c r="R321" s="8" t="str" cm="1">
        <f t="array" ref="R321">_xlfn.IFS(Table15[[#This Row],[Revenue]]&gt;=35000,"Platinum",Table15[[#This Row],[Revenue]]&gt;=15000,"Gold",TRUE,"Standard")</f>
        <v>Platinum</v>
      </c>
      <c r="S321" s="8" t="str">
        <f>IF(OR(Table15[[#This Row],[Product]]="Wealth Management",Table15[[#This Row],[Revenue]]&gt;=40000),"Yes","No")</f>
        <v>Yes</v>
      </c>
    </row>
    <row r="322" spans="1:19" x14ac:dyDescent="0.3">
      <c r="A322" s="5" t="s">
        <v>380</v>
      </c>
      <c r="B322" s="6">
        <v>46045</v>
      </c>
      <c r="C322" s="7" t="s">
        <v>44</v>
      </c>
      <c r="D322" s="7" t="s">
        <v>83</v>
      </c>
      <c r="E322" s="7" t="s">
        <v>59</v>
      </c>
      <c r="F322" s="7" t="s">
        <v>29</v>
      </c>
      <c r="G322" s="7" t="s">
        <v>30</v>
      </c>
      <c r="H322" s="7" t="s">
        <v>31</v>
      </c>
      <c r="I322" s="7">
        <v>31</v>
      </c>
      <c r="J322" s="7">
        <v>61</v>
      </c>
      <c r="K322" s="20">
        <v>3000.12</v>
      </c>
      <c r="L322" s="20">
        <v>203.98</v>
      </c>
      <c r="M322" s="7">
        <v>200.55</v>
      </c>
      <c r="N322" s="20">
        <f>Table15[[#This Row],[Processing Fee]]-Table15[[#This Row],[Discount Applied]]</f>
        <v>3.4299999999999784</v>
      </c>
      <c r="O322" s="7" t="str">
        <f>IF(Table15[[#This Row],[Revenue]]&gt;35000,"Achieved","Not Achieved")</f>
        <v>Not Achieved</v>
      </c>
      <c r="P322" s="8">
        <v>3</v>
      </c>
      <c r="Q322" s="7" t="str">
        <f>IF(AND(Table15[[#This Row],[CSAT Score]]&lt;=3,Table15[[#This Row],[Revenue]]&gt;=20000),"High-Risk","Stable")</f>
        <v>Stable</v>
      </c>
      <c r="R322" s="8" t="str" cm="1">
        <f t="array" ref="R322">_xlfn.IFS(Table15[[#This Row],[Revenue]]&gt;=35000,"Platinum",Table15[[#This Row],[Revenue]]&gt;=15000,"Gold",TRUE,"Standard")</f>
        <v>Standard</v>
      </c>
      <c r="S322" s="8" t="str">
        <f>IF(OR(Table15[[#This Row],[Product]]="Wealth Management",Table15[[#This Row],[Revenue]]&gt;=40000),"Yes","No")</f>
        <v>No</v>
      </c>
    </row>
    <row r="323" spans="1:19" x14ac:dyDescent="0.3">
      <c r="A323" s="5" t="s">
        <v>381</v>
      </c>
      <c r="B323" s="6">
        <v>45970</v>
      </c>
      <c r="C323" s="7" t="s">
        <v>33</v>
      </c>
      <c r="D323" s="7" t="s">
        <v>61</v>
      </c>
      <c r="E323" s="7" t="s">
        <v>46</v>
      </c>
      <c r="F323" s="7" t="s">
        <v>40</v>
      </c>
      <c r="G323" s="7" t="s">
        <v>23</v>
      </c>
      <c r="H323" s="7" t="s">
        <v>31</v>
      </c>
      <c r="I323" s="7">
        <v>65</v>
      </c>
      <c r="J323" s="7">
        <v>78</v>
      </c>
      <c r="K323" s="20">
        <v>27591.58</v>
      </c>
      <c r="L323" s="20">
        <v>137.51</v>
      </c>
      <c r="M323" s="7">
        <v>291.8</v>
      </c>
      <c r="N323" s="20">
        <f>Table15[[#This Row],[Processing Fee]]-Table15[[#This Row],[Discount Applied]]</f>
        <v>-154.29000000000002</v>
      </c>
      <c r="O323" s="7" t="str">
        <f>IF(Table15[[#This Row],[Revenue]]&gt;35000,"Achieved","Not Achieved")</f>
        <v>Not Achieved</v>
      </c>
      <c r="P323" s="8">
        <v>4</v>
      </c>
      <c r="Q323" s="7" t="str">
        <f>IF(AND(Table15[[#This Row],[CSAT Score]]&lt;=3,Table15[[#This Row],[Revenue]]&gt;=20000),"High-Risk","Stable")</f>
        <v>Stable</v>
      </c>
      <c r="R323" s="8" t="str" cm="1">
        <f t="array" ref="R323">_xlfn.IFS(Table15[[#This Row],[Revenue]]&gt;=35000,"Platinum",Table15[[#This Row],[Revenue]]&gt;=15000,"Gold",TRUE,"Standard")</f>
        <v>Gold</v>
      </c>
      <c r="S323" s="8" t="str">
        <f>IF(OR(Table15[[#This Row],[Product]]="Wealth Management",Table15[[#This Row],[Revenue]]&gt;=40000),"Yes","No")</f>
        <v>No</v>
      </c>
    </row>
    <row r="324" spans="1:19" x14ac:dyDescent="0.3">
      <c r="A324" s="5" t="s">
        <v>382</v>
      </c>
      <c r="B324" s="6">
        <v>46140</v>
      </c>
      <c r="C324" s="7" t="s">
        <v>26</v>
      </c>
      <c r="D324" s="7" t="s">
        <v>61</v>
      </c>
      <c r="E324" s="7" t="s">
        <v>59</v>
      </c>
      <c r="F324" s="7" t="s">
        <v>40</v>
      </c>
      <c r="G324" s="7" t="s">
        <v>30</v>
      </c>
      <c r="H324" s="7" t="s">
        <v>24</v>
      </c>
      <c r="I324" s="7">
        <v>23</v>
      </c>
      <c r="J324" s="7">
        <v>51</v>
      </c>
      <c r="K324" s="20">
        <v>44576.83</v>
      </c>
      <c r="L324" s="20">
        <v>302.88</v>
      </c>
      <c r="M324" s="7">
        <v>121.37</v>
      </c>
      <c r="N324" s="20">
        <f>Table15[[#This Row],[Processing Fee]]-Table15[[#This Row],[Discount Applied]]</f>
        <v>181.51</v>
      </c>
      <c r="O324" s="7" t="str">
        <f>IF(Table15[[#This Row],[Revenue]]&gt;35000,"Achieved","Not Achieved")</f>
        <v>Achieved</v>
      </c>
      <c r="P324" s="8">
        <v>4</v>
      </c>
      <c r="Q324" s="7" t="str">
        <f>IF(AND(Table15[[#This Row],[CSAT Score]]&lt;=3,Table15[[#This Row],[Revenue]]&gt;=20000),"High-Risk","Stable")</f>
        <v>Stable</v>
      </c>
      <c r="R324" s="8" t="str" cm="1">
        <f t="array" ref="R324">_xlfn.IFS(Table15[[#This Row],[Revenue]]&gt;=35000,"Platinum",Table15[[#This Row],[Revenue]]&gt;=15000,"Gold",TRUE,"Standard")</f>
        <v>Platinum</v>
      </c>
      <c r="S324" s="8" t="str">
        <f>IF(OR(Table15[[#This Row],[Product]]="Wealth Management",Table15[[#This Row],[Revenue]]&gt;=40000),"Yes","No")</f>
        <v>Yes</v>
      </c>
    </row>
    <row r="325" spans="1:19" x14ac:dyDescent="0.3">
      <c r="A325" s="5" t="s">
        <v>383</v>
      </c>
      <c r="B325" s="6">
        <v>46135</v>
      </c>
      <c r="C325" s="7" t="s">
        <v>55</v>
      </c>
      <c r="D325" s="7" t="s">
        <v>61</v>
      </c>
      <c r="E325" s="7" t="s">
        <v>21</v>
      </c>
      <c r="F325" s="7" t="s">
        <v>69</v>
      </c>
      <c r="G325" s="7" t="s">
        <v>36</v>
      </c>
      <c r="H325" s="7" t="s">
        <v>57</v>
      </c>
      <c r="I325" s="7">
        <v>32</v>
      </c>
      <c r="J325" s="7">
        <v>90</v>
      </c>
      <c r="K325" s="20">
        <v>13504.69</v>
      </c>
      <c r="L325" s="20">
        <v>191.55</v>
      </c>
      <c r="M325" s="7">
        <v>23.98</v>
      </c>
      <c r="N325" s="20">
        <f>Table15[[#This Row],[Processing Fee]]-Table15[[#This Row],[Discount Applied]]</f>
        <v>167.57000000000002</v>
      </c>
      <c r="O325" s="7" t="str">
        <f>IF(Table15[[#This Row],[Revenue]]&gt;35000,"Achieved","Not Achieved")</f>
        <v>Not Achieved</v>
      </c>
      <c r="P325" s="8">
        <v>4</v>
      </c>
      <c r="Q325" s="7" t="str">
        <f>IF(AND(Table15[[#This Row],[CSAT Score]]&lt;=3,Table15[[#This Row],[Revenue]]&gt;=20000),"High-Risk","Stable")</f>
        <v>Stable</v>
      </c>
      <c r="R325" s="8" t="str" cm="1">
        <f t="array" ref="R325">_xlfn.IFS(Table15[[#This Row],[Revenue]]&gt;=35000,"Platinum",Table15[[#This Row],[Revenue]]&gt;=15000,"Gold",TRUE,"Standard")</f>
        <v>Standard</v>
      </c>
      <c r="S325" s="8" t="str">
        <f>IF(OR(Table15[[#This Row],[Product]]="Wealth Management",Table15[[#This Row],[Revenue]]&gt;=40000),"Yes","No")</f>
        <v>No</v>
      </c>
    </row>
    <row r="326" spans="1:19" x14ac:dyDescent="0.3">
      <c r="A326" s="5" t="s">
        <v>384</v>
      </c>
      <c r="B326" s="6">
        <v>46141</v>
      </c>
      <c r="C326" s="7" t="s">
        <v>75</v>
      </c>
      <c r="D326" s="7" t="s">
        <v>27</v>
      </c>
      <c r="E326" s="7" t="s">
        <v>21</v>
      </c>
      <c r="F326" s="7" t="s">
        <v>22</v>
      </c>
      <c r="G326" s="7" t="s">
        <v>56</v>
      </c>
      <c r="H326" s="7" t="s">
        <v>57</v>
      </c>
      <c r="I326" s="7">
        <v>23</v>
      </c>
      <c r="J326" s="7">
        <v>48</v>
      </c>
      <c r="K326" s="20">
        <v>23876.3</v>
      </c>
      <c r="L326" s="20">
        <v>87.97</v>
      </c>
      <c r="M326" s="7">
        <v>64.150000000000006</v>
      </c>
      <c r="N326" s="20">
        <f>Table15[[#This Row],[Processing Fee]]-Table15[[#This Row],[Discount Applied]]</f>
        <v>23.819999999999993</v>
      </c>
      <c r="O326" s="7" t="str">
        <f>IF(Table15[[#This Row],[Revenue]]&gt;35000,"Achieved","Not Achieved")</f>
        <v>Not Achieved</v>
      </c>
      <c r="P326" s="8">
        <v>5</v>
      </c>
      <c r="Q326" s="7" t="str">
        <f>IF(AND(Table15[[#This Row],[CSAT Score]]&lt;=3,Table15[[#This Row],[Revenue]]&gt;=20000),"High-Risk","Stable")</f>
        <v>Stable</v>
      </c>
      <c r="R326" s="8" t="str" cm="1">
        <f t="array" ref="R326">_xlfn.IFS(Table15[[#This Row],[Revenue]]&gt;=35000,"Platinum",Table15[[#This Row],[Revenue]]&gt;=15000,"Gold",TRUE,"Standard")</f>
        <v>Gold</v>
      </c>
      <c r="S326" s="8" t="str">
        <f>IF(OR(Table15[[#This Row],[Product]]="Wealth Management",Table15[[#This Row],[Revenue]]&gt;=40000),"Yes","No")</f>
        <v>Yes</v>
      </c>
    </row>
    <row r="327" spans="1:19" x14ac:dyDescent="0.3">
      <c r="A327" s="5" t="s">
        <v>385</v>
      </c>
      <c r="B327" s="6">
        <v>46166</v>
      </c>
      <c r="C327" s="7" t="s">
        <v>75</v>
      </c>
      <c r="D327" s="7" t="s">
        <v>79</v>
      </c>
      <c r="E327" s="7" t="s">
        <v>59</v>
      </c>
      <c r="F327" s="7" t="s">
        <v>35</v>
      </c>
      <c r="G327" s="7" t="s">
        <v>36</v>
      </c>
      <c r="H327" s="7" t="s">
        <v>31</v>
      </c>
      <c r="I327" s="7">
        <v>62</v>
      </c>
      <c r="J327" s="7">
        <v>21</v>
      </c>
      <c r="K327" s="20">
        <v>16554.28</v>
      </c>
      <c r="L327" s="20">
        <v>358.25</v>
      </c>
      <c r="M327" s="7">
        <v>260.3</v>
      </c>
      <c r="N327" s="20">
        <f>Table15[[#This Row],[Processing Fee]]-Table15[[#This Row],[Discount Applied]]</f>
        <v>97.949999999999989</v>
      </c>
      <c r="O327" s="7" t="str">
        <f>IF(Table15[[#This Row],[Revenue]]&gt;35000,"Achieved","Not Achieved")</f>
        <v>Not Achieved</v>
      </c>
      <c r="P327" s="8">
        <v>3</v>
      </c>
      <c r="Q327" s="7" t="str">
        <f>IF(AND(Table15[[#This Row],[CSAT Score]]&lt;=3,Table15[[#This Row],[Revenue]]&gt;=20000),"High-Risk","Stable")</f>
        <v>Stable</v>
      </c>
      <c r="R327" s="8" t="str" cm="1">
        <f t="array" ref="R327">_xlfn.IFS(Table15[[#This Row],[Revenue]]&gt;=35000,"Platinum",Table15[[#This Row],[Revenue]]&gt;=15000,"Gold",TRUE,"Standard")</f>
        <v>Gold</v>
      </c>
      <c r="S327" s="8" t="str">
        <f>IF(OR(Table15[[#This Row],[Product]]="Wealth Management",Table15[[#This Row],[Revenue]]&gt;=40000),"Yes","No")</f>
        <v>No</v>
      </c>
    </row>
    <row r="328" spans="1:19" x14ac:dyDescent="0.3">
      <c r="A328" s="5" t="s">
        <v>386</v>
      </c>
      <c r="B328" s="6">
        <v>46061</v>
      </c>
      <c r="C328" s="7" t="s">
        <v>42</v>
      </c>
      <c r="D328" s="7" t="s">
        <v>87</v>
      </c>
      <c r="E328" s="7" t="s">
        <v>59</v>
      </c>
      <c r="F328" s="7" t="s">
        <v>29</v>
      </c>
      <c r="G328" s="7" t="s">
        <v>56</v>
      </c>
      <c r="H328" s="7" t="s">
        <v>53</v>
      </c>
      <c r="I328" s="7">
        <v>47</v>
      </c>
      <c r="J328" s="7">
        <v>54</v>
      </c>
      <c r="K328" s="20">
        <v>47631.12</v>
      </c>
      <c r="L328" s="20">
        <v>368.49</v>
      </c>
      <c r="M328" s="7">
        <v>46.51</v>
      </c>
      <c r="N328" s="20">
        <f>Table15[[#This Row],[Processing Fee]]-Table15[[#This Row],[Discount Applied]]</f>
        <v>321.98</v>
      </c>
      <c r="O328" s="7" t="str">
        <f>IF(Table15[[#This Row],[Revenue]]&gt;35000,"Achieved","Not Achieved")</f>
        <v>Achieved</v>
      </c>
      <c r="P328" s="8">
        <v>2</v>
      </c>
      <c r="Q328" s="7" t="str">
        <f>IF(AND(Table15[[#This Row],[CSAT Score]]&lt;=3,Table15[[#This Row],[Revenue]]&gt;=20000),"High-Risk","Stable")</f>
        <v>High-Risk</v>
      </c>
      <c r="R328" s="8" t="str" cm="1">
        <f t="array" ref="R328">_xlfn.IFS(Table15[[#This Row],[Revenue]]&gt;=35000,"Platinum",Table15[[#This Row],[Revenue]]&gt;=15000,"Gold",TRUE,"Standard")</f>
        <v>Platinum</v>
      </c>
      <c r="S328" s="8" t="str">
        <f>IF(OR(Table15[[#This Row],[Product]]="Wealth Management",Table15[[#This Row],[Revenue]]&gt;=40000),"Yes","No")</f>
        <v>Yes</v>
      </c>
    </row>
    <row r="329" spans="1:19" x14ac:dyDescent="0.3">
      <c r="A329" s="5" t="s">
        <v>387</v>
      </c>
      <c r="B329" s="6">
        <v>46161</v>
      </c>
      <c r="C329" s="7" t="s">
        <v>19</v>
      </c>
      <c r="D329" s="7" t="s">
        <v>38</v>
      </c>
      <c r="E329" s="7" t="s">
        <v>46</v>
      </c>
      <c r="F329" s="7" t="s">
        <v>35</v>
      </c>
      <c r="G329" s="7" t="s">
        <v>36</v>
      </c>
      <c r="H329" s="7" t="s">
        <v>57</v>
      </c>
      <c r="I329" s="7">
        <v>69</v>
      </c>
      <c r="J329" s="7">
        <v>56</v>
      </c>
      <c r="K329" s="20">
        <v>41270.46</v>
      </c>
      <c r="L329" s="20">
        <v>212</v>
      </c>
      <c r="M329" s="7">
        <v>121.54</v>
      </c>
      <c r="N329" s="20">
        <f>Table15[[#This Row],[Processing Fee]]-Table15[[#This Row],[Discount Applied]]</f>
        <v>90.46</v>
      </c>
      <c r="O329" s="7" t="str">
        <f>IF(Table15[[#This Row],[Revenue]]&gt;35000,"Achieved","Not Achieved")</f>
        <v>Achieved</v>
      </c>
      <c r="P329" s="8">
        <v>4</v>
      </c>
      <c r="Q329" s="7" t="str">
        <f>IF(AND(Table15[[#This Row],[CSAT Score]]&lt;=3,Table15[[#This Row],[Revenue]]&gt;=20000),"High-Risk","Stable")</f>
        <v>Stable</v>
      </c>
      <c r="R329" s="8" t="str" cm="1">
        <f t="array" ref="R329">_xlfn.IFS(Table15[[#This Row],[Revenue]]&gt;=35000,"Platinum",Table15[[#This Row],[Revenue]]&gt;=15000,"Gold",TRUE,"Standard")</f>
        <v>Platinum</v>
      </c>
      <c r="S329" s="8" t="str">
        <f>IF(OR(Table15[[#This Row],[Product]]="Wealth Management",Table15[[#This Row],[Revenue]]&gt;=40000),"Yes","No")</f>
        <v>Yes</v>
      </c>
    </row>
    <row r="330" spans="1:19" x14ac:dyDescent="0.3">
      <c r="A330" s="5" t="s">
        <v>388</v>
      </c>
      <c r="B330" s="6">
        <v>46089</v>
      </c>
      <c r="C330" s="7" t="s">
        <v>44</v>
      </c>
      <c r="D330" s="7" t="s">
        <v>87</v>
      </c>
      <c r="E330" s="7" t="s">
        <v>59</v>
      </c>
      <c r="F330" s="7" t="s">
        <v>35</v>
      </c>
      <c r="G330" s="7" t="s">
        <v>65</v>
      </c>
      <c r="H330" s="7" t="s">
        <v>31</v>
      </c>
      <c r="I330" s="7">
        <v>74</v>
      </c>
      <c r="J330" s="7">
        <v>103</v>
      </c>
      <c r="K330" s="20">
        <v>35595.57</v>
      </c>
      <c r="L330" s="20">
        <v>84.53</v>
      </c>
      <c r="M330" s="7">
        <v>120.8</v>
      </c>
      <c r="N330" s="20">
        <f>Table15[[#This Row],[Processing Fee]]-Table15[[#This Row],[Discount Applied]]</f>
        <v>-36.269999999999996</v>
      </c>
      <c r="O330" s="7" t="str">
        <f>IF(Table15[[#This Row],[Revenue]]&gt;35000,"Achieved","Not Achieved")</f>
        <v>Achieved</v>
      </c>
      <c r="P330" s="8">
        <v>3</v>
      </c>
      <c r="Q330" s="7" t="str">
        <f>IF(AND(Table15[[#This Row],[CSAT Score]]&lt;=3,Table15[[#This Row],[Revenue]]&gt;=20000),"High-Risk","Stable")</f>
        <v>High-Risk</v>
      </c>
      <c r="R330" s="8" t="str" cm="1">
        <f t="array" ref="R330">_xlfn.IFS(Table15[[#This Row],[Revenue]]&gt;=35000,"Platinum",Table15[[#This Row],[Revenue]]&gt;=15000,"Gold",TRUE,"Standard")</f>
        <v>Platinum</v>
      </c>
      <c r="S330" s="8" t="str">
        <f>IF(OR(Table15[[#This Row],[Product]]="Wealth Management",Table15[[#This Row],[Revenue]]&gt;=40000),"Yes","No")</f>
        <v>No</v>
      </c>
    </row>
    <row r="331" spans="1:19" x14ac:dyDescent="0.3">
      <c r="A331" s="5" t="s">
        <v>389</v>
      </c>
      <c r="B331" s="6">
        <v>46050</v>
      </c>
      <c r="C331" s="7" t="s">
        <v>44</v>
      </c>
      <c r="D331" s="7" t="s">
        <v>63</v>
      </c>
      <c r="E331" s="7" t="s">
        <v>46</v>
      </c>
      <c r="F331" s="7" t="s">
        <v>22</v>
      </c>
      <c r="G331" s="7" t="s">
        <v>30</v>
      </c>
      <c r="H331" s="7" t="s">
        <v>57</v>
      </c>
      <c r="I331" s="7">
        <v>22</v>
      </c>
      <c r="J331" s="7">
        <v>94</v>
      </c>
      <c r="K331" s="20">
        <v>29587.54</v>
      </c>
      <c r="L331" s="20">
        <v>241.83</v>
      </c>
      <c r="M331" s="7">
        <v>41.57</v>
      </c>
      <c r="N331" s="20">
        <f>Table15[[#This Row],[Processing Fee]]-Table15[[#This Row],[Discount Applied]]</f>
        <v>200.26000000000002</v>
      </c>
      <c r="O331" s="7" t="str">
        <f>IF(Table15[[#This Row],[Revenue]]&gt;35000,"Achieved","Not Achieved")</f>
        <v>Not Achieved</v>
      </c>
      <c r="P331" s="8">
        <v>3</v>
      </c>
      <c r="Q331" s="7" t="str">
        <f>IF(AND(Table15[[#This Row],[CSAT Score]]&lt;=3,Table15[[#This Row],[Revenue]]&gt;=20000),"High-Risk","Stable")</f>
        <v>High-Risk</v>
      </c>
      <c r="R331" s="8" t="str" cm="1">
        <f t="array" ref="R331">_xlfn.IFS(Table15[[#This Row],[Revenue]]&gt;=35000,"Platinum",Table15[[#This Row],[Revenue]]&gt;=15000,"Gold",TRUE,"Standard")</f>
        <v>Gold</v>
      </c>
      <c r="S331" s="8" t="str">
        <f>IF(OR(Table15[[#This Row],[Product]]="Wealth Management",Table15[[#This Row],[Revenue]]&gt;=40000),"Yes","No")</f>
        <v>Yes</v>
      </c>
    </row>
    <row r="332" spans="1:19" x14ac:dyDescent="0.3">
      <c r="A332" s="5" t="s">
        <v>390</v>
      </c>
      <c r="B332" s="6">
        <v>46124</v>
      </c>
      <c r="C332" s="7" t="s">
        <v>91</v>
      </c>
      <c r="D332" s="7" t="s">
        <v>63</v>
      </c>
      <c r="E332" s="7" t="s">
        <v>46</v>
      </c>
      <c r="F332" s="7" t="s">
        <v>35</v>
      </c>
      <c r="G332" s="7" t="s">
        <v>56</v>
      </c>
      <c r="H332" s="7" t="s">
        <v>53</v>
      </c>
      <c r="I332" s="7">
        <v>69</v>
      </c>
      <c r="J332" s="7">
        <v>59</v>
      </c>
      <c r="K332" s="20">
        <v>41119.29</v>
      </c>
      <c r="L332" s="20">
        <v>249.05</v>
      </c>
      <c r="M332" s="7">
        <v>162.68</v>
      </c>
      <c r="N332" s="20">
        <f>Table15[[#This Row],[Processing Fee]]-Table15[[#This Row],[Discount Applied]]</f>
        <v>86.37</v>
      </c>
      <c r="O332" s="7" t="str">
        <f>IF(Table15[[#This Row],[Revenue]]&gt;35000,"Achieved","Not Achieved")</f>
        <v>Achieved</v>
      </c>
      <c r="P332" s="8">
        <v>1</v>
      </c>
      <c r="Q332" s="7" t="str">
        <f>IF(AND(Table15[[#This Row],[CSAT Score]]&lt;=3,Table15[[#This Row],[Revenue]]&gt;=20000),"High-Risk","Stable")</f>
        <v>High-Risk</v>
      </c>
      <c r="R332" s="8" t="str" cm="1">
        <f t="array" ref="R332">_xlfn.IFS(Table15[[#This Row],[Revenue]]&gt;=35000,"Platinum",Table15[[#This Row],[Revenue]]&gt;=15000,"Gold",TRUE,"Standard")</f>
        <v>Platinum</v>
      </c>
      <c r="S332" s="8" t="str">
        <f>IF(OR(Table15[[#This Row],[Product]]="Wealth Management",Table15[[#This Row],[Revenue]]&gt;=40000),"Yes","No")</f>
        <v>Yes</v>
      </c>
    </row>
    <row r="333" spans="1:19" x14ac:dyDescent="0.3">
      <c r="A333" s="5" t="s">
        <v>391</v>
      </c>
      <c r="B333" s="6">
        <v>45901</v>
      </c>
      <c r="C333" s="7" t="s">
        <v>91</v>
      </c>
      <c r="D333" s="7" t="s">
        <v>27</v>
      </c>
      <c r="E333" s="7" t="s">
        <v>59</v>
      </c>
      <c r="F333" s="7" t="s">
        <v>35</v>
      </c>
      <c r="G333" s="7" t="s">
        <v>23</v>
      </c>
      <c r="H333" s="7" t="s">
        <v>31</v>
      </c>
      <c r="I333" s="7">
        <v>36</v>
      </c>
      <c r="J333" s="7">
        <v>72</v>
      </c>
      <c r="K333" s="20">
        <v>19917.22</v>
      </c>
      <c r="L333" s="20">
        <v>350.9</v>
      </c>
      <c r="M333" s="7">
        <v>222.86</v>
      </c>
      <c r="N333" s="20">
        <f>Table15[[#This Row],[Processing Fee]]-Table15[[#This Row],[Discount Applied]]</f>
        <v>128.03999999999996</v>
      </c>
      <c r="O333" s="7" t="str">
        <f>IF(Table15[[#This Row],[Revenue]]&gt;35000,"Achieved","Not Achieved")</f>
        <v>Not Achieved</v>
      </c>
      <c r="P333" s="8">
        <v>4</v>
      </c>
      <c r="Q333" s="7" t="str">
        <f>IF(AND(Table15[[#This Row],[CSAT Score]]&lt;=3,Table15[[#This Row],[Revenue]]&gt;=20000),"High-Risk","Stable")</f>
        <v>Stable</v>
      </c>
      <c r="R333" s="8" t="str" cm="1">
        <f t="array" ref="R333">_xlfn.IFS(Table15[[#This Row],[Revenue]]&gt;=35000,"Platinum",Table15[[#This Row],[Revenue]]&gt;=15000,"Gold",TRUE,"Standard")</f>
        <v>Gold</v>
      </c>
      <c r="S333" s="8" t="str">
        <f>IF(OR(Table15[[#This Row],[Product]]="Wealth Management",Table15[[#This Row],[Revenue]]&gt;=40000),"Yes","No")</f>
        <v>No</v>
      </c>
    </row>
    <row r="334" spans="1:19" x14ac:dyDescent="0.3">
      <c r="A334" s="5" t="s">
        <v>392</v>
      </c>
      <c r="B334" s="6">
        <v>45917</v>
      </c>
      <c r="C334" s="7" t="s">
        <v>26</v>
      </c>
      <c r="D334" s="7" t="s">
        <v>79</v>
      </c>
      <c r="E334" s="7" t="s">
        <v>28</v>
      </c>
      <c r="F334" s="7" t="s">
        <v>40</v>
      </c>
      <c r="G334" s="7" t="s">
        <v>30</v>
      </c>
      <c r="H334" s="7" t="s">
        <v>53</v>
      </c>
      <c r="I334" s="7">
        <v>22</v>
      </c>
      <c r="J334" s="7">
        <v>51</v>
      </c>
      <c r="K334" s="20">
        <v>22653.82</v>
      </c>
      <c r="L334" s="20">
        <v>191.94</v>
      </c>
      <c r="M334" s="7">
        <v>132.32</v>
      </c>
      <c r="N334" s="20">
        <f>Table15[[#This Row],[Processing Fee]]-Table15[[#This Row],[Discount Applied]]</f>
        <v>59.620000000000005</v>
      </c>
      <c r="O334" s="7" t="str">
        <f>IF(Table15[[#This Row],[Revenue]]&gt;35000,"Achieved","Not Achieved")</f>
        <v>Not Achieved</v>
      </c>
      <c r="P334" s="8">
        <v>5</v>
      </c>
      <c r="Q334" s="7" t="str">
        <f>IF(AND(Table15[[#This Row],[CSAT Score]]&lt;=3,Table15[[#This Row],[Revenue]]&gt;=20000),"High-Risk","Stable")</f>
        <v>Stable</v>
      </c>
      <c r="R334" s="8" t="str" cm="1">
        <f t="array" ref="R334">_xlfn.IFS(Table15[[#This Row],[Revenue]]&gt;=35000,"Platinum",Table15[[#This Row],[Revenue]]&gt;=15000,"Gold",TRUE,"Standard")</f>
        <v>Gold</v>
      </c>
      <c r="S334" s="8" t="str">
        <f>IF(OR(Table15[[#This Row],[Product]]="Wealth Management",Table15[[#This Row],[Revenue]]&gt;=40000),"Yes","No")</f>
        <v>No</v>
      </c>
    </row>
    <row r="335" spans="1:19" x14ac:dyDescent="0.3">
      <c r="A335" s="5" t="s">
        <v>393</v>
      </c>
      <c r="B335" s="6">
        <v>46045</v>
      </c>
      <c r="C335" s="7" t="s">
        <v>42</v>
      </c>
      <c r="D335" s="7" t="s">
        <v>45</v>
      </c>
      <c r="E335" s="7" t="s">
        <v>28</v>
      </c>
      <c r="F335" s="7" t="s">
        <v>22</v>
      </c>
      <c r="G335" s="7" t="s">
        <v>23</v>
      </c>
      <c r="H335" s="7" t="s">
        <v>31</v>
      </c>
      <c r="I335" s="7">
        <v>74</v>
      </c>
      <c r="J335" s="7">
        <v>20</v>
      </c>
      <c r="K335" s="20">
        <v>36635.089999999997</v>
      </c>
      <c r="L335" s="20">
        <v>357.17</v>
      </c>
      <c r="M335" s="7">
        <v>70.900000000000006</v>
      </c>
      <c r="N335" s="20">
        <f>Table15[[#This Row],[Processing Fee]]-Table15[[#This Row],[Discount Applied]]</f>
        <v>286.27</v>
      </c>
      <c r="O335" s="7" t="str">
        <f>IF(Table15[[#This Row],[Revenue]]&gt;35000,"Achieved","Not Achieved")</f>
        <v>Achieved</v>
      </c>
      <c r="P335" s="8">
        <v>3</v>
      </c>
      <c r="Q335" s="7" t="str">
        <f>IF(AND(Table15[[#This Row],[CSAT Score]]&lt;=3,Table15[[#This Row],[Revenue]]&gt;=20000),"High-Risk","Stable")</f>
        <v>High-Risk</v>
      </c>
      <c r="R335" s="8" t="str" cm="1">
        <f t="array" ref="R335">_xlfn.IFS(Table15[[#This Row],[Revenue]]&gt;=35000,"Platinum",Table15[[#This Row],[Revenue]]&gt;=15000,"Gold",TRUE,"Standard")</f>
        <v>Platinum</v>
      </c>
      <c r="S335" s="8" t="str">
        <f>IF(OR(Table15[[#This Row],[Product]]="Wealth Management",Table15[[#This Row],[Revenue]]&gt;=40000),"Yes","No")</f>
        <v>Yes</v>
      </c>
    </row>
    <row r="336" spans="1:19" x14ac:dyDescent="0.3">
      <c r="A336" s="5" t="s">
        <v>394</v>
      </c>
      <c r="B336" s="6">
        <v>45905</v>
      </c>
      <c r="C336" s="7" t="s">
        <v>75</v>
      </c>
      <c r="D336" s="7" t="s">
        <v>48</v>
      </c>
      <c r="E336" s="7" t="s">
        <v>46</v>
      </c>
      <c r="F336" s="7" t="s">
        <v>69</v>
      </c>
      <c r="G336" s="7" t="s">
        <v>30</v>
      </c>
      <c r="H336" s="7" t="s">
        <v>53</v>
      </c>
      <c r="I336" s="7">
        <v>50</v>
      </c>
      <c r="J336" s="7">
        <v>112</v>
      </c>
      <c r="K336" s="20">
        <v>18208.86</v>
      </c>
      <c r="L336" s="20">
        <v>442.17</v>
      </c>
      <c r="M336" s="7">
        <v>19.57</v>
      </c>
      <c r="N336" s="20">
        <f>Table15[[#This Row],[Processing Fee]]-Table15[[#This Row],[Discount Applied]]</f>
        <v>422.6</v>
      </c>
      <c r="O336" s="7" t="str">
        <f>IF(Table15[[#This Row],[Revenue]]&gt;35000,"Achieved","Not Achieved")</f>
        <v>Not Achieved</v>
      </c>
      <c r="P336" s="8">
        <v>3</v>
      </c>
      <c r="Q336" s="7" t="str">
        <f>IF(AND(Table15[[#This Row],[CSAT Score]]&lt;=3,Table15[[#This Row],[Revenue]]&gt;=20000),"High-Risk","Stable")</f>
        <v>Stable</v>
      </c>
      <c r="R336" s="8" t="str" cm="1">
        <f t="array" ref="R336">_xlfn.IFS(Table15[[#This Row],[Revenue]]&gt;=35000,"Platinum",Table15[[#This Row],[Revenue]]&gt;=15000,"Gold",TRUE,"Standard")</f>
        <v>Gold</v>
      </c>
      <c r="S336" s="8" t="str">
        <f>IF(OR(Table15[[#This Row],[Product]]="Wealth Management",Table15[[#This Row],[Revenue]]&gt;=40000),"Yes","No")</f>
        <v>No</v>
      </c>
    </row>
    <row r="337" spans="1:19" x14ac:dyDescent="0.3">
      <c r="A337" s="5" t="s">
        <v>395</v>
      </c>
      <c r="B337" s="6">
        <v>46106</v>
      </c>
      <c r="C337" s="7" t="s">
        <v>44</v>
      </c>
      <c r="D337" s="7" t="s">
        <v>79</v>
      </c>
      <c r="E337" s="7" t="s">
        <v>59</v>
      </c>
      <c r="F337" s="7" t="s">
        <v>29</v>
      </c>
      <c r="G337" s="7" t="s">
        <v>30</v>
      </c>
      <c r="H337" s="7" t="s">
        <v>57</v>
      </c>
      <c r="I337" s="7">
        <v>40</v>
      </c>
      <c r="J337" s="7">
        <v>96</v>
      </c>
      <c r="K337" s="20">
        <v>3663.1</v>
      </c>
      <c r="L337" s="20">
        <v>156.87</v>
      </c>
      <c r="M337" s="7">
        <v>115.23</v>
      </c>
      <c r="N337" s="20">
        <f>Table15[[#This Row],[Processing Fee]]-Table15[[#This Row],[Discount Applied]]</f>
        <v>41.64</v>
      </c>
      <c r="O337" s="7" t="str">
        <f>IF(Table15[[#This Row],[Revenue]]&gt;35000,"Achieved","Not Achieved")</f>
        <v>Not Achieved</v>
      </c>
      <c r="P337" s="8">
        <v>2</v>
      </c>
      <c r="Q337" s="7" t="str">
        <f>IF(AND(Table15[[#This Row],[CSAT Score]]&lt;=3,Table15[[#This Row],[Revenue]]&gt;=20000),"High-Risk","Stable")</f>
        <v>Stable</v>
      </c>
      <c r="R337" s="8" t="str" cm="1">
        <f t="array" ref="R337">_xlfn.IFS(Table15[[#This Row],[Revenue]]&gt;=35000,"Platinum",Table15[[#This Row],[Revenue]]&gt;=15000,"Gold",TRUE,"Standard")</f>
        <v>Standard</v>
      </c>
      <c r="S337" s="8" t="str">
        <f>IF(OR(Table15[[#This Row],[Product]]="Wealth Management",Table15[[#This Row],[Revenue]]&gt;=40000),"Yes","No")</f>
        <v>No</v>
      </c>
    </row>
    <row r="338" spans="1:19" x14ac:dyDescent="0.3">
      <c r="A338" s="5" t="s">
        <v>396</v>
      </c>
      <c r="B338" s="6">
        <v>46177</v>
      </c>
      <c r="C338" s="7" t="s">
        <v>33</v>
      </c>
      <c r="D338" s="7" t="s">
        <v>27</v>
      </c>
      <c r="E338" s="7" t="s">
        <v>28</v>
      </c>
      <c r="F338" s="7" t="s">
        <v>35</v>
      </c>
      <c r="G338" s="7" t="s">
        <v>36</v>
      </c>
      <c r="H338" s="7" t="s">
        <v>57</v>
      </c>
      <c r="I338" s="7">
        <v>58</v>
      </c>
      <c r="J338" s="7">
        <v>86</v>
      </c>
      <c r="K338" s="20">
        <v>4179.5600000000004</v>
      </c>
      <c r="L338" s="20">
        <v>490.51</v>
      </c>
      <c r="M338" s="7">
        <v>110.74</v>
      </c>
      <c r="N338" s="20">
        <f>Table15[[#This Row],[Processing Fee]]-Table15[[#This Row],[Discount Applied]]</f>
        <v>379.77</v>
      </c>
      <c r="O338" s="7" t="str">
        <f>IF(Table15[[#This Row],[Revenue]]&gt;35000,"Achieved","Not Achieved")</f>
        <v>Not Achieved</v>
      </c>
      <c r="P338" s="8">
        <v>1</v>
      </c>
      <c r="Q338" s="7" t="str">
        <f>IF(AND(Table15[[#This Row],[CSAT Score]]&lt;=3,Table15[[#This Row],[Revenue]]&gt;=20000),"High-Risk","Stable")</f>
        <v>Stable</v>
      </c>
      <c r="R338" s="8" t="str" cm="1">
        <f t="array" ref="R338">_xlfn.IFS(Table15[[#This Row],[Revenue]]&gt;=35000,"Platinum",Table15[[#This Row],[Revenue]]&gt;=15000,"Gold",TRUE,"Standard")</f>
        <v>Standard</v>
      </c>
      <c r="S338" s="8" t="str">
        <f>IF(OR(Table15[[#This Row],[Product]]="Wealth Management",Table15[[#This Row],[Revenue]]&gt;=40000),"Yes","No")</f>
        <v>No</v>
      </c>
    </row>
    <row r="339" spans="1:19" x14ac:dyDescent="0.3">
      <c r="A339" s="5" t="s">
        <v>397</v>
      </c>
      <c r="B339" s="6">
        <v>46140</v>
      </c>
      <c r="C339" s="7" t="s">
        <v>42</v>
      </c>
      <c r="D339" s="7" t="s">
        <v>20</v>
      </c>
      <c r="E339" s="7" t="s">
        <v>59</v>
      </c>
      <c r="F339" s="7" t="s">
        <v>29</v>
      </c>
      <c r="G339" s="7" t="s">
        <v>56</v>
      </c>
      <c r="H339" s="7" t="s">
        <v>53</v>
      </c>
      <c r="I339" s="7">
        <v>48</v>
      </c>
      <c r="J339" s="7">
        <v>59</v>
      </c>
      <c r="K339" s="20">
        <v>6210.46</v>
      </c>
      <c r="L339" s="20">
        <v>223.87</v>
      </c>
      <c r="M339" s="7">
        <v>37.68</v>
      </c>
      <c r="N339" s="20">
        <f>Table15[[#This Row],[Processing Fee]]-Table15[[#This Row],[Discount Applied]]</f>
        <v>186.19</v>
      </c>
      <c r="O339" s="7" t="str">
        <f>IF(Table15[[#This Row],[Revenue]]&gt;35000,"Achieved","Not Achieved")</f>
        <v>Not Achieved</v>
      </c>
      <c r="P339" s="8">
        <v>3</v>
      </c>
      <c r="Q339" s="7" t="str">
        <f>IF(AND(Table15[[#This Row],[CSAT Score]]&lt;=3,Table15[[#This Row],[Revenue]]&gt;=20000),"High-Risk","Stable")</f>
        <v>Stable</v>
      </c>
      <c r="R339" s="8" t="str" cm="1">
        <f t="array" ref="R339">_xlfn.IFS(Table15[[#This Row],[Revenue]]&gt;=35000,"Platinum",Table15[[#This Row],[Revenue]]&gt;=15000,"Gold",TRUE,"Standard")</f>
        <v>Standard</v>
      </c>
      <c r="S339" s="8" t="str">
        <f>IF(OR(Table15[[#This Row],[Product]]="Wealth Management",Table15[[#This Row],[Revenue]]&gt;=40000),"Yes","No")</f>
        <v>No</v>
      </c>
    </row>
    <row r="340" spans="1:19" x14ac:dyDescent="0.3">
      <c r="A340" s="5" t="s">
        <v>398</v>
      </c>
      <c r="B340" s="6">
        <v>45920</v>
      </c>
      <c r="C340" s="7" t="s">
        <v>26</v>
      </c>
      <c r="D340" s="7" t="s">
        <v>68</v>
      </c>
      <c r="E340" s="7" t="s">
        <v>59</v>
      </c>
      <c r="F340" s="7" t="s">
        <v>69</v>
      </c>
      <c r="G340" s="7" t="s">
        <v>56</v>
      </c>
      <c r="H340" s="7" t="s">
        <v>53</v>
      </c>
      <c r="I340" s="7">
        <v>45</v>
      </c>
      <c r="J340" s="7">
        <v>71</v>
      </c>
      <c r="K340" s="20">
        <v>43549.23</v>
      </c>
      <c r="L340" s="20">
        <v>170.27</v>
      </c>
      <c r="M340" s="7">
        <v>11.25</v>
      </c>
      <c r="N340" s="20">
        <f>Table15[[#This Row],[Processing Fee]]-Table15[[#This Row],[Discount Applied]]</f>
        <v>159.02000000000001</v>
      </c>
      <c r="O340" s="7" t="str">
        <f>IF(Table15[[#This Row],[Revenue]]&gt;35000,"Achieved","Not Achieved")</f>
        <v>Achieved</v>
      </c>
      <c r="P340" s="8">
        <v>3</v>
      </c>
      <c r="Q340" s="7" t="str">
        <f>IF(AND(Table15[[#This Row],[CSAT Score]]&lt;=3,Table15[[#This Row],[Revenue]]&gt;=20000),"High-Risk","Stable")</f>
        <v>High-Risk</v>
      </c>
      <c r="R340" s="8" t="str" cm="1">
        <f t="array" ref="R340">_xlfn.IFS(Table15[[#This Row],[Revenue]]&gt;=35000,"Platinum",Table15[[#This Row],[Revenue]]&gt;=15000,"Gold",TRUE,"Standard")</f>
        <v>Platinum</v>
      </c>
      <c r="S340" s="8" t="str">
        <f>IF(OR(Table15[[#This Row],[Product]]="Wealth Management",Table15[[#This Row],[Revenue]]&gt;=40000),"Yes","No")</f>
        <v>Yes</v>
      </c>
    </row>
    <row r="341" spans="1:19" x14ac:dyDescent="0.3">
      <c r="A341" s="5" t="s">
        <v>399</v>
      </c>
      <c r="B341" s="6">
        <v>46212</v>
      </c>
      <c r="C341" s="7" t="s">
        <v>26</v>
      </c>
      <c r="D341" s="7" t="s">
        <v>48</v>
      </c>
      <c r="E341" s="7" t="s">
        <v>59</v>
      </c>
      <c r="F341" s="7" t="s">
        <v>29</v>
      </c>
      <c r="G341" s="7" t="s">
        <v>30</v>
      </c>
      <c r="H341" s="7" t="s">
        <v>53</v>
      </c>
      <c r="I341" s="7">
        <v>52</v>
      </c>
      <c r="J341" s="7">
        <v>9</v>
      </c>
      <c r="K341" s="20">
        <v>23875.21</v>
      </c>
      <c r="L341" s="20">
        <v>239.68</v>
      </c>
      <c r="M341" s="7">
        <v>16.14</v>
      </c>
      <c r="N341" s="20">
        <f>Table15[[#This Row],[Processing Fee]]-Table15[[#This Row],[Discount Applied]]</f>
        <v>223.54000000000002</v>
      </c>
      <c r="O341" s="7" t="str">
        <f>IF(Table15[[#This Row],[Revenue]]&gt;35000,"Achieved","Not Achieved")</f>
        <v>Not Achieved</v>
      </c>
      <c r="P341" s="8">
        <v>5</v>
      </c>
      <c r="Q341" s="7" t="str">
        <f>IF(AND(Table15[[#This Row],[CSAT Score]]&lt;=3,Table15[[#This Row],[Revenue]]&gt;=20000),"High-Risk","Stable")</f>
        <v>Stable</v>
      </c>
      <c r="R341" s="8" t="str" cm="1">
        <f t="array" ref="R341">_xlfn.IFS(Table15[[#This Row],[Revenue]]&gt;=35000,"Platinum",Table15[[#This Row],[Revenue]]&gt;=15000,"Gold",TRUE,"Standard")</f>
        <v>Gold</v>
      </c>
      <c r="S341" s="8" t="str">
        <f>IF(OR(Table15[[#This Row],[Product]]="Wealth Management",Table15[[#This Row],[Revenue]]&gt;=40000),"Yes","No")</f>
        <v>No</v>
      </c>
    </row>
    <row r="342" spans="1:19" x14ac:dyDescent="0.3">
      <c r="A342" s="5" t="s">
        <v>400</v>
      </c>
      <c r="B342" s="6">
        <v>46064</v>
      </c>
      <c r="C342" s="7" t="s">
        <v>42</v>
      </c>
      <c r="D342" s="7" t="s">
        <v>52</v>
      </c>
      <c r="E342" s="7" t="s">
        <v>39</v>
      </c>
      <c r="F342" s="7" t="s">
        <v>69</v>
      </c>
      <c r="G342" s="7" t="s">
        <v>65</v>
      </c>
      <c r="H342" s="7" t="s">
        <v>31</v>
      </c>
      <c r="I342" s="7">
        <v>30</v>
      </c>
      <c r="J342" s="7">
        <v>109</v>
      </c>
      <c r="K342" s="20">
        <v>35787.68</v>
      </c>
      <c r="L342" s="20">
        <v>92.48</v>
      </c>
      <c r="M342" s="7">
        <v>297.83</v>
      </c>
      <c r="N342" s="20">
        <f>Table15[[#This Row],[Processing Fee]]-Table15[[#This Row],[Discount Applied]]</f>
        <v>-205.34999999999997</v>
      </c>
      <c r="O342" s="7" t="str">
        <f>IF(Table15[[#This Row],[Revenue]]&gt;35000,"Achieved","Not Achieved")</f>
        <v>Achieved</v>
      </c>
      <c r="P342" s="8">
        <v>5</v>
      </c>
      <c r="Q342" s="7" t="str">
        <f>IF(AND(Table15[[#This Row],[CSAT Score]]&lt;=3,Table15[[#This Row],[Revenue]]&gt;=20000),"High-Risk","Stable")</f>
        <v>Stable</v>
      </c>
      <c r="R342" s="8" t="str" cm="1">
        <f t="array" ref="R342">_xlfn.IFS(Table15[[#This Row],[Revenue]]&gt;=35000,"Platinum",Table15[[#This Row],[Revenue]]&gt;=15000,"Gold",TRUE,"Standard")</f>
        <v>Platinum</v>
      </c>
      <c r="S342" s="8" t="str">
        <f>IF(OR(Table15[[#This Row],[Product]]="Wealth Management",Table15[[#This Row],[Revenue]]&gt;=40000),"Yes","No")</f>
        <v>No</v>
      </c>
    </row>
    <row r="343" spans="1:19" x14ac:dyDescent="0.3">
      <c r="A343" s="5" t="s">
        <v>401</v>
      </c>
      <c r="B343" s="6">
        <v>45913</v>
      </c>
      <c r="C343" s="7" t="s">
        <v>26</v>
      </c>
      <c r="D343" s="7" t="s">
        <v>83</v>
      </c>
      <c r="E343" s="7" t="s">
        <v>59</v>
      </c>
      <c r="F343" s="7" t="s">
        <v>40</v>
      </c>
      <c r="G343" s="7" t="s">
        <v>65</v>
      </c>
      <c r="H343" s="7" t="s">
        <v>57</v>
      </c>
      <c r="I343" s="7">
        <v>62</v>
      </c>
      <c r="J343" s="7">
        <v>1</v>
      </c>
      <c r="K343" s="20">
        <v>19949.009999999998</v>
      </c>
      <c r="L343" s="20">
        <v>106.57</v>
      </c>
      <c r="M343" s="7">
        <v>156.72</v>
      </c>
      <c r="N343" s="20">
        <f>Table15[[#This Row],[Processing Fee]]-Table15[[#This Row],[Discount Applied]]</f>
        <v>-50.150000000000006</v>
      </c>
      <c r="O343" s="7" t="str">
        <f>IF(Table15[[#This Row],[Revenue]]&gt;35000,"Achieved","Not Achieved")</f>
        <v>Not Achieved</v>
      </c>
      <c r="P343" s="8">
        <v>2</v>
      </c>
      <c r="Q343" s="7" t="str">
        <f>IF(AND(Table15[[#This Row],[CSAT Score]]&lt;=3,Table15[[#This Row],[Revenue]]&gt;=20000),"High-Risk","Stable")</f>
        <v>Stable</v>
      </c>
      <c r="R343" s="8" t="str" cm="1">
        <f t="array" ref="R343">_xlfn.IFS(Table15[[#This Row],[Revenue]]&gt;=35000,"Platinum",Table15[[#This Row],[Revenue]]&gt;=15000,"Gold",TRUE,"Standard")</f>
        <v>Gold</v>
      </c>
      <c r="S343" s="8" t="str">
        <f>IF(OR(Table15[[#This Row],[Product]]="Wealth Management",Table15[[#This Row],[Revenue]]&gt;=40000),"Yes","No")</f>
        <v>No</v>
      </c>
    </row>
    <row r="344" spans="1:19" x14ac:dyDescent="0.3">
      <c r="A344" s="5" t="s">
        <v>402</v>
      </c>
      <c r="B344" s="6">
        <v>45935</v>
      </c>
      <c r="C344" s="7" t="s">
        <v>42</v>
      </c>
      <c r="D344" s="7" t="s">
        <v>48</v>
      </c>
      <c r="E344" s="7" t="s">
        <v>39</v>
      </c>
      <c r="F344" s="7" t="s">
        <v>35</v>
      </c>
      <c r="G344" s="7" t="s">
        <v>23</v>
      </c>
      <c r="H344" s="7" t="s">
        <v>31</v>
      </c>
      <c r="I344" s="7">
        <v>60</v>
      </c>
      <c r="J344" s="7">
        <v>29</v>
      </c>
      <c r="K344" s="20">
        <v>13306.19</v>
      </c>
      <c r="L344" s="20">
        <v>236.5</v>
      </c>
      <c r="M344" s="7">
        <v>276.60000000000002</v>
      </c>
      <c r="N344" s="20">
        <f>Table15[[#This Row],[Processing Fee]]-Table15[[#This Row],[Discount Applied]]</f>
        <v>-40.100000000000023</v>
      </c>
      <c r="O344" s="7" t="str">
        <f>IF(Table15[[#This Row],[Revenue]]&gt;35000,"Achieved","Not Achieved")</f>
        <v>Not Achieved</v>
      </c>
      <c r="P344" s="8">
        <v>2</v>
      </c>
      <c r="Q344" s="7" t="str">
        <f>IF(AND(Table15[[#This Row],[CSAT Score]]&lt;=3,Table15[[#This Row],[Revenue]]&gt;=20000),"High-Risk","Stable")</f>
        <v>Stable</v>
      </c>
      <c r="R344" s="8" t="str" cm="1">
        <f t="array" ref="R344">_xlfn.IFS(Table15[[#This Row],[Revenue]]&gt;=35000,"Platinum",Table15[[#This Row],[Revenue]]&gt;=15000,"Gold",TRUE,"Standard")</f>
        <v>Standard</v>
      </c>
      <c r="S344" s="8" t="str">
        <f>IF(OR(Table15[[#This Row],[Product]]="Wealth Management",Table15[[#This Row],[Revenue]]&gt;=40000),"Yes","No")</f>
        <v>No</v>
      </c>
    </row>
    <row r="345" spans="1:19" x14ac:dyDescent="0.3">
      <c r="A345" s="5" t="s">
        <v>403</v>
      </c>
      <c r="B345" s="6">
        <v>46206</v>
      </c>
      <c r="C345" s="7" t="s">
        <v>55</v>
      </c>
      <c r="D345" s="7" t="s">
        <v>27</v>
      </c>
      <c r="E345" s="7" t="s">
        <v>46</v>
      </c>
      <c r="F345" s="7" t="s">
        <v>69</v>
      </c>
      <c r="G345" s="7" t="s">
        <v>23</v>
      </c>
      <c r="H345" s="7" t="s">
        <v>57</v>
      </c>
      <c r="I345" s="7">
        <v>53</v>
      </c>
      <c r="J345" s="7">
        <v>63</v>
      </c>
      <c r="K345" s="20">
        <v>17686.009999999998</v>
      </c>
      <c r="L345" s="20">
        <v>393.1</v>
      </c>
      <c r="M345" s="7">
        <v>39.01</v>
      </c>
      <c r="N345" s="20">
        <f>Table15[[#This Row],[Processing Fee]]-Table15[[#This Row],[Discount Applied]]</f>
        <v>354.09000000000003</v>
      </c>
      <c r="O345" s="7" t="str">
        <f>IF(Table15[[#This Row],[Revenue]]&gt;35000,"Achieved","Not Achieved")</f>
        <v>Not Achieved</v>
      </c>
      <c r="P345" s="8">
        <v>2</v>
      </c>
      <c r="Q345" s="7" t="str">
        <f>IF(AND(Table15[[#This Row],[CSAT Score]]&lt;=3,Table15[[#This Row],[Revenue]]&gt;=20000),"High-Risk","Stable")</f>
        <v>Stable</v>
      </c>
      <c r="R345" s="8" t="str" cm="1">
        <f t="array" ref="R345">_xlfn.IFS(Table15[[#This Row],[Revenue]]&gt;=35000,"Platinum",Table15[[#This Row],[Revenue]]&gt;=15000,"Gold",TRUE,"Standard")</f>
        <v>Gold</v>
      </c>
      <c r="S345" s="8" t="str">
        <f>IF(OR(Table15[[#This Row],[Product]]="Wealth Management",Table15[[#This Row],[Revenue]]&gt;=40000),"Yes","No")</f>
        <v>No</v>
      </c>
    </row>
    <row r="346" spans="1:19" x14ac:dyDescent="0.3">
      <c r="A346" s="5" t="s">
        <v>404</v>
      </c>
      <c r="B346" s="6">
        <v>45882</v>
      </c>
      <c r="C346" s="7" t="s">
        <v>42</v>
      </c>
      <c r="D346" s="7" t="s">
        <v>20</v>
      </c>
      <c r="E346" s="7" t="s">
        <v>28</v>
      </c>
      <c r="F346" s="7" t="s">
        <v>29</v>
      </c>
      <c r="G346" s="7" t="s">
        <v>36</v>
      </c>
      <c r="H346" s="7" t="s">
        <v>24</v>
      </c>
      <c r="I346" s="7">
        <v>33</v>
      </c>
      <c r="J346" s="7">
        <v>72</v>
      </c>
      <c r="K346" s="20">
        <v>39812.03</v>
      </c>
      <c r="L346" s="20">
        <v>455.14</v>
      </c>
      <c r="M346" s="7">
        <v>192.11</v>
      </c>
      <c r="N346" s="20">
        <f>Table15[[#This Row],[Processing Fee]]-Table15[[#This Row],[Discount Applied]]</f>
        <v>263.02999999999997</v>
      </c>
      <c r="O346" s="7" t="str">
        <f>IF(Table15[[#This Row],[Revenue]]&gt;35000,"Achieved","Not Achieved")</f>
        <v>Achieved</v>
      </c>
      <c r="P346" s="8">
        <v>5</v>
      </c>
      <c r="Q346" s="7" t="str">
        <f>IF(AND(Table15[[#This Row],[CSAT Score]]&lt;=3,Table15[[#This Row],[Revenue]]&gt;=20000),"High-Risk","Stable")</f>
        <v>Stable</v>
      </c>
      <c r="R346" s="8" t="str" cm="1">
        <f t="array" ref="R346">_xlfn.IFS(Table15[[#This Row],[Revenue]]&gt;=35000,"Platinum",Table15[[#This Row],[Revenue]]&gt;=15000,"Gold",TRUE,"Standard")</f>
        <v>Platinum</v>
      </c>
      <c r="S346" s="8" t="str">
        <f>IF(OR(Table15[[#This Row],[Product]]="Wealth Management",Table15[[#This Row],[Revenue]]&gt;=40000),"Yes","No")</f>
        <v>No</v>
      </c>
    </row>
    <row r="347" spans="1:19" x14ac:dyDescent="0.3">
      <c r="A347" s="5" t="s">
        <v>405</v>
      </c>
      <c r="B347" s="6">
        <v>45999</v>
      </c>
      <c r="C347" s="7" t="s">
        <v>19</v>
      </c>
      <c r="D347" s="7" t="s">
        <v>20</v>
      </c>
      <c r="E347" s="7" t="s">
        <v>28</v>
      </c>
      <c r="F347" s="7" t="s">
        <v>35</v>
      </c>
      <c r="G347" s="7" t="s">
        <v>30</v>
      </c>
      <c r="H347" s="7" t="s">
        <v>31</v>
      </c>
      <c r="I347" s="7">
        <v>61</v>
      </c>
      <c r="J347" s="7">
        <v>56</v>
      </c>
      <c r="K347" s="20">
        <v>31448.2</v>
      </c>
      <c r="L347" s="20">
        <v>349.17</v>
      </c>
      <c r="M347" s="7">
        <v>42.8</v>
      </c>
      <c r="N347" s="20">
        <f>Table15[[#This Row],[Processing Fee]]-Table15[[#This Row],[Discount Applied]]</f>
        <v>306.37</v>
      </c>
      <c r="O347" s="7" t="str">
        <f>IF(Table15[[#This Row],[Revenue]]&gt;35000,"Achieved","Not Achieved")</f>
        <v>Not Achieved</v>
      </c>
      <c r="P347" s="8">
        <v>5</v>
      </c>
      <c r="Q347" s="7" t="str">
        <f>IF(AND(Table15[[#This Row],[CSAT Score]]&lt;=3,Table15[[#This Row],[Revenue]]&gt;=20000),"High-Risk","Stable")</f>
        <v>Stable</v>
      </c>
      <c r="R347" s="8" t="str" cm="1">
        <f t="array" ref="R347">_xlfn.IFS(Table15[[#This Row],[Revenue]]&gt;=35000,"Platinum",Table15[[#This Row],[Revenue]]&gt;=15000,"Gold",TRUE,"Standard")</f>
        <v>Gold</v>
      </c>
      <c r="S347" s="8" t="str">
        <f>IF(OR(Table15[[#This Row],[Product]]="Wealth Management",Table15[[#This Row],[Revenue]]&gt;=40000),"Yes","No")</f>
        <v>No</v>
      </c>
    </row>
    <row r="348" spans="1:19" x14ac:dyDescent="0.3">
      <c r="A348" s="5" t="s">
        <v>406</v>
      </c>
      <c r="B348" s="6">
        <v>46010</v>
      </c>
      <c r="C348" s="7" t="s">
        <v>42</v>
      </c>
      <c r="D348" s="7" t="s">
        <v>34</v>
      </c>
      <c r="E348" s="7" t="s">
        <v>28</v>
      </c>
      <c r="F348" s="7" t="s">
        <v>40</v>
      </c>
      <c r="G348" s="7" t="s">
        <v>23</v>
      </c>
      <c r="H348" s="7" t="s">
        <v>57</v>
      </c>
      <c r="I348" s="7">
        <v>74</v>
      </c>
      <c r="J348" s="7">
        <v>118</v>
      </c>
      <c r="K348" s="20">
        <v>46913.17</v>
      </c>
      <c r="L348" s="20">
        <v>97.35</v>
      </c>
      <c r="M348" s="7">
        <v>101.82</v>
      </c>
      <c r="N348" s="20">
        <f>Table15[[#This Row],[Processing Fee]]-Table15[[#This Row],[Discount Applied]]</f>
        <v>-4.4699999999999989</v>
      </c>
      <c r="O348" s="7" t="str">
        <f>IF(Table15[[#This Row],[Revenue]]&gt;35000,"Achieved","Not Achieved")</f>
        <v>Achieved</v>
      </c>
      <c r="P348" s="8">
        <v>1</v>
      </c>
      <c r="Q348" s="7" t="str">
        <f>IF(AND(Table15[[#This Row],[CSAT Score]]&lt;=3,Table15[[#This Row],[Revenue]]&gt;=20000),"High-Risk","Stable")</f>
        <v>High-Risk</v>
      </c>
      <c r="R348" s="8" t="str" cm="1">
        <f t="array" ref="R348">_xlfn.IFS(Table15[[#This Row],[Revenue]]&gt;=35000,"Platinum",Table15[[#This Row],[Revenue]]&gt;=15000,"Gold",TRUE,"Standard")</f>
        <v>Platinum</v>
      </c>
      <c r="S348" s="8" t="str">
        <f>IF(OR(Table15[[#This Row],[Product]]="Wealth Management",Table15[[#This Row],[Revenue]]&gt;=40000),"Yes","No")</f>
        <v>Yes</v>
      </c>
    </row>
    <row r="349" spans="1:19" x14ac:dyDescent="0.3">
      <c r="A349" s="5" t="s">
        <v>407</v>
      </c>
      <c r="B349" s="6">
        <v>45887</v>
      </c>
      <c r="C349" s="7" t="s">
        <v>26</v>
      </c>
      <c r="D349" s="7" t="s">
        <v>61</v>
      </c>
      <c r="E349" s="7" t="s">
        <v>28</v>
      </c>
      <c r="F349" s="7" t="s">
        <v>35</v>
      </c>
      <c r="G349" s="7" t="s">
        <v>23</v>
      </c>
      <c r="H349" s="7" t="s">
        <v>57</v>
      </c>
      <c r="I349" s="7">
        <v>62</v>
      </c>
      <c r="J349" s="7">
        <v>68</v>
      </c>
      <c r="K349" s="20">
        <v>34145.39</v>
      </c>
      <c r="L349" s="20">
        <v>352.41</v>
      </c>
      <c r="M349" s="7">
        <v>165.94</v>
      </c>
      <c r="N349" s="20">
        <f>Table15[[#This Row],[Processing Fee]]-Table15[[#This Row],[Discount Applied]]</f>
        <v>186.47000000000003</v>
      </c>
      <c r="O349" s="7" t="str">
        <f>IF(Table15[[#This Row],[Revenue]]&gt;35000,"Achieved","Not Achieved")</f>
        <v>Not Achieved</v>
      </c>
      <c r="P349" s="8">
        <v>4</v>
      </c>
      <c r="Q349" s="7" t="str">
        <f>IF(AND(Table15[[#This Row],[CSAT Score]]&lt;=3,Table15[[#This Row],[Revenue]]&gt;=20000),"High-Risk","Stable")</f>
        <v>Stable</v>
      </c>
      <c r="R349" s="8" t="str" cm="1">
        <f t="array" ref="R349">_xlfn.IFS(Table15[[#This Row],[Revenue]]&gt;=35000,"Platinum",Table15[[#This Row],[Revenue]]&gt;=15000,"Gold",TRUE,"Standard")</f>
        <v>Gold</v>
      </c>
      <c r="S349" s="8" t="str">
        <f>IF(OR(Table15[[#This Row],[Product]]="Wealth Management",Table15[[#This Row],[Revenue]]&gt;=40000),"Yes","No")</f>
        <v>No</v>
      </c>
    </row>
    <row r="350" spans="1:19" x14ac:dyDescent="0.3">
      <c r="A350" s="5" t="s">
        <v>408</v>
      </c>
      <c r="B350" s="6">
        <v>46203</v>
      </c>
      <c r="C350" s="7" t="s">
        <v>44</v>
      </c>
      <c r="D350" s="7" t="s">
        <v>79</v>
      </c>
      <c r="E350" s="7" t="s">
        <v>28</v>
      </c>
      <c r="F350" s="7" t="s">
        <v>69</v>
      </c>
      <c r="G350" s="7" t="s">
        <v>30</v>
      </c>
      <c r="H350" s="7" t="s">
        <v>31</v>
      </c>
      <c r="I350" s="7">
        <v>67</v>
      </c>
      <c r="J350" s="7">
        <v>35</v>
      </c>
      <c r="K350" s="20">
        <v>28723.99</v>
      </c>
      <c r="L350" s="20">
        <v>335.94</v>
      </c>
      <c r="M350" s="7">
        <v>104.94</v>
      </c>
      <c r="N350" s="20">
        <f>Table15[[#This Row],[Processing Fee]]-Table15[[#This Row],[Discount Applied]]</f>
        <v>231</v>
      </c>
      <c r="O350" s="7" t="str">
        <f>IF(Table15[[#This Row],[Revenue]]&gt;35000,"Achieved","Not Achieved")</f>
        <v>Not Achieved</v>
      </c>
      <c r="P350" s="8">
        <v>4</v>
      </c>
      <c r="Q350" s="7" t="str">
        <f>IF(AND(Table15[[#This Row],[CSAT Score]]&lt;=3,Table15[[#This Row],[Revenue]]&gt;=20000),"High-Risk","Stable")</f>
        <v>Stable</v>
      </c>
      <c r="R350" s="8" t="str" cm="1">
        <f t="array" ref="R350">_xlfn.IFS(Table15[[#This Row],[Revenue]]&gt;=35000,"Platinum",Table15[[#This Row],[Revenue]]&gt;=15000,"Gold",TRUE,"Standard")</f>
        <v>Gold</v>
      </c>
      <c r="S350" s="8" t="str">
        <f>IF(OR(Table15[[#This Row],[Product]]="Wealth Management",Table15[[#This Row],[Revenue]]&gt;=40000),"Yes","No")</f>
        <v>No</v>
      </c>
    </row>
    <row r="351" spans="1:19" x14ac:dyDescent="0.3">
      <c r="A351" s="5" t="s">
        <v>409</v>
      </c>
      <c r="B351" s="6">
        <v>46019</v>
      </c>
      <c r="C351" s="7" t="s">
        <v>19</v>
      </c>
      <c r="D351" s="7" t="s">
        <v>20</v>
      </c>
      <c r="E351" s="7" t="s">
        <v>28</v>
      </c>
      <c r="F351" s="7" t="s">
        <v>40</v>
      </c>
      <c r="G351" s="7" t="s">
        <v>36</v>
      </c>
      <c r="H351" s="7" t="s">
        <v>31</v>
      </c>
      <c r="I351" s="7">
        <v>57</v>
      </c>
      <c r="J351" s="7">
        <v>3</v>
      </c>
      <c r="K351" s="20">
        <v>30704.7</v>
      </c>
      <c r="L351" s="20">
        <v>412.59</v>
      </c>
      <c r="M351" s="7">
        <v>127.46</v>
      </c>
      <c r="N351" s="20">
        <f>Table15[[#This Row],[Processing Fee]]-Table15[[#This Row],[Discount Applied]]</f>
        <v>285.13</v>
      </c>
      <c r="O351" s="7" t="str">
        <f>IF(Table15[[#This Row],[Revenue]]&gt;35000,"Achieved","Not Achieved")</f>
        <v>Not Achieved</v>
      </c>
      <c r="P351" s="8">
        <v>1</v>
      </c>
      <c r="Q351" s="7" t="str">
        <f>IF(AND(Table15[[#This Row],[CSAT Score]]&lt;=3,Table15[[#This Row],[Revenue]]&gt;=20000),"High-Risk","Stable")</f>
        <v>High-Risk</v>
      </c>
      <c r="R351" s="8" t="str" cm="1">
        <f t="array" ref="R351">_xlfn.IFS(Table15[[#This Row],[Revenue]]&gt;=35000,"Platinum",Table15[[#This Row],[Revenue]]&gt;=15000,"Gold",TRUE,"Standard")</f>
        <v>Gold</v>
      </c>
      <c r="S351" s="8" t="str">
        <f>IF(OR(Table15[[#This Row],[Product]]="Wealth Management",Table15[[#This Row],[Revenue]]&gt;=40000),"Yes","No")</f>
        <v>No</v>
      </c>
    </row>
    <row r="352" spans="1:19" x14ac:dyDescent="0.3">
      <c r="A352" s="5" t="s">
        <v>410</v>
      </c>
      <c r="B352" s="6">
        <v>45931</v>
      </c>
      <c r="C352" s="7" t="s">
        <v>26</v>
      </c>
      <c r="D352" s="7" t="s">
        <v>63</v>
      </c>
      <c r="E352" s="7" t="s">
        <v>28</v>
      </c>
      <c r="F352" s="7" t="s">
        <v>29</v>
      </c>
      <c r="G352" s="7" t="s">
        <v>23</v>
      </c>
      <c r="H352" s="7" t="s">
        <v>57</v>
      </c>
      <c r="I352" s="7">
        <v>74</v>
      </c>
      <c r="J352" s="7">
        <v>118</v>
      </c>
      <c r="K352" s="20">
        <v>47147.39</v>
      </c>
      <c r="L352" s="20">
        <v>421.36</v>
      </c>
      <c r="M352" s="7">
        <v>25.64</v>
      </c>
      <c r="N352" s="20">
        <f>Table15[[#This Row],[Processing Fee]]-Table15[[#This Row],[Discount Applied]]</f>
        <v>395.72</v>
      </c>
      <c r="O352" s="7" t="str">
        <f>IF(Table15[[#This Row],[Revenue]]&gt;35000,"Achieved","Not Achieved")</f>
        <v>Achieved</v>
      </c>
      <c r="P352" s="8">
        <v>4</v>
      </c>
      <c r="Q352" s="7" t="str">
        <f>IF(AND(Table15[[#This Row],[CSAT Score]]&lt;=3,Table15[[#This Row],[Revenue]]&gt;=20000),"High-Risk","Stable")</f>
        <v>Stable</v>
      </c>
      <c r="R352" s="8" t="str" cm="1">
        <f t="array" ref="R352">_xlfn.IFS(Table15[[#This Row],[Revenue]]&gt;=35000,"Platinum",Table15[[#This Row],[Revenue]]&gt;=15000,"Gold",TRUE,"Standard")</f>
        <v>Platinum</v>
      </c>
      <c r="S352" s="8" t="str">
        <f>IF(OR(Table15[[#This Row],[Product]]="Wealth Management",Table15[[#This Row],[Revenue]]&gt;=40000),"Yes","No")</f>
        <v>Yes</v>
      </c>
    </row>
    <row r="353" spans="1:19" x14ac:dyDescent="0.3">
      <c r="A353" s="5" t="s">
        <v>411</v>
      </c>
      <c r="B353" s="6">
        <v>45996</v>
      </c>
      <c r="C353" s="7" t="s">
        <v>91</v>
      </c>
      <c r="D353" s="7" t="s">
        <v>61</v>
      </c>
      <c r="E353" s="7" t="s">
        <v>46</v>
      </c>
      <c r="F353" s="7" t="s">
        <v>40</v>
      </c>
      <c r="G353" s="7" t="s">
        <v>36</v>
      </c>
      <c r="H353" s="7" t="s">
        <v>31</v>
      </c>
      <c r="I353" s="7">
        <v>36</v>
      </c>
      <c r="J353" s="7">
        <v>109</v>
      </c>
      <c r="K353" s="20">
        <v>39515.949999999997</v>
      </c>
      <c r="L353" s="20">
        <v>440.69</v>
      </c>
      <c r="M353" s="7">
        <v>36.869999999999997</v>
      </c>
      <c r="N353" s="20">
        <f>Table15[[#This Row],[Processing Fee]]-Table15[[#This Row],[Discount Applied]]</f>
        <v>403.82</v>
      </c>
      <c r="O353" s="7" t="str">
        <f>IF(Table15[[#This Row],[Revenue]]&gt;35000,"Achieved","Not Achieved")</f>
        <v>Achieved</v>
      </c>
      <c r="P353" s="8">
        <v>5</v>
      </c>
      <c r="Q353" s="7" t="str">
        <f>IF(AND(Table15[[#This Row],[CSAT Score]]&lt;=3,Table15[[#This Row],[Revenue]]&gt;=20000),"High-Risk","Stable")</f>
        <v>Stable</v>
      </c>
      <c r="R353" s="8" t="str" cm="1">
        <f t="array" ref="R353">_xlfn.IFS(Table15[[#This Row],[Revenue]]&gt;=35000,"Platinum",Table15[[#This Row],[Revenue]]&gt;=15000,"Gold",TRUE,"Standard")</f>
        <v>Platinum</v>
      </c>
      <c r="S353" s="8" t="str">
        <f>IF(OR(Table15[[#This Row],[Product]]="Wealth Management",Table15[[#This Row],[Revenue]]&gt;=40000),"Yes","No")</f>
        <v>No</v>
      </c>
    </row>
    <row r="354" spans="1:19" x14ac:dyDescent="0.3">
      <c r="A354" s="5" t="s">
        <v>412</v>
      </c>
      <c r="B354" s="6">
        <v>46139</v>
      </c>
      <c r="C354" s="7" t="s">
        <v>91</v>
      </c>
      <c r="D354" s="7" t="s">
        <v>38</v>
      </c>
      <c r="E354" s="7" t="s">
        <v>59</v>
      </c>
      <c r="F354" s="7" t="s">
        <v>40</v>
      </c>
      <c r="G354" s="7" t="s">
        <v>56</v>
      </c>
      <c r="H354" s="7" t="s">
        <v>53</v>
      </c>
      <c r="I354" s="7">
        <v>65</v>
      </c>
      <c r="J354" s="7">
        <v>104</v>
      </c>
      <c r="K354" s="20">
        <v>1690.04</v>
      </c>
      <c r="L354" s="20">
        <v>236.36</v>
      </c>
      <c r="M354" s="7">
        <v>123.91</v>
      </c>
      <c r="N354" s="20">
        <f>Table15[[#This Row],[Processing Fee]]-Table15[[#This Row],[Discount Applied]]</f>
        <v>112.45000000000002</v>
      </c>
      <c r="O354" s="7" t="str">
        <f>IF(Table15[[#This Row],[Revenue]]&gt;35000,"Achieved","Not Achieved")</f>
        <v>Not Achieved</v>
      </c>
      <c r="P354" s="8">
        <v>4</v>
      </c>
      <c r="Q354" s="7" t="str">
        <f>IF(AND(Table15[[#This Row],[CSAT Score]]&lt;=3,Table15[[#This Row],[Revenue]]&gt;=20000),"High-Risk","Stable")</f>
        <v>Stable</v>
      </c>
      <c r="R354" s="8" t="str" cm="1">
        <f t="array" ref="R354">_xlfn.IFS(Table15[[#This Row],[Revenue]]&gt;=35000,"Platinum",Table15[[#This Row],[Revenue]]&gt;=15000,"Gold",TRUE,"Standard")</f>
        <v>Standard</v>
      </c>
      <c r="S354" s="8" t="str">
        <f>IF(OR(Table15[[#This Row],[Product]]="Wealth Management",Table15[[#This Row],[Revenue]]&gt;=40000),"Yes","No")</f>
        <v>No</v>
      </c>
    </row>
    <row r="355" spans="1:19" x14ac:dyDescent="0.3">
      <c r="A355" s="5" t="s">
        <v>413</v>
      </c>
      <c r="B355" s="6">
        <v>46144</v>
      </c>
      <c r="C355" s="7" t="s">
        <v>44</v>
      </c>
      <c r="D355" s="7" t="s">
        <v>68</v>
      </c>
      <c r="E355" s="7" t="s">
        <v>21</v>
      </c>
      <c r="F355" s="7" t="s">
        <v>22</v>
      </c>
      <c r="G355" s="7" t="s">
        <v>36</v>
      </c>
      <c r="H355" s="7" t="s">
        <v>31</v>
      </c>
      <c r="I355" s="7">
        <v>42</v>
      </c>
      <c r="J355" s="7">
        <v>7</v>
      </c>
      <c r="K355" s="20">
        <v>26939.91</v>
      </c>
      <c r="L355" s="20">
        <v>364.04</v>
      </c>
      <c r="M355" s="7">
        <v>202.67</v>
      </c>
      <c r="N355" s="20">
        <f>Table15[[#This Row],[Processing Fee]]-Table15[[#This Row],[Discount Applied]]</f>
        <v>161.37000000000003</v>
      </c>
      <c r="O355" s="7" t="str">
        <f>IF(Table15[[#This Row],[Revenue]]&gt;35000,"Achieved","Not Achieved")</f>
        <v>Not Achieved</v>
      </c>
      <c r="P355" s="8">
        <v>5</v>
      </c>
      <c r="Q355" s="7" t="str">
        <f>IF(AND(Table15[[#This Row],[CSAT Score]]&lt;=3,Table15[[#This Row],[Revenue]]&gt;=20000),"High-Risk","Stable")</f>
        <v>Stable</v>
      </c>
      <c r="R355" s="8" t="str" cm="1">
        <f t="array" ref="R355">_xlfn.IFS(Table15[[#This Row],[Revenue]]&gt;=35000,"Platinum",Table15[[#This Row],[Revenue]]&gt;=15000,"Gold",TRUE,"Standard")</f>
        <v>Gold</v>
      </c>
      <c r="S355" s="8" t="str">
        <f>IF(OR(Table15[[#This Row],[Product]]="Wealth Management",Table15[[#This Row],[Revenue]]&gt;=40000),"Yes","No")</f>
        <v>Yes</v>
      </c>
    </row>
    <row r="356" spans="1:19" x14ac:dyDescent="0.3">
      <c r="A356" s="5" t="s">
        <v>414</v>
      </c>
      <c r="B356" s="6">
        <v>46173</v>
      </c>
      <c r="C356" s="7" t="s">
        <v>44</v>
      </c>
      <c r="D356" s="7" t="s">
        <v>27</v>
      </c>
      <c r="E356" s="7" t="s">
        <v>39</v>
      </c>
      <c r="F356" s="7" t="s">
        <v>40</v>
      </c>
      <c r="G356" s="7" t="s">
        <v>65</v>
      </c>
      <c r="H356" s="7" t="s">
        <v>31</v>
      </c>
      <c r="I356" s="7">
        <v>40</v>
      </c>
      <c r="J356" s="7">
        <v>27</v>
      </c>
      <c r="K356" s="20">
        <v>34572.75</v>
      </c>
      <c r="L356" s="20">
        <v>170.71</v>
      </c>
      <c r="M356" s="7">
        <v>233.2</v>
      </c>
      <c r="N356" s="20">
        <f>Table15[[#This Row],[Processing Fee]]-Table15[[#This Row],[Discount Applied]]</f>
        <v>-62.489999999999981</v>
      </c>
      <c r="O356" s="7" t="str">
        <f>IF(Table15[[#This Row],[Revenue]]&gt;35000,"Achieved","Not Achieved")</f>
        <v>Not Achieved</v>
      </c>
      <c r="P356" s="8">
        <v>1</v>
      </c>
      <c r="Q356" s="7" t="str">
        <f>IF(AND(Table15[[#This Row],[CSAT Score]]&lt;=3,Table15[[#This Row],[Revenue]]&gt;=20000),"High-Risk","Stable")</f>
        <v>High-Risk</v>
      </c>
      <c r="R356" s="8" t="str" cm="1">
        <f t="array" ref="R356">_xlfn.IFS(Table15[[#This Row],[Revenue]]&gt;=35000,"Platinum",Table15[[#This Row],[Revenue]]&gt;=15000,"Gold",TRUE,"Standard")</f>
        <v>Gold</v>
      </c>
      <c r="S356" s="8" t="str">
        <f>IF(OR(Table15[[#This Row],[Product]]="Wealth Management",Table15[[#This Row],[Revenue]]&gt;=40000),"Yes","No")</f>
        <v>No</v>
      </c>
    </row>
    <row r="357" spans="1:19" x14ac:dyDescent="0.3">
      <c r="A357" s="5" t="s">
        <v>415</v>
      </c>
      <c r="B357" s="6">
        <v>45914</v>
      </c>
      <c r="C357" s="7" t="s">
        <v>19</v>
      </c>
      <c r="D357" s="7" t="s">
        <v>83</v>
      </c>
      <c r="E357" s="7" t="s">
        <v>21</v>
      </c>
      <c r="F357" s="7" t="s">
        <v>40</v>
      </c>
      <c r="G357" s="7" t="s">
        <v>65</v>
      </c>
      <c r="H357" s="7" t="s">
        <v>31</v>
      </c>
      <c r="I357" s="7">
        <v>70</v>
      </c>
      <c r="J357" s="7">
        <v>1</v>
      </c>
      <c r="K357" s="20">
        <v>37560.57</v>
      </c>
      <c r="L357" s="20">
        <v>499.7</v>
      </c>
      <c r="M357" s="7">
        <v>167.01</v>
      </c>
      <c r="N357" s="20">
        <f>Table15[[#This Row],[Processing Fee]]-Table15[[#This Row],[Discount Applied]]</f>
        <v>332.69</v>
      </c>
      <c r="O357" s="7" t="str">
        <f>IF(Table15[[#This Row],[Revenue]]&gt;35000,"Achieved","Not Achieved")</f>
        <v>Achieved</v>
      </c>
      <c r="P357" s="8">
        <v>2</v>
      </c>
      <c r="Q357" s="7" t="str">
        <f>IF(AND(Table15[[#This Row],[CSAT Score]]&lt;=3,Table15[[#This Row],[Revenue]]&gt;=20000),"High-Risk","Stable")</f>
        <v>High-Risk</v>
      </c>
      <c r="R357" s="8" t="str" cm="1">
        <f t="array" ref="R357">_xlfn.IFS(Table15[[#This Row],[Revenue]]&gt;=35000,"Platinum",Table15[[#This Row],[Revenue]]&gt;=15000,"Gold",TRUE,"Standard")</f>
        <v>Platinum</v>
      </c>
      <c r="S357" s="8" t="str">
        <f>IF(OR(Table15[[#This Row],[Product]]="Wealth Management",Table15[[#This Row],[Revenue]]&gt;=40000),"Yes","No")</f>
        <v>No</v>
      </c>
    </row>
    <row r="358" spans="1:19" x14ac:dyDescent="0.3">
      <c r="A358" s="5" t="s">
        <v>416</v>
      </c>
      <c r="B358" s="6">
        <v>46076</v>
      </c>
      <c r="C358" s="7" t="s">
        <v>55</v>
      </c>
      <c r="D358" s="7" t="s">
        <v>79</v>
      </c>
      <c r="E358" s="7" t="s">
        <v>21</v>
      </c>
      <c r="F358" s="7" t="s">
        <v>35</v>
      </c>
      <c r="G358" s="7" t="s">
        <v>36</v>
      </c>
      <c r="H358" s="7" t="s">
        <v>57</v>
      </c>
      <c r="I358" s="7">
        <v>63</v>
      </c>
      <c r="J358" s="7">
        <v>91</v>
      </c>
      <c r="K358" s="20">
        <v>11050.53</v>
      </c>
      <c r="L358" s="20">
        <v>128.9</v>
      </c>
      <c r="M358" s="7">
        <v>129.15</v>
      </c>
      <c r="N358" s="20">
        <f>Table15[[#This Row],[Processing Fee]]-Table15[[#This Row],[Discount Applied]]</f>
        <v>-0.25</v>
      </c>
      <c r="O358" s="7" t="str">
        <f>IF(Table15[[#This Row],[Revenue]]&gt;35000,"Achieved","Not Achieved")</f>
        <v>Not Achieved</v>
      </c>
      <c r="P358" s="8">
        <v>1</v>
      </c>
      <c r="Q358" s="7" t="str">
        <f>IF(AND(Table15[[#This Row],[CSAT Score]]&lt;=3,Table15[[#This Row],[Revenue]]&gt;=20000),"High-Risk","Stable")</f>
        <v>Stable</v>
      </c>
      <c r="R358" s="8" t="str" cm="1">
        <f t="array" ref="R358">_xlfn.IFS(Table15[[#This Row],[Revenue]]&gt;=35000,"Platinum",Table15[[#This Row],[Revenue]]&gt;=15000,"Gold",TRUE,"Standard")</f>
        <v>Standard</v>
      </c>
      <c r="S358" s="8" t="str">
        <f>IF(OR(Table15[[#This Row],[Product]]="Wealth Management",Table15[[#This Row],[Revenue]]&gt;=40000),"Yes","No")</f>
        <v>No</v>
      </c>
    </row>
    <row r="359" spans="1:19" x14ac:dyDescent="0.3">
      <c r="A359" s="5" t="s">
        <v>417</v>
      </c>
      <c r="B359" s="6">
        <v>45979</v>
      </c>
      <c r="C359" s="7" t="s">
        <v>44</v>
      </c>
      <c r="D359" s="7" t="s">
        <v>77</v>
      </c>
      <c r="E359" s="7" t="s">
        <v>59</v>
      </c>
      <c r="F359" s="7" t="s">
        <v>29</v>
      </c>
      <c r="G359" s="7" t="s">
        <v>65</v>
      </c>
      <c r="H359" s="7" t="s">
        <v>53</v>
      </c>
      <c r="I359" s="7">
        <v>47</v>
      </c>
      <c r="J359" s="7">
        <v>80</v>
      </c>
      <c r="K359" s="20">
        <v>43425.279999999999</v>
      </c>
      <c r="L359" s="20">
        <v>54.55</v>
      </c>
      <c r="M359" s="7">
        <v>2.7</v>
      </c>
      <c r="N359" s="20">
        <f>Table15[[#This Row],[Processing Fee]]-Table15[[#This Row],[Discount Applied]]</f>
        <v>51.849999999999994</v>
      </c>
      <c r="O359" s="7" t="str">
        <f>IF(Table15[[#This Row],[Revenue]]&gt;35000,"Achieved","Not Achieved")</f>
        <v>Achieved</v>
      </c>
      <c r="P359" s="8">
        <v>4</v>
      </c>
      <c r="Q359" s="7" t="str">
        <f>IF(AND(Table15[[#This Row],[CSAT Score]]&lt;=3,Table15[[#This Row],[Revenue]]&gt;=20000),"High-Risk","Stable")</f>
        <v>Stable</v>
      </c>
      <c r="R359" s="8" t="str" cm="1">
        <f t="array" ref="R359">_xlfn.IFS(Table15[[#This Row],[Revenue]]&gt;=35000,"Platinum",Table15[[#This Row],[Revenue]]&gt;=15000,"Gold",TRUE,"Standard")</f>
        <v>Platinum</v>
      </c>
      <c r="S359" s="8" t="str">
        <f>IF(OR(Table15[[#This Row],[Product]]="Wealth Management",Table15[[#This Row],[Revenue]]&gt;=40000),"Yes","No")</f>
        <v>Yes</v>
      </c>
    </row>
    <row r="360" spans="1:19" x14ac:dyDescent="0.3">
      <c r="A360" s="5" t="s">
        <v>418</v>
      </c>
      <c r="B360" s="6">
        <v>45938</v>
      </c>
      <c r="C360" s="7" t="s">
        <v>91</v>
      </c>
      <c r="D360" s="7" t="s">
        <v>63</v>
      </c>
      <c r="E360" s="7" t="s">
        <v>59</v>
      </c>
      <c r="F360" s="7" t="s">
        <v>35</v>
      </c>
      <c r="G360" s="7" t="s">
        <v>56</v>
      </c>
      <c r="H360" s="7" t="s">
        <v>24</v>
      </c>
      <c r="I360" s="7">
        <v>61</v>
      </c>
      <c r="J360" s="7">
        <v>102</v>
      </c>
      <c r="K360" s="20">
        <v>47814.239999999998</v>
      </c>
      <c r="L360" s="20">
        <v>116.96</v>
      </c>
      <c r="M360" s="7">
        <v>32.43</v>
      </c>
      <c r="N360" s="20">
        <f>Table15[[#This Row],[Processing Fee]]-Table15[[#This Row],[Discount Applied]]</f>
        <v>84.53</v>
      </c>
      <c r="O360" s="7" t="str">
        <f>IF(Table15[[#This Row],[Revenue]]&gt;35000,"Achieved","Not Achieved")</f>
        <v>Achieved</v>
      </c>
      <c r="P360" s="8">
        <v>5</v>
      </c>
      <c r="Q360" s="7" t="str">
        <f>IF(AND(Table15[[#This Row],[CSAT Score]]&lt;=3,Table15[[#This Row],[Revenue]]&gt;=20000),"High-Risk","Stable")</f>
        <v>Stable</v>
      </c>
      <c r="R360" s="8" t="str" cm="1">
        <f t="array" ref="R360">_xlfn.IFS(Table15[[#This Row],[Revenue]]&gt;=35000,"Platinum",Table15[[#This Row],[Revenue]]&gt;=15000,"Gold",TRUE,"Standard")</f>
        <v>Platinum</v>
      </c>
      <c r="S360" s="8" t="str">
        <f>IF(OR(Table15[[#This Row],[Product]]="Wealth Management",Table15[[#This Row],[Revenue]]&gt;=40000),"Yes","No")</f>
        <v>Yes</v>
      </c>
    </row>
    <row r="361" spans="1:19" x14ac:dyDescent="0.3">
      <c r="A361" s="5" t="s">
        <v>419</v>
      </c>
      <c r="B361" s="6">
        <v>45981</v>
      </c>
      <c r="C361" s="7" t="s">
        <v>42</v>
      </c>
      <c r="D361" s="7" t="s">
        <v>50</v>
      </c>
      <c r="E361" s="7" t="s">
        <v>59</v>
      </c>
      <c r="F361" s="7" t="s">
        <v>35</v>
      </c>
      <c r="G361" s="7" t="s">
        <v>30</v>
      </c>
      <c r="H361" s="7" t="s">
        <v>24</v>
      </c>
      <c r="I361" s="7">
        <v>36</v>
      </c>
      <c r="J361" s="7">
        <v>71</v>
      </c>
      <c r="K361" s="20">
        <v>12217.41</v>
      </c>
      <c r="L361" s="20">
        <v>399.14</v>
      </c>
      <c r="M361" s="7">
        <v>196.98</v>
      </c>
      <c r="N361" s="20">
        <f>Table15[[#This Row],[Processing Fee]]-Table15[[#This Row],[Discount Applied]]</f>
        <v>202.16</v>
      </c>
      <c r="O361" s="7" t="str">
        <f>IF(Table15[[#This Row],[Revenue]]&gt;35000,"Achieved","Not Achieved")</f>
        <v>Not Achieved</v>
      </c>
      <c r="P361" s="8">
        <v>4</v>
      </c>
      <c r="Q361" s="7" t="str">
        <f>IF(AND(Table15[[#This Row],[CSAT Score]]&lt;=3,Table15[[#This Row],[Revenue]]&gt;=20000),"High-Risk","Stable")</f>
        <v>Stable</v>
      </c>
      <c r="R361" s="8" t="str" cm="1">
        <f t="array" ref="R361">_xlfn.IFS(Table15[[#This Row],[Revenue]]&gt;=35000,"Platinum",Table15[[#This Row],[Revenue]]&gt;=15000,"Gold",TRUE,"Standard")</f>
        <v>Standard</v>
      </c>
      <c r="S361" s="8" t="str">
        <f>IF(OR(Table15[[#This Row],[Product]]="Wealth Management",Table15[[#This Row],[Revenue]]&gt;=40000),"Yes","No")</f>
        <v>No</v>
      </c>
    </row>
    <row r="362" spans="1:19" x14ac:dyDescent="0.3">
      <c r="A362" s="5" t="s">
        <v>420</v>
      </c>
      <c r="B362" s="6">
        <v>45903</v>
      </c>
      <c r="C362" s="7" t="s">
        <v>26</v>
      </c>
      <c r="D362" s="7" t="s">
        <v>52</v>
      </c>
      <c r="E362" s="7" t="s">
        <v>28</v>
      </c>
      <c r="F362" s="7" t="s">
        <v>69</v>
      </c>
      <c r="G362" s="7" t="s">
        <v>65</v>
      </c>
      <c r="H362" s="7" t="s">
        <v>53</v>
      </c>
      <c r="I362" s="7">
        <v>54</v>
      </c>
      <c r="J362" s="7">
        <v>44</v>
      </c>
      <c r="K362" s="20">
        <v>44189.47</v>
      </c>
      <c r="L362" s="20">
        <v>251.05</v>
      </c>
      <c r="M362" s="7">
        <v>15.2</v>
      </c>
      <c r="N362" s="20">
        <f>Table15[[#This Row],[Processing Fee]]-Table15[[#This Row],[Discount Applied]]</f>
        <v>235.85000000000002</v>
      </c>
      <c r="O362" s="7" t="str">
        <f>IF(Table15[[#This Row],[Revenue]]&gt;35000,"Achieved","Not Achieved")</f>
        <v>Achieved</v>
      </c>
      <c r="P362" s="8">
        <v>4</v>
      </c>
      <c r="Q362" s="7" t="str">
        <f>IF(AND(Table15[[#This Row],[CSAT Score]]&lt;=3,Table15[[#This Row],[Revenue]]&gt;=20000),"High-Risk","Stable")</f>
        <v>Stable</v>
      </c>
      <c r="R362" s="8" t="str" cm="1">
        <f t="array" ref="R362">_xlfn.IFS(Table15[[#This Row],[Revenue]]&gt;=35000,"Platinum",Table15[[#This Row],[Revenue]]&gt;=15000,"Gold",TRUE,"Standard")</f>
        <v>Platinum</v>
      </c>
      <c r="S362" s="8" t="str">
        <f>IF(OR(Table15[[#This Row],[Product]]="Wealth Management",Table15[[#This Row],[Revenue]]&gt;=40000),"Yes","No")</f>
        <v>Yes</v>
      </c>
    </row>
    <row r="363" spans="1:19" x14ac:dyDescent="0.3">
      <c r="A363" s="5" t="s">
        <v>421</v>
      </c>
      <c r="B363" s="6">
        <v>46145</v>
      </c>
      <c r="C363" s="7" t="s">
        <v>91</v>
      </c>
      <c r="D363" s="7" t="s">
        <v>45</v>
      </c>
      <c r="E363" s="7" t="s">
        <v>46</v>
      </c>
      <c r="F363" s="7" t="s">
        <v>35</v>
      </c>
      <c r="G363" s="7" t="s">
        <v>65</v>
      </c>
      <c r="H363" s="7" t="s">
        <v>53</v>
      </c>
      <c r="I363" s="7">
        <v>52</v>
      </c>
      <c r="J363" s="7">
        <v>87</v>
      </c>
      <c r="K363" s="20">
        <v>5300.45</v>
      </c>
      <c r="L363" s="20">
        <v>251.38</v>
      </c>
      <c r="M363" s="7">
        <v>135.76</v>
      </c>
      <c r="N363" s="20">
        <f>Table15[[#This Row],[Processing Fee]]-Table15[[#This Row],[Discount Applied]]</f>
        <v>115.62</v>
      </c>
      <c r="O363" s="7" t="str">
        <f>IF(Table15[[#This Row],[Revenue]]&gt;35000,"Achieved","Not Achieved")</f>
        <v>Not Achieved</v>
      </c>
      <c r="P363" s="8">
        <v>2</v>
      </c>
      <c r="Q363" s="7" t="str">
        <f>IF(AND(Table15[[#This Row],[CSAT Score]]&lt;=3,Table15[[#This Row],[Revenue]]&gt;=20000),"High-Risk","Stable")</f>
        <v>Stable</v>
      </c>
      <c r="R363" s="8" t="str" cm="1">
        <f t="array" ref="R363">_xlfn.IFS(Table15[[#This Row],[Revenue]]&gt;=35000,"Platinum",Table15[[#This Row],[Revenue]]&gt;=15000,"Gold",TRUE,"Standard")</f>
        <v>Standard</v>
      </c>
      <c r="S363" s="8" t="str">
        <f>IF(OR(Table15[[#This Row],[Product]]="Wealth Management",Table15[[#This Row],[Revenue]]&gt;=40000),"Yes","No")</f>
        <v>No</v>
      </c>
    </row>
    <row r="364" spans="1:19" x14ac:dyDescent="0.3">
      <c r="A364" s="5" t="s">
        <v>422</v>
      </c>
      <c r="B364" s="6">
        <v>46109</v>
      </c>
      <c r="C364" s="7" t="s">
        <v>91</v>
      </c>
      <c r="D364" s="7" t="s">
        <v>20</v>
      </c>
      <c r="E364" s="7" t="s">
        <v>28</v>
      </c>
      <c r="F364" s="7" t="s">
        <v>22</v>
      </c>
      <c r="G364" s="7" t="s">
        <v>36</v>
      </c>
      <c r="H364" s="7" t="s">
        <v>53</v>
      </c>
      <c r="I364" s="7">
        <v>46</v>
      </c>
      <c r="J364" s="7">
        <v>41</v>
      </c>
      <c r="K364" s="20">
        <v>3257.49</v>
      </c>
      <c r="L364" s="20">
        <v>479.76</v>
      </c>
      <c r="M364" s="7">
        <v>35.22</v>
      </c>
      <c r="N364" s="20">
        <f>Table15[[#This Row],[Processing Fee]]-Table15[[#This Row],[Discount Applied]]</f>
        <v>444.53999999999996</v>
      </c>
      <c r="O364" s="7" t="str">
        <f>IF(Table15[[#This Row],[Revenue]]&gt;35000,"Achieved","Not Achieved")</f>
        <v>Not Achieved</v>
      </c>
      <c r="P364" s="8">
        <v>4</v>
      </c>
      <c r="Q364" s="7" t="str">
        <f>IF(AND(Table15[[#This Row],[CSAT Score]]&lt;=3,Table15[[#This Row],[Revenue]]&gt;=20000),"High-Risk","Stable")</f>
        <v>Stable</v>
      </c>
      <c r="R364" s="8" t="str" cm="1">
        <f t="array" ref="R364">_xlfn.IFS(Table15[[#This Row],[Revenue]]&gt;=35000,"Platinum",Table15[[#This Row],[Revenue]]&gt;=15000,"Gold",TRUE,"Standard")</f>
        <v>Standard</v>
      </c>
      <c r="S364" s="8" t="str">
        <f>IF(OR(Table15[[#This Row],[Product]]="Wealth Management",Table15[[#This Row],[Revenue]]&gt;=40000),"Yes","No")</f>
        <v>Yes</v>
      </c>
    </row>
    <row r="365" spans="1:19" x14ac:dyDescent="0.3">
      <c r="A365" s="5" t="s">
        <v>423</v>
      </c>
      <c r="B365" s="6">
        <v>46170</v>
      </c>
      <c r="C365" s="7" t="s">
        <v>55</v>
      </c>
      <c r="D365" s="7" t="s">
        <v>77</v>
      </c>
      <c r="E365" s="7" t="s">
        <v>46</v>
      </c>
      <c r="F365" s="7" t="s">
        <v>22</v>
      </c>
      <c r="G365" s="7" t="s">
        <v>56</v>
      </c>
      <c r="H365" s="7" t="s">
        <v>57</v>
      </c>
      <c r="I365" s="7">
        <v>45</v>
      </c>
      <c r="J365" s="7">
        <v>75</v>
      </c>
      <c r="K365" s="20">
        <v>6896.58</v>
      </c>
      <c r="L365" s="20">
        <v>463.84</v>
      </c>
      <c r="M365" s="7">
        <v>143.34</v>
      </c>
      <c r="N365" s="20">
        <f>Table15[[#This Row],[Processing Fee]]-Table15[[#This Row],[Discount Applied]]</f>
        <v>320.5</v>
      </c>
      <c r="O365" s="7" t="str">
        <f>IF(Table15[[#This Row],[Revenue]]&gt;35000,"Achieved","Not Achieved")</f>
        <v>Not Achieved</v>
      </c>
      <c r="P365" s="8">
        <v>2</v>
      </c>
      <c r="Q365" s="7" t="str">
        <f>IF(AND(Table15[[#This Row],[CSAT Score]]&lt;=3,Table15[[#This Row],[Revenue]]&gt;=20000),"High-Risk","Stable")</f>
        <v>Stable</v>
      </c>
      <c r="R365" s="8" t="str" cm="1">
        <f t="array" ref="R365">_xlfn.IFS(Table15[[#This Row],[Revenue]]&gt;=35000,"Platinum",Table15[[#This Row],[Revenue]]&gt;=15000,"Gold",TRUE,"Standard")</f>
        <v>Standard</v>
      </c>
      <c r="S365" s="8" t="str">
        <f>IF(OR(Table15[[#This Row],[Product]]="Wealth Management",Table15[[#This Row],[Revenue]]&gt;=40000),"Yes","No")</f>
        <v>Yes</v>
      </c>
    </row>
    <row r="366" spans="1:19" x14ac:dyDescent="0.3">
      <c r="A366" s="5" t="s">
        <v>424</v>
      </c>
      <c r="B366" s="6">
        <v>46068</v>
      </c>
      <c r="C366" s="7" t="s">
        <v>19</v>
      </c>
      <c r="D366" s="7" t="s">
        <v>20</v>
      </c>
      <c r="E366" s="7" t="s">
        <v>46</v>
      </c>
      <c r="F366" s="7" t="s">
        <v>69</v>
      </c>
      <c r="G366" s="7" t="s">
        <v>30</v>
      </c>
      <c r="H366" s="7" t="s">
        <v>24</v>
      </c>
      <c r="I366" s="7">
        <v>22</v>
      </c>
      <c r="J366" s="7">
        <v>42</v>
      </c>
      <c r="K366" s="20">
        <v>3358.18</v>
      </c>
      <c r="L366" s="20">
        <v>190.04</v>
      </c>
      <c r="M366" s="7">
        <v>141.19999999999999</v>
      </c>
      <c r="N366" s="20">
        <f>Table15[[#This Row],[Processing Fee]]-Table15[[#This Row],[Discount Applied]]</f>
        <v>48.84</v>
      </c>
      <c r="O366" s="7" t="str">
        <f>IF(Table15[[#This Row],[Revenue]]&gt;35000,"Achieved","Not Achieved")</f>
        <v>Not Achieved</v>
      </c>
      <c r="P366" s="8">
        <v>5</v>
      </c>
      <c r="Q366" s="7" t="str">
        <f>IF(AND(Table15[[#This Row],[CSAT Score]]&lt;=3,Table15[[#This Row],[Revenue]]&gt;=20000),"High-Risk","Stable")</f>
        <v>Stable</v>
      </c>
      <c r="R366" s="8" t="str" cm="1">
        <f t="array" ref="R366">_xlfn.IFS(Table15[[#This Row],[Revenue]]&gt;=35000,"Platinum",Table15[[#This Row],[Revenue]]&gt;=15000,"Gold",TRUE,"Standard")</f>
        <v>Standard</v>
      </c>
      <c r="S366" s="8" t="str">
        <f>IF(OR(Table15[[#This Row],[Product]]="Wealth Management",Table15[[#This Row],[Revenue]]&gt;=40000),"Yes","No")</f>
        <v>No</v>
      </c>
    </row>
    <row r="367" spans="1:19" x14ac:dyDescent="0.3">
      <c r="A367" s="5" t="s">
        <v>425</v>
      </c>
      <c r="B367" s="6">
        <v>46083</v>
      </c>
      <c r="C367" s="7" t="s">
        <v>19</v>
      </c>
      <c r="D367" s="7" t="s">
        <v>48</v>
      </c>
      <c r="E367" s="7" t="s">
        <v>21</v>
      </c>
      <c r="F367" s="7" t="s">
        <v>29</v>
      </c>
      <c r="G367" s="7" t="s">
        <v>36</v>
      </c>
      <c r="H367" s="7" t="s">
        <v>53</v>
      </c>
      <c r="I367" s="7">
        <v>32</v>
      </c>
      <c r="J367" s="7">
        <v>117</v>
      </c>
      <c r="K367" s="20">
        <v>42328.11</v>
      </c>
      <c r="L367" s="20">
        <v>144.08000000000001</v>
      </c>
      <c r="M367" s="7">
        <v>46.84</v>
      </c>
      <c r="N367" s="20">
        <f>Table15[[#This Row],[Processing Fee]]-Table15[[#This Row],[Discount Applied]]</f>
        <v>97.240000000000009</v>
      </c>
      <c r="O367" s="7" t="str">
        <f>IF(Table15[[#This Row],[Revenue]]&gt;35000,"Achieved","Not Achieved")</f>
        <v>Achieved</v>
      </c>
      <c r="P367" s="8">
        <v>5</v>
      </c>
      <c r="Q367" s="7" t="str">
        <f>IF(AND(Table15[[#This Row],[CSAT Score]]&lt;=3,Table15[[#This Row],[Revenue]]&gt;=20000),"High-Risk","Stable")</f>
        <v>Stable</v>
      </c>
      <c r="R367" s="8" t="str" cm="1">
        <f t="array" ref="R367">_xlfn.IFS(Table15[[#This Row],[Revenue]]&gt;=35000,"Platinum",Table15[[#This Row],[Revenue]]&gt;=15000,"Gold",TRUE,"Standard")</f>
        <v>Platinum</v>
      </c>
      <c r="S367" s="8" t="str">
        <f>IF(OR(Table15[[#This Row],[Product]]="Wealth Management",Table15[[#This Row],[Revenue]]&gt;=40000),"Yes","No")</f>
        <v>Yes</v>
      </c>
    </row>
    <row r="368" spans="1:19" x14ac:dyDescent="0.3">
      <c r="A368" s="5" t="s">
        <v>426</v>
      </c>
      <c r="B368" s="6">
        <v>46161</v>
      </c>
      <c r="C368" s="7" t="s">
        <v>75</v>
      </c>
      <c r="D368" s="7" t="s">
        <v>63</v>
      </c>
      <c r="E368" s="7" t="s">
        <v>21</v>
      </c>
      <c r="F368" s="7" t="s">
        <v>29</v>
      </c>
      <c r="G368" s="7" t="s">
        <v>36</v>
      </c>
      <c r="H368" s="7" t="s">
        <v>57</v>
      </c>
      <c r="I368" s="7">
        <v>60</v>
      </c>
      <c r="J368" s="7">
        <v>33</v>
      </c>
      <c r="K368" s="20">
        <v>3422.98</v>
      </c>
      <c r="L368" s="20">
        <v>431.82</v>
      </c>
      <c r="M368" s="7">
        <v>53.93</v>
      </c>
      <c r="N368" s="20">
        <f>Table15[[#This Row],[Processing Fee]]-Table15[[#This Row],[Discount Applied]]</f>
        <v>377.89</v>
      </c>
      <c r="O368" s="7" t="str">
        <f>IF(Table15[[#This Row],[Revenue]]&gt;35000,"Achieved","Not Achieved")</f>
        <v>Not Achieved</v>
      </c>
      <c r="P368" s="8">
        <v>2</v>
      </c>
      <c r="Q368" s="7" t="str">
        <f>IF(AND(Table15[[#This Row],[CSAT Score]]&lt;=3,Table15[[#This Row],[Revenue]]&gt;=20000),"High-Risk","Stable")</f>
        <v>Stable</v>
      </c>
      <c r="R368" s="8" t="str" cm="1">
        <f t="array" ref="R368">_xlfn.IFS(Table15[[#This Row],[Revenue]]&gt;=35000,"Platinum",Table15[[#This Row],[Revenue]]&gt;=15000,"Gold",TRUE,"Standard")</f>
        <v>Standard</v>
      </c>
      <c r="S368" s="8" t="str">
        <f>IF(OR(Table15[[#This Row],[Product]]="Wealth Management",Table15[[#This Row],[Revenue]]&gt;=40000),"Yes","No")</f>
        <v>No</v>
      </c>
    </row>
    <row r="369" spans="1:19" x14ac:dyDescent="0.3">
      <c r="A369" s="5" t="s">
        <v>427</v>
      </c>
      <c r="B369" s="6">
        <v>45915</v>
      </c>
      <c r="C369" s="7" t="s">
        <v>55</v>
      </c>
      <c r="D369" s="7" t="s">
        <v>48</v>
      </c>
      <c r="E369" s="7" t="s">
        <v>46</v>
      </c>
      <c r="F369" s="7" t="s">
        <v>35</v>
      </c>
      <c r="G369" s="7" t="s">
        <v>56</v>
      </c>
      <c r="H369" s="7" t="s">
        <v>24</v>
      </c>
      <c r="I369" s="7">
        <v>29</v>
      </c>
      <c r="J369" s="7">
        <v>50</v>
      </c>
      <c r="K369" s="20">
        <v>13947.38</v>
      </c>
      <c r="L369" s="20">
        <v>457.71</v>
      </c>
      <c r="M369" s="7">
        <v>130.94999999999999</v>
      </c>
      <c r="N369" s="20">
        <f>Table15[[#This Row],[Processing Fee]]-Table15[[#This Row],[Discount Applied]]</f>
        <v>326.76</v>
      </c>
      <c r="O369" s="7" t="str">
        <f>IF(Table15[[#This Row],[Revenue]]&gt;35000,"Achieved","Not Achieved")</f>
        <v>Not Achieved</v>
      </c>
      <c r="P369" s="8">
        <v>1</v>
      </c>
      <c r="Q369" s="7" t="str">
        <f>IF(AND(Table15[[#This Row],[CSAT Score]]&lt;=3,Table15[[#This Row],[Revenue]]&gt;=20000),"High-Risk","Stable")</f>
        <v>Stable</v>
      </c>
      <c r="R369" s="8" t="str" cm="1">
        <f t="array" ref="R369">_xlfn.IFS(Table15[[#This Row],[Revenue]]&gt;=35000,"Platinum",Table15[[#This Row],[Revenue]]&gt;=15000,"Gold",TRUE,"Standard")</f>
        <v>Standard</v>
      </c>
      <c r="S369" s="8" t="str">
        <f>IF(OR(Table15[[#This Row],[Product]]="Wealth Management",Table15[[#This Row],[Revenue]]&gt;=40000),"Yes","No")</f>
        <v>No</v>
      </c>
    </row>
    <row r="370" spans="1:19" x14ac:dyDescent="0.3">
      <c r="A370" s="5" t="s">
        <v>428</v>
      </c>
      <c r="B370" s="6">
        <v>45954</v>
      </c>
      <c r="C370" s="7" t="s">
        <v>42</v>
      </c>
      <c r="D370" s="7" t="s">
        <v>34</v>
      </c>
      <c r="E370" s="7" t="s">
        <v>46</v>
      </c>
      <c r="F370" s="7" t="s">
        <v>35</v>
      </c>
      <c r="G370" s="7" t="s">
        <v>30</v>
      </c>
      <c r="H370" s="7" t="s">
        <v>31</v>
      </c>
      <c r="I370" s="7">
        <v>32</v>
      </c>
      <c r="J370" s="7">
        <v>63</v>
      </c>
      <c r="K370" s="20">
        <v>5635.94</v>
      </c>
      <c r="L370" s="20">
        <v>293.72000000000003</v>
      </c>
      <c r="M370" s="7">
        <v>117.03</v>
      </c>
      <c r="N370" s="20">
        <f>Table15[[#This Row],[Processing Fee]]-Table15[[#This Row],[Discount Applied]]</f>
        <v>176.69000000000003</v>
      </c>
      <c r="O370" s="7" t="str">
        <f>IF(Table15[[#This Row],[Revenue]]&gt;35000,"Achieved","Not Achieved")</f>
        <v>Not Achieved</v>
      </c>
      <c r="P370" s="8">
        <v>5</v>
      </c>
      <c r="Q370" s="7" t="str">
        <f>IF(AND(Table15[[#This Row],[CSAT Score]]&lt;=3,Table15[[#This Row],[Revenue]]&gt;=20000),"High-Risk","Stable")</f>
        <v>Stable</v>
      </c>
      <c r="R370" s="8" t="str" cm="1">
        <f t="array" ref="R370">_xlfn.IFS(Table15[[#This Row],[Revenue]]&gt;=35000,"Platinum",Table15[[#This Row],[Revenue]]&gt;=15000,"Gold",TRUE,"Standard")</f>
        <v>Standard</v>
      </c>
      <c r="S370" s="8" t="str">
        <f>IF(OR(Table15[[#This Row],[Product]]="Wealth Management",Table15[[#This Row],[Revenue]]&gt;=40000),"Yes","No")</f>
        <v>No</v>
      </c>
    </row>
    <row r="371" spans="1:19" x14ac:dyDescent="0.3">
      <c r="A371" s="5" t="s">
        <v>429</v>
      </c>
      <c r="B371" s="6">
        <v>46185</v>
      </c>
      <c r="C371" s="7" t="s">
        <v>19</v>
      </c>
      <c r="D371" s="7" t="s">
        <v>48</v>
      </c>
      <c r="E371" s="7" t="s">
        <v>28</v>
      </c>
      <c r="F371" s="7" t="s">
        <v>35</v>
      </c>
      <c r="G371" s="7" t="s">
        <v>56</v>
      </c>
      <c r="H371" s="7" t="s">
        <v>57</v>
      </c>
      <c r="I371" s="7">
        <v>46</v>
      </c>
      <c r="J371" s="7">
        <v>100</v>
      </c>
      <c r="K371" s="20">
        <v>15123.39</v>
      </c>
      <c r="L371" s="20">
        <v>333.24</v>
      </c>
      <c r="M371" s="7">
        <v>38.909999999999997</v>
      </c>
      <c r="N371" s="20">
        <f>Table15[[#This Row],[Processing Fee]]-Table15[[#This Row],[Discount Applied]]</f>
        <v>294.33000000000004</v>
      </c>
      <c r="O371" s="7" t="str">
        <f>IF(Table15[[#This Row],[Revenue]]&gt;35000,"Achieved","Not Achieved")</f>
        <v>Not Achieved</v>
      </c>
      <c r="P371" s="8">
        <v>1</v>
      </c>
      <c r="Q371" s="7" t="str">
        <f>IF(AND(Table15[[#This Row],[CSAT Score]]&lt;=3,Table15[[#This Row],[Revenue]]&gt;=20000),"High-Risk","Stable")</f>
        <v>Stable</v>
      </c>
      <c r="R371" s="8" t="str" cm="1">
        <f t="array" ref="R371">_xlfn.IFS(Table15[[#This Row],[Revenue]]&gt;=35000,"Platinum",Table15[[#This Row],[Revenue]]&gt;=15000,"Gold",TRUE,"Standard")</f>
        <v>Gold</v>
      </c>
      <c r="S371" s="8" t="str">
        <f>IF(OR(Table15[[#This Row],[Product]]="Wealth Management",Table15[[#This Row],[Revenue]]&gt;=40000),"Yes","No")</f>
        <v>No</v>
      </c>
    </row>
    <row r="372" spans="1:19" x14ac:dyDescent="0.3">
      <c r="A372" s="5" t="s">
        <v>430</v>
      </c>
      <c r="B372" s="6">
        <v>46055</v>
      </c>
      <c r="C372" s="7" t="s">
        <v>26</v>
      </c>
      <c r="D372" s="7" t="s">
        <v>34</v>
      </c>
      <c r="E372" s="7" t="s">
        <v>28</v>
      </c>
      <c r="F372" s="7" t="s">
        <v>29</v>
      </c>
      <c r="G372" s="7" t="s">
        <v>30</v>
      </c>
      <c r="H372" s="7" t="s">
        <v>24</v>
      </c>
      <c r="I372" s="7">
        <v>29</v>
      </c>
      <c r="J372" s="7">
        <v>37</v>
      </c>
      <c r="K372" s="20">
        <v>4982.6899999999996</v>
      </c>
      <c r="L372" s="20">
        <v>165.61</v>
      </c>
      <c r="M372" s="7">
        <v>146.34</v>
      </c>
      <c r="N372" s="20">
        <f>Table15[[#This Row],[Processing Fee]]-Table15[[#This Row],[Discount Applied]]</f>
        <v>19.27000000000001</v>
      </c>
      <c r="O372" s="7" t="str">
        <f>IF(Table15[[#This Row],[Revenue]]&gt;35000,"Achieved","Not Achieved")</f>
        <v>Not Achieved</v>
      </c>
      <c r="P372" s="8">
        <v>5</v>
      </c>
      <c r="Q372" s="7" t="str">
        <f>IF(AND(Table15[[#This Row],[CSAT Score]]&lt;=3,Table15[[#This Row],[Revenue]]&gt;=20000),"High-Risk","Stable")</f>
        <v>Stable</v>
      </c>
      <c r="R372" s="8" t="str" cm="1">
        <f t="array" ref="R372">_xlfn.IFS(Table15[[#This Row],[Revenue]]&gt;=35000,"Platinum",Table15[[#This Row],[Revenue]]&gt;=15000,"Gold",TRUE,"Standard")</f>
        <v>Standard</v>
      </c>
      <c r="S372" s="8" t="str">
        <f>IF(OR(Table15[[#This Row],[Product]]="Wealth Management",Table15[[#This Row],[Revenue]]&gt;=40000),"Yes","No")</f>
        <v>No</v>
      </c>
    </row>
    <row r="373" spans="1:19" x14ac:dyDescent="0.3">
      <c r="A373" s="5" t="s">
        <v>431</v>
      </c>
      <c r="B373" s="6">
        <v>46061</v>
      </c>
      <c r="C373" s="7" t="s">
        <v>44</v>
      </c>
      <c r="D373" s="7" t="s">
        <v>52</v>
      </c>
      <c r="E373" s="7" t="s">
        <v>21</v>
      </c>
      <c r="F373" s="7" t="s">
        <v>40</v>
      </c>
      <c r="G373" s="7" t="s">
        <v>56</v>
      </c>
      <c r="H373" s="7" t="s">
        <v>57</v>
      </c>
      <c r="I373" s="7">
        <v>30</v>
      </c>
      <c r="J373" s="7">
        <v>105</v>
      </c>
      <c r="K373" s="20">
        <v>33566.160000000003</v>
      </c>
      <c r="L373" s="20">
        <v>410.36</v>
      </c>
      <c r="M373" s="7">
        <v>30.83</v>
      </c>
      <c r="N373" s="20">
        <f>Table15[[#This Row],[Processing Fee]]-Table15[[#This Row],[Discount Applied]]</f>
        <v>379.53000000000003</v>
      </c>
      <c r="O373" s="7" t="str">
        <f>IF(Table15[[#This Row],[Revenue]]&gt;35000,"Achieved","Not Achieved")</f>
        <v>Not Achieved</v>
      </c>
      <c r="P373" s="8">
        <v>5</v>
      </c>
      <c r="Q373" s="7" t="str">
        <f>IF(AND(Table15[[#This Row],[CSAT Score]]&lt;=3,Table15[[#This Row],[Revenue]]&gt;=20000),"High-Risk","Stable")</f>
        <v>Stable</v>
      </c>
      <c r="R373" s="8" t="str" cm="1">
        <f t="array" ref="R373">_xlfn.IFS(Table15[[#This Row],[Revenue]]&gt;=35000,"Platinum",Table15[[#This Row],[Revenue]]&gt;=15000,"Gold",TRUE,"Standard")</f>
        <v>Gold</v>
      </c>
      <c r="S373" s="8" t="str">
        <f>IF(OR(Table15[[#This Row],[Product]]="Wealth Management",Table15[[#This Row],[Revenue]]&gt;=40000),"Yes","No")</f>
        <v>No</v>
      </c>
    </row>
    <row r="374" spans="1:19" x14ac:dyDescent="0.3">
      <c r="A374" s="5" t="s">
        <v>432</v>
      </c>
      <c r="B374" s="6">
        <v>45982</v>
      </c>
      <c r="C374" s="7" t="s">
        <v>55</v>
      </c>
      <c r="D374" s="7" t="s">
        <v>27</v>
      </c>
      <c r="E374" s="7" t="s">
        <v>59</v>
      </c>
      <c r="F374" s="7" t="s">
        <v>22</v>
      </c>
      <c r="G374" s="7" t="s">
        <v>36</v>
      </c>
      <c r="H374" s="7" t="s">
        <v>24</v>
      </c>
      <c r="I374" s="7">
        <v>52</v>
      </c>
      <c r="J374" s="7">
        <v>59</v>
      </c>
      <c r="K374" s="20">
        <v>7099.68</v>
      </c>
      <c r="L374" s="20">
        <v>334.46</v>
      </c>
      <c r="M374" s="7">
        <v>171.13</v>
      </c>
      <c r="N374" s="20">
        <f>Table15[[#This Row],[Processing Fee]]-Table15[[#This Row],[Discount Applied]]</f>
        <v>163.32999999999998</v>
      </c>
      <c r="O374" s="7" t="str">
        <f>IF(Table15[[#This Row],[Revenue]]&gt;35000,"Achieved","Not Achieved")</f>
        <v>Not Achieved</v>
      </c>
      <c r="P374" s="8">
        <v>3</v>
      </c>
      <c r="Q374" s="7" t="str">
        <f>IF(AND(Table15[[#This Row],[CSAT Score]]&lt;=3,Table15[[#This Row],[Revenue]]&gt;=20000),"High-Risk","Stable")</f>
        <v>Stable</v>
      </c>
      <c r="R374" s="8" t="str" cm="1">
        <f t="array" ref="R374">_xlfn.IFS(Table15[[#This Row],[Revenue]]&gt;=35000,"Platinum",Table15[[#This Row],[Revenue]]&gt;=15000,"Gold",TRUE,"Standard")</f>
        <v>Standard</v>
      </c>
      <c r="S374" s="8" t="str">
        <f>IF(OR(Table15[[#This Row],[Product]]="Wealth Management",Table15[[#This Row],[Revenue]]&gt;=40000),"Yes","No")</f>
        <v>Yes</v>
      </c>
    </row>
    <row r="375" spans="1:19" x14ac:dyDescent="0.3">
      <c r="A375" s="5" t="s">
        <v>433</v>
      </c>
      <c r="B375" s="6">
        <v>46121</v>
      </c>
      <c r="C375" s="7" t="s">
        <v>44</v>
      </c>
      <c r="D375" s="7" t="s">
        <v>34</v>
      </c>
      <c r="E375" s="7" t="s">
        <v>46</v>
      </c>
      <c r="F375" s="7" t="s">
        <v>40</v>
      </c>
      <c r="G375" s="7" t="s">
        <v>36</v>
      </c>
      <c r="H375" s="7" t="s">
        <v>24</v>
      </c>
      <c r="I375" s="7">
        <v>54</v>
      </c>
      <c r="J375" s="7">
        <v>81</v>
      </c>
      <c r="K375" s="20">
        <v>42666.37</v>
      </c>
      <c r="L375" s="20">
        <v>276.58</v>
      </c>
      <c r="M375" s="7">
        <v>102.93</v>
      </c>
      <c r="N375" s="20">
        <f>Table15[[#This Row],[Processing Fee]]-Table15[[#This Row],[Discount Applied]]</f>
        <v>173.64999999999998</v>
      </c>
      <c r="O375" s="7" t="str">
        <f>IF(Table15[[#This Row],[Revenue]]&gt;35000,"Achieved","Not Achieved")</f>
        <v>Achieved</v>
      </c>
      <c r="P375" s="8">
        <v>4</v>
      </c>
      <c r="Q375" s="7" t="str">
        <f>IF(AND(Table15[[#This Row],[CSAT Score]]&lt;=3,Table15[[#This Row],[Revenue]]&gt;=20000),"High-Risk","Stable")</f>
        <v>Stable</v>
      </c>
      <c r="R375" s="8" t="str" cm="1">
        <f t="array" ref="R375">_xlfn.IFS(Table15[[#This Row],[Revenue]]&gt;=35000,"Platinum",Table15[[#This Row],[Revenue]]&gt;=15000,"Gold",TRUE,"Standard")</f>
        <v>Platinum</v>
      </c>
      <c r="S375" s="8" t="str">
        <f>IF(OR(Table15[[#This Row],[Product]]="Wealth Management",Table15[[#This Row],[Revenue]]&gt;=40000),"Yes","No")</f>
        <v>Yes</v>
      </c>
    </row>
    <row r="376" spans="1:19" x14ac:dyDescent="0.3">
      <c r="A376" s="5" t="s">
        <v>434</v>
      </c>
      <c r="B376" s="6">
        <v>45955</v>
      </c>
      <c r="C376" s="7" t="s">
        <v>91</v>
      </c>
      <c r="D376" s="7" t="s">
        <v>77</v>
      </c>
      <c r="E376" s="7" t="s">
        <v>28</v>
      </c>
      <c r="F376" s="7" t="s">
        <v>40</v>
      </c>
      <c r="G376" s="7" t="s">
        <v>23</v>
      </c>
      <c r="H376" s="7" t="s">
        <v>31</v>
      </c>
      <c r="I376" s="7">
        <v>68</v>
      </c>
      <c r="J376" s="7">
        <v>99</v>
      </c>
      <c r="K376" s="20">
        <v>40950.959999999999</v>
      </c>
      <c r="L376" s="20">
        <v>77.05</v>
      </c>
      <c r="M376" s="7">
        <v>31.71</v>
      </c>
      <c r="N376" s="20">
        <f>Table15[[#This Row],[Processing Fee]]-Table15[[#This Row],[Discount Applied]]</f>
        <v>45.339999999999996</v>
      </c>
      <c r="O376" s="7" t="str">
        <f>IF(Table15[[#This Row],[Revenue]]&gt;35000,"Achieved","Not Achieved")</f>
        <v>Achieved</v>
      </c>
      <c r="P376" s="8">
        <v>4</v>
      </c>
      <c r="Q376" s="7" t="str">
        <f>IF(AND(Table15[[#This Row],[CSAT Score]]&lt;=3,Table15[[#This Row],[Revenue]]&gt;=20000),"High-Risk","Stable")</f>
        <v>Stable</v>
      </c>
      <c r="R376" s="8" t="str" cm="1">
        <f t="array" ref="R376">_xlfn.IFS(Table15[[#This Row],[Revenue]]&gt;=35000,"Platinum",Table15[[#This Row],[Revenue]]&gt;=15000,"Gold",TRUE,"Standard")</f>
        <v>Platinum</v>
      </c>
      <c r="S376" s="8" t="str">
        <f>IF(OR(Table15[[#This Row],[Product]]="Wealth Management",Table15[[#This Row],[Revenue]]&gt;=40000),"Yes","No")</f>
        <v>Yes</v>
      </c>
    </row>
    <row r="377" spans="1:19" x14ac:dyDescent="0.3">
      <c r="A377" s="5" t="s">
        <v>435</v>
      </c>
      <c r="B377" s="6">
        <v>46110</v>
      </c>
      <c r="C377" s="7" t="s">
        <v>26</v>
      </c>
      <c r="D377" s="7" t="s">
        <v>61</v>
      </c>
      <c r="E377" s="7" t="s">
        <v>21</v>
      </c>
      <c r="F377" s="7" t="s">
        <v>29</v>
      </c>
      <c r="G377" s="7" t="s">
        <v>65</v>
      </c>
      <c r="H377" s="7" t="s">
        <v>57</v>
      </c>
      <c r="I377" s="7">
        <v>40</v>
      </c>
      <c r="J377" s="7">
        <v>48</v>
      </c>
      <c r="K377" s="20">
        <v>1176.25</v>
      </c>
      <c r="L377" s="20">
        <v>462.17</v>
      </c>
      <c r="M377" s="7">
        <v>138.81</v>
      </c>
      <c r="N377" s="20">
        <f>Table15[[#This Row],[Processing Fee]]-Table15[[#This Row],[Discount Applied]]</f>
        <v>323.36</v>
      </c>
      <c r="O377" s="7" t="str">
        <f>IF(Table15[[#This Row],[Revenue]]&gt;35000,"Achieved","Not Achieved")</f>
        <v>Not Achieved</v>
      </c>
      <c r="P377" s="8">
        <v>1</v>
      </c>
      <c r="Q377" s="7" t="str">
        <f>IF(AND(Table15[[#This Row],[CSAT Score]]&lt;=3,Table15[[#This Row],[Revenue]]&gt;=20000),"High-Risk","Stable")</f>
        <v>Stable</v>
      </c>
      <c r="R377" s="8" t="str" cm="1">
        <f t="array" ref="R377">_xlfn.IFS(Table15[[#This Row],[Revenue]]&gt;=35000,"Platinum",Table15[[#This Row],[Revenue]]&gt;=15000,"Gold",TRUE,"Standard")</f>
        <v>Standard</v>
      </c>
      <c r="S377" s="8" t="str">
        <f>IF(OR(Table15[[#This Row],[Product]]="Wealth Management",Table15[[#This Row],[Revenue]]&gt;=40000),"Yes","No")</f>
        <v>No</v>
      </c>
    </row>
    <row r="378" spans="1:19" x14ac:dyDescent="0.3">
      <c r="A378" s="5" t="s">
        <v>436</v>
      </c>
      <c r="B378" s="6">
        <v>46034</v>
      </c>
      <c r="C378" s="7" t="s">
        <v>26</v>
      </c>
      <c r="D378" s="7" t="s">
        <v>20</v>
      </c>
      <c r="E378" s="7" t="s">
        <v>28</v>
      </c>
      <c r="F378" s="7" t="s">
        <v>40</v>
      </c>
      <c r="G378" s="7" t="s">
        <v>56</v>
      </c>
      <c r="H378" s="7" t="s">
        <v>53</v>
      </c>
      <c r="I378" s="7">
        <v>59</v>
      </c>
      <c r="J378" s="7">
        <v>5</v>
      </c>
      <c r="K378" s="20">
        <v>44838.45</v>
      </c>
      <c r="L378" s="20">
        <v>326.95</v>
      </c>
      <c r="M378" s="7">
        <v>103.83</v>
      </c>
      <c r="N378" s="20">
        <f>Table15[[#This Row],[Processing Fee]]-Table15[[#This Row],[Discount Applied]]</f>
        <v>223.12</v>
      </c>
      <c r="O378" s="7" t="str">
        <f>IF(Table15[[#This Row],[Revenue]]&gt;35000,"Achieved","Not Achieved")</f>
        <v>Achieved</v>
      </c>
      <c r="P378" s="8">
        <v>4</v>
      </c>
      <c r="Q378" s="7" t="str">
        <f>IF(AND(Table15[[#This Row],[CSAT Score]]&lt;=3,Table15[[#This Row],[Revenue]]&gt;=20000),"High-Risk","Stable")</f>
        <v>Stable</v>
      </c>
      <c r="R378" s="8" t="str" cm="1">
        <f t="array" ref="R378">_xlfn.IFS(Table15[[#This Row],[Revenue]]&gt;=35000,"Platinum",Table15[[#This Row],[Revenue]]&gt;=15000,"Gold",TRUE,"Standard")</f>
        <v>Platinum</v>
      </c>
      <c r="S378" s="8" t="str">
        <f>IF(OR(Table15[[#This Row],[Product]]="Wealth Management",Table15[[#This Row],[Revenue]]&gt;=40000),"Yes","No")</f>
        <v>Yes</v>
      </c>
    </row>
    <row r="379" spans="1:19" x14ac:dyDescent="0.3">
      <c r="A379" s="5" t="s">
        <v>437</v>
      </c>
      <c r="B379" s="6">
        <v>46025</v>
      </c>
      <c r="C379" s="7" t="s">
        <v>91</v>
      </c>
      <c r="D379" s="7" t="s">
        <v>45</v>
      </c>
      <c r="E379" s="7" t="s">
        <v>46</v>
      </c>
      <c r="F379" s="7" t="s">
        <v>69</v>
      </c>
      <c r="G379" s="7" t="s">
        <v>23</v>
      </c>
      <c r="H379" s="7" t="s">
        <v>31</v>
      </c>
      <c r="I379" s="7">
        <v>22</v>
      </c>
      <c r="J379" s="7">
        <v>48</v>
      </c>
      <c r="K379" s="20">
        <v>1932.74</v>
      </c>
      <c r="L379" s="20">
        <v>136.71</v>
      </c>
      <c r="M379" s="7">
        <v>89.42</v>
      </c>
      <c r="N379" s="20">
        <f>Table15[[#This Row],[Processing Fee]]-Table15[[#This Row],[Discount Applied]]</f>
        <v>47.290000000000006</v>
      </c>
      <c r="O379" s="7" t="str">
        <f>IF(Table15[[#This Row],[Revenue]]&gt;35000,"Achieved","Not Achieved")</f>
        <v>Not Achieved</v>
      </c>
      <c r="P379" s="8">
        <v>1</v>
      </c>
      <c r="Q379" s="7" t="str">
        <f>IF(AND(Table15[[#This Row],[CSAT Score]]&lt;=3,Table15[[#This Row],[Revenue]]&gt;=20000),"High-Risk","Stable")</f>
        <v>Stable</v>
      </c>
      <c r="R379" s="8" t="str" cm="1">
        <f t="array" ref="R379">_xlfn.IFS(Table15[[#This Row],[Revenue]]&gt;=35000,"Platinum",Table15[[#This Row],[Revenue]]&gt;=15000,"Gold",TRUE,"Standard")</f>
        <v>Standard</v>
      </c>
      <c r="S379" s="8" t="str">
        <f>IF(OR(Table15[[#This Row],[Product]]="Wealth Management",Table15[[#This Row],[Revenue]]&gt;=40000),"Yes","No")</f>
        <v>No</v>
      </c>
    </row>
    <row r="380" spans="1:19" x14ac:dyDescent="0.3">
      <c r="A380" s="5" t="s">
        <v>438</v>
      </c>
      <c r="B380" s="6">
        <v>46086</v>
      </c>
      <c r="C380" s="7" t="s">
        <v>55</v>
      </c>
      <c r="D380" s="7" t="s">
        <v>61</v>
      </c>
      <c r="E380" s="7" t="s">
        <v>46</v>
      </c>
      <c r="F380" s="7" t="s">
        <v>35</v>
      </c>
      <c r="G380" s="7" t="s">
        <v>65</v>
      </c>
      <c r="H380" s="7" t="s">
        <v>31</v>
      </c>
      <c r="I380" s="7">
        <v>21</v>
      </c>
      <c r="J380" s="7">
        <v>96</v>
      </c>
      <c r="K380" s="20">
        <v>12362.47</v>
      </c>
      <c r="L380" s="20">
        <v>322.87</v>
      </c>
      <c r="M380" s="7">
        <v>126.77</v>
      </c>
      <c r="N380" s="20">
        <f>Table15[[#This Row],[Processing Fee]]-Table15[[#This Row],[Discount Applied]]</f>
        <v>196.10000000000002</v>
      </c>
      <c r="O380" s="7" t="str">
        <f>IF(Table15[[#This Row],[Revenue]]&gt;35000,"Achieved","Not Achieved")</f>
        <v>Not Achieved</v>
      </c>
      <c r="P380" s="8">
        <v>5</v>
      </c>
      <c r="Q380" s="7" t="str">
        <f>IF(AND(Table15[[#This Row],[CSAT Score]]&lt;=3,Table15[[#This Row],[Revenue]]&gt;=20000),"High-Risk","Stable")</f>
        <v>Stable</v>
      </c>
      <c r="R380" s="8" t="str" cm="1">
        <f t="array" ref="R380">_xlfn.IFS(Table15[[#This Row],[Revenue]]&gt;=35000,"Platinum",Table15[[#This Row],[Revenue]]&gt;=15000,"Gold",TRUE,"Standard")</f>
        <v>Standard</v>
      </c>
      <c r="S380" s="8" t="str">
        <f>IF(OR(Table15[[#This Row],[Product]]="Wealth Management",Table15[[#This Row],[Revenue]]&gt;=40000),"Yes","No")</f>
        <v>No</v>
      </c>
    </row>
    <row r="381" spans="1:19" x14ac:dyDescent="0.3">
      <c r="A381" s="5" t="s">
        <v>439</v>
      </c>
      <c r="B381" s="6">
        <v>46206</v>
      </c>
      <c r="C381" s="7" t="s">
        <v>91</v>
      </c>
      <c r="D381" s="7" t="s">
        <v>83</v>
      </c>
      <c r="E381" s="7" t="s">
        <v>39</v>
      </c>
      <c r="F381" s="7" t="s">
        <v>69</v>
      </c>
      <c r="G381" s="7" t="s">
        <v>56</v>
      </c>
      <c r="H381" s="7" t="s">
        <v>24</v>
      </c>
      <c r="I381" s="7">
        <v>71</v>
      </c>
      <c r="J381" s="7">
        <v>3</v>
      </c>
      <c r="K381" s="20">
        <v>2103.2600000000002</v>
      </c>
      <c r="L381" s="20">
        <v>354.86</v>
      </c>
      <c r="M381" s="7">
        <v>59.67</v>
      </c>
      <c r="N381" s="20">
        <f>Table15[[#This Row],[Processing Fee]]-Table15[[#This Row],[Discount Applied]]</f>
        <v>295.19</v>
      </c>
      <c r="O381" s="7" t="str">
        <f>IF(Table15[[#This Row],[Revenue]]&gt;35000,"Achieved","Not Achieved")</f>
        <v>Not Achieved</v>
      </c>
      <c r="P381" s="8">
        <v>3</v>
      </c>
      <c r="Q381" s="7" t="str">
        <f>IF(AND(Table15[[#This Row],[CSAT Score]]&lt;=3,Table15[[#This Row],[Revenue]]&gt;=20000),"High-Risk","Stable")</f>
        <v>Stable</v>
      </c>
      <c r="R381" s="8" t="str" cm="1">
        <f t="array" ref="R381">_xlfn.IFS(Table15[[#This Row],[Revenue]]&gt;=35000,"Platinum",Table15[[#This Row],[Revenue]]&gt;=15000,"Gold",TRUE,"Standard")</f>
        <v>Standard</v>
      </c>
      <c r="S381" s="8" t="str">
        <f>IF(OR(Table15[[#This Row],[Product]]="Wealth Management",Table15[[#This Row],[Revenue]]&gt;=40000),"Yes","No")</f>
        <v>No</v>
      </c>
    </row>
    <row r="382" spans="1:19" x14ac:dyDescent="0.3">
      <c r="A382" s="5" t="s">
        <v>440</v>
      </c>
      <c r="B382" s="6">
        <v>46082</v>
      </c>
      <c r="C382" s="7" t="s">
        <v>44</v>
      </c>
      <c r="D382" s="7" t="s">
        <v>27</v>
      </c>
      <c r="E382" s="7" t="s">
        <v>59</v>
      </c>
      <c r="F382" s="7" t="s">
        <v>22</v>
      </c>
      <c r="G382" s="7" t="s">
        <v>30</v>
      </c>
      <c r="H382" s="7" t="s">
        <v>53</v>
      </c>
      <c r="I382" s="7">
        <v>56</v>
      </c>
      <c r="J382" s="7">
        <v>116</v>
      </c>
      <c r="K382" s="20">
        <v>17124.25</v>
      </c>
      <c r="L382" s="20">
        <v>286.60000000000002</v>
      </c>
      <c r="M382" s="7">
        <v>52.61</v>
      </c>
      <c r="N382" s="20">
        <f>Table15[[#This Row],[Processing Fee]]-Table15[[#This Row],[Discount Applied]]</f>
        <v>233.99</v>
      </c>
      <c r="O382" s="7" t="str">
        <f>IF(Table15[[#This Row],[Revenue]]&gt;35000,"Achieved","Not Achieved")</f>
        <v>Not Achieved</v>
      </c>
      <c r="P382" s="8">
        <v>3</v>
      </c>
      <c r="Q382" s="7" t="str">
        <f>IF(AND(Table15[[#This Row],[CSAT Score]]&lt;=3,Table15[[#This Row],[Revenue]]&gt;=20000),"High-Risk","Stable")</f>
        <v>Stable</v>
      </c>
      <c r="R382" s="8" t="str" cm="1">
        <f t="array" ref="R382">_xlfn.IFS(Table15[[#This Row],[Revenue]]&gt;=35000,"Platinum",Table15[[#This Row],[Revenue]]&gt;=15000,"Gold",TRUE,"Standard")</f>
        <v>Gold</v>
      </c>
      <c r="S382" s="8" t="str">
        <f>IF(OR(Table15[[#This Row],[Product]]="Wealth Management",Table15[[#This Row],[Revenue]]&gt;=40000),"Yes","No")</f>
        <v>Yes</v>
      </c>
    </row>
    <row r="383" spans="1:19" x14ac:dyDescent="0.3">
      <c r="A383" s="5" t="s">
        <v>441</v>
      </c>
      <c r="B383" s="6">
        <v>46077</v>
      </c>
      <c r="C383" s="7" t="s">
        <v>75</v>
      </c>
      <c r="D383" s="7" t="s">
        <v>48</v>
      </c>
      <c r="E383" s="7" t="s">
        <v>39</v>
      </c>
      <c r="F383" s="7" t="s">
        <v>35</v>
      </c>
      <c r="G383" s="7" t="s">
        <v>65</v>
      </c>
      <c r="H383" s="7" t="s">
        <v>57</v>
      </c>
      <c r="I383" s="7">
        <v>44</v>
      </c>
      <c r="J383" s="7">
        <v>47</v>
      </c>
      <c r="K383" s="20">
        <v>25936.39</v>
      </c>
      <c r="L383" s="20">
        <v>373.15</v>
      </c>
      <c r="M383" s="7">
        <v>32.72</v>
      </c>
      <c r="N383" s="20">
        <f>Table15[[#This Row],[Processing Fee]]-Table15[[#This Row],[Discount Applied]]</f>
        <v>340.42999999999995</v>
      </c>
      <c r="O383" s="7" t="str">
        <f>IF(Table15[[#This Row],[Revenue]]&gt;35000,"Achieved","Not Achieved")</f>
        <v>Not Achieved</v>
      </c>
      <c r="P383" s="8">
        <v>5</v>
      </c>
      <c r="Q383" s="7" t="str">
        <f>IF(AND(Table15[[#This Row],[CSAT Score]]&lt;=3,Table15[[#This Row],[Revenue]]&gt;=20000),"High-Risk","Stable")</f>
        <v>Stable</v>
      </c>
      <c r="R383" s="8" t="str" cm="1">
        <f t="array" ref="R383">_xlfn.IFS(Table15[[#This Row],[Revenue]]&gt;=35000,"Platinum",Table15[[#This Row],[Revenue]]&gt;=15000,"Gold",TRUE,"Standard")</f>
        <v>Gold</v>
      </c>
      <c r="S383" s="8" t="str">
        <f>IF(OR(Table15[[#This Row],[Product]]="Wealth Management",Table15[[#This Row],[Revenue]]&gt;=40000),"Yes","No")</f>
        <v>No</v>
      </c>
    </row>
    <row r="384" spans="1:19" x14ac:dyDescent="0.3">
      <c r="A384" s="5" t="s">
        <v>442</v>
      </c>
      <c r="B384" s="6">
        <v>45929</v>
      </c>
      <c r="C384" s="7" t="s">
        <v>26</v>
      </c>
      <c r="D384" s="7" t="s">
        <v>50</v>
      </c>
      <c r="E384" s="7" t="s">
        <v>21</v>
      </c>
      <c r="F384" s="7" t="s">
        <v>40</v>
      </c>
      <c r="G384" s="7" t="s">
        <v>36</v>
      </c>
      <c r="H384" s="7" t="s">
        <v>53</v>
      </c>
      <c r="I384" s="7">
        <v>74</v>
      </c>
      <c r="J384" s="7">
        <v>62</v>
      </c>
      <c r="K384" s="20">
        <v>39933.919999999998</v>
      </c>
      <c r="L384" s="20">
        <v>311.64999999999998</v>
      </c>
      <c r="M384" s="7">
        <v>72.55</v>
      </c>
      <c r="N384" s="20">
        <f>Table15[[#This Row],[Processing Fee]]-Table15[[#This Row],[Discount Applied]]</f>
        <v>239.09999999999997</v>
      </c>
      <c r="O384" s="7" t="str">
        <f>IF(Table15[[#This Row],[Revenue]]&gt;35000,"Achieved","Not Achieved")</f>
        <v>Achieved</v>
      </c>
      <c r="P384" s="8">
        <v>2</v>
      </c>
      <c r="Q384" s="7" t="str">
        <f>IF(AND(Table15[[#This Row],[CSAT Score]]&lt;=3,Table15[[#This Row],[Revenue]]&gt;=20000),"High-Risk","Stable")</f>
        <v>High-Risk</v>
      </c>
      <c r="R384" s="8" t="str" cm="1">
        <f t="array" ref="R384">_xlfn.IFS(Table15[[#This Row],[Revenue]]&gt;=35000,"Platinum",Table15[[#This Row],[Revenue]]&gt;=15000,"Gold",TRUE,"Standard")</f>
        <v>Platinum</v>
      </c>
      <c r="S384" s="8" t="str">
        <f>IF(OR(Table15[[#This Row],[Product]]="Wealth Management",Table15[[#This Row],[Revenue]]&gt;=40000),"Yes","No")</f>
        <v>No</v>
      </c>
    </row>
    <row r="385" spans="1:19" x14ac:dyDescent="0.3">
      <c r="A385" s="5" t="s">
        <v>443</v>
      </c>
      <c r="B385" s="6">
        <v>46064</v>
      </c>
      <c r="C385" s="7" t="s">
        <v>33</v>
      </c>
      <c r="D385" s="7" t="s">
        <v>83</v>
      </c>
      <c r="E385" s="7" t="s">
        <v>28</v>
      </c>
      <c r="F385" s="7" t="s">
        <v>22</v>
      </c>
      <c r="G385" s="7" t="s">
        <v>23</v>
      </c>
      <c r="H385" s="7" t="s">
        <v>53</v>
      </c>
      <c r="I385" s="7">
        <v>47</v>
      </c>
      <c r="J385" s="7">
        <v>99</v>
      </c>
      <c r="K385" s="20">
        <v>17230.09</v>
      </c>
      <c r="L385" s="20">
        <v>476.5</v>
      </c>
      <c r="M385" s="7">
        <v>50.2</v>
      </c>
      <c r="N385" s="20">
        <f>Table15[[#This Row],[Processing Fee]]-Table15[[#This Row],[Discount Applied]]</f>
        <v>426.3</v>
      </c>
      <c r="O385" s="7" t="str">
        <f>IF(Table15[[#This Row],[Revenue]]&gt;35000,"Achieved","Not Achieved")</f>
        <v>Not Achieved</v>
      </c>
      <c r="P385" s="8">
        <v>2</v>
      </c>
      <c r="Q385" s="7" t="str">
        <f>IF(AND(Table15[[#This Row],[CSAT Score]]&lt;=3,Table15[[#This Row],[Revenue]]&gt;=20000),"High-Risk","Stable")</f>
        <v>Stable</v>
      </c>
      <c r="R385" s="8" t="str" cm="1">
        <f t="array" ref="R385">_xlfn.IFS(Table15[[#This Row],[Revenue]]&gt;=35000,"Platinum",Table15[[#This Row],[Revenue]]&gt;=15000,"Gold",TRUE,"Standard")</f>
        <v>Gold</v>
      </c>
      <c r="S385" s="8" t="str">
        <f>IF(OR(Table15[[#This Row],[Product]]="Wealth Management",Table15[[#This Row],[Revenue]]&gt;=40000),"Yes","No")</f>
        <v>Yes</v>
      </c>
    </row>
    <row r="386" spans="1:19" x14ac:dyDescent="0.3">
      <c r="A386" s="5" t="s">
        <v>444</v>
      </c>
      <c r="B386" s="6">
        <v>46200</v>
      </c>
      <c r="C386" s="7" t="s">
        <v>33</v>
      </c>
      <c r="D386" s="7" t="s">
        <v>63</v>
      </c>
      <c r="E386" s="7" t="s">
        <v>21</v>
      </c>
      <c r="F386" s="7" t="s">
        <v>35</v>
      </c>
      <c r="G386" s="7" t="s">
        <v>65</v>
      </c>
      <c r="H386" s="7" t="s">
        <v>53</v>
      </c>
      <c r="I386" s="7">
        <v>22</v>
      </c>
      <c r="J386" s="7">
        <v>116</v>
      </c>
      <c r="K386" s="20">
        <v>35421.760000000002</v>
      </c>
      <c r="L386" s="20">
        <v>74.16</v>
      </c>
      <c r="M386" s="7">
        <v>136.69</v>
      </c>
      <c r="N386" s="20">
        <f>Table15[[#This Row],[Processing Fee]]-Table15[[#This Row],[Discount Applied]]</f>
        <v>-62.53</v>
      </c>
      <c r="O386" s="7" t="str">
        <f>IF(Table15[[#This Row],[Revenue]]&gt;35000,"Achieved","Not Achieved")</f>
        <v>Achieved</v>
      </c>
      <c r="P386" s="8">
        <v>4</v>
      </c>
      <c r="Q386" s="7" t="str">
        <f>IF(AND(Table15[[#This Row],[CSAT Score]]&lt;=3,Table15[[#This Row],[Revenue]]&gt;=20000),"High-Risk","Stable")</f>
        <v>Stable</v>
      </c>
      <c r="R386" s="8" t="str" cm="1">
        <f t="array" ref="R386">_xlfn.IFS(Table15[[#This Row],[Revenue]]&gt;=35000,"Platinum",Table15[[#This Row],[Revenue]]&gt;=15000,"Gold",TRUE,"Standard")</f>
        <v>Platinum</v>
      </c>
      <c r="S386" s="8" t="str">
        <f>IF(OR(Table15[[#This Row],[Product]]="Wealth Management",Table15[[#This Row],[Revenue]]&gt;=40000),"Yes","No")</f>
        <v>No</v>
      </c>
    </row>
    <row r="387" spans="1:19" x14ac:dyDescent="0.3">
      <c r="A387" s="5" t="s">
        <v>445</v>
      </c>
      <c r="B387" s="6">
        <v>46023</v>
      </c>
      <c r="C387" s="7" t="s">
        <v>44</v>
      </c>
      <c r="D387" s="7" t="s">
        <v>34</v>
      </c>
      <c r="E387" s="7" t="s">
        <v>46</v>
      </c>
      <c r="F387" s="7" t="s">
        <v>40</v>
      </c>
      <c r="G387" s="7" t="s">
        <v>65</v>
      </c>
      <c r="H387" s="7" t="s">
        <v>53</v>
      </c>
      <c r="I387" s="7">
        <v>51</v>
      </c>
      <c r="J387" s="7">
        <v>14</v>
      </c>
      <c r="K387" s="20">
        <v>9781.4699999999993</v>
      </c>
      <c r="L387" s="20">
        <v>97.81</v>
      </c>
      <c r="M387" s="7">
        <v>136.78</v>
      </c>
      <c r="N387" s="20">
        <f>Table15[[#This Row],[Processing Fee]]-Table15[[#This Row],[Discount Applied]]</f>
        <v>-38.97</v>
      </c>
      <c r="O387" s="7" t="str">
        <f>IF(Table15[[#This Row],[Revenue]]&gt;35000,"Achieved","Not Achieved")</f>
        <v>Not Achieved</v>
      </c>
      <c r="P387" s="8">
        <v>1</v>
      </c>
      <c r="Q387" s="7" t="str">
        <f>IF(AND(Table15[[#This Row],[CSAT Score]]&lt;=3,Table15[[#This Row],[Revenue]]&gt;=20000),"High-Risk","Stable")</f>
        <v>Stable</v>
      </c>
      <c r="R387" s="8" t="str" cm="1">
        <f t="array" ref="R387">_xlfn.IFS(Table15[[#This Row],[Revenue]]&gt;=35000,"Platinum",Table15[[#This Row],[Revenue]]&gt;=15000,"Gold",TRUE,"Standard")</f>
        <v>Standard</v>
      </c>
      <c r="S387" s="8" t="str">
        <f>IF(OR(Table15[[#This Row],[Product]]="Wealth Management",Table15[[#This Row],[Revenue]]&gt;=40000),"Yes","No")</f>
        <v>No</v>
      </c>
    </row>
    <row r="388" spans="1:19" x14ac:dyDescent="0.3">
      <c r="A388" s="5" t="s">
        <v>446</v>
      </c>
      <c r="B388" s="6">
        <v>45879</v>
      </c>
      <c r="C388" s="7" t="s">
        <v>42</v>
      </c>
      <c r="D388" s="7" t="s">
        <v>20</v>
      </c>
      <c r="E388" s="7" t="s">
        <v>39</v>
      </c>
      <c r="F388" s="7" t="s">
        <v>69</v>
      </c>
      <c r="G388" s="7" t="s">
        <v>36</v>
      </c>
      <c r="H388" s="7" t="s">
        <v>53</v>
      </c>
      <c r="I388" s="7">
        <v>34</v>
      </c>
      <c r="J388" s="7">
        <v>63</v>
      </c>
      <c r="K388" s="20">
        <v>37654.620000000003</v>
      </c>
      <c r="L388" s="20">
        <v>128.15</v>
      </c>
      <c r="M388" s="7">
        <v>100.37</v>
      </c>
      <c r="N388" s="20">
        <f>Table15[[#This Row],[Processing Fee]]-Table15[[#This Row],[Discount Applied]]</f>
        <v>27.78</v>
      </c>
      <c r="O388" s="7" t="str">
        <f>IF(Table15[[#This Row],[Revenue]]&gt;35000,"Achieved","Not Achieved")</f>
        <v>Achieved</v>
      </c>
      <c r="P388" s="8">
        <v>3</v>
      </c>
      <c r="Q388" s="7" t="str">
        <f>IF(AND(Table15[[#This Row],[CSAT Score]]&lt;=3,Table15[[#This Row],[Revenue]]&gt;=20000),"High-Risk","Stable")</f>
        <v>High-Risk</v>
      </c>
      <c r="R388" s="8" t="str" cm="1">
        <f t="array" ref="R388">_xlfn.IFS(Table15[[#This Row],[Revenue]]&gt;=35000,"Platinum",Table15[[#This Row],[Revenue]]&gt;=15000,"Gold",TRUE,"Standard")</f>
        <v>Platinum</v>
      </c>
      <c r="S388" s="8" t="str">
        <f>IF(OR(Table15[[#This Row],[Product]]="Wealth Management",Table15[[#This Row],[Revenue]]&gt;=40000),"Yes","No")</f>
        <v>No</v>
      </c>
    </row>
    <row r="389" spans="1:19" x14ac:dyDescent="0.3">
      <c r="A389" s="5" t="s">
        <v>447</v>
      </c>
      <c r="B389" s="6">
        <v>46167</v>
      </c>
      <c r="C389" s="7" t="s">
        <v>19</v>
      </c>
      <c r="D389" s="7" t="s">
        <v>68</v>
      </c>
      <c r="E389" s="7" t="s">
        <v>39</v>
      </c>
      <c r="F389" s="7" t="s">
        <v>35</v>
      </c>
      <c r="G389" s="7" t="s">
        <v>56</v>
      </c>
      <c r="H389" s="7" t="s">
        <v>24</v>
      </c>
      <c r="I389" s="7">
        <v>22</v>
      </c>
      <c r="J389" s="7">
        <v>112</v>
      </c>
      <c r="K389" s="20">
        <v>12181.83</v>
      </c>
      <c r="L389" s="20">
        <v>360.58</v>
      </c>
      <c r="M389" s="7">
        <v>155.59</v>
      </c>
      <c r="N389" s="20">
        <f>Table15[[#This Row],[Processing Fee]]-Table15[[#This Row],[Discount Applied]]</f>
        <v>204.98999999999998</v>
      </c>
      <c r="O389" s="7" t="str">
        <f>IF(Table15[[#This Row],[Revenue]]&gt;35000,"Achieved","Not Achieved")</f>
        <v>Not Achieved</v>
      </c>
      <c r="P389" s="8">
        <v>4</v>
      </c>
      <c r="Q389" s="7" t="str">
        <f>IF(AND(Table15[[#This Row],[CSAT Score]]&lt;=3,Table15[[#This Row],[Revenue]]&gt;=20000),"High-Risk","Stable")</f>
        <v>Stable</v>
      </c>
      <c r="R389" s="8" t="str" cm="1">
        <f t="array" ref="R389">_xlfn.IFS(Table15[[#This Row],[Revenue]]&gt;=35000,"Platinum",Table15[[#This Row],[Revenue]]&gt;=15000,"Gold",TRUE,"Standard")</f>
        <v>Standard</v>
      </c>
      <c r="S389" s="8" t="str">
        <f>IF(OR(Table15[[#This Row],[Product]]="Wealth Management",Table15[[#This Row],[Revenue]]&gt;=40000),"Yes","No")</f>
        <v>No</v>
      </c>
    </row>
    <row r="390" spans="1:19" x14ac:dyDescent="0.3">
      <c r="A390" s="5" t="s">
        <v>448</v>
      </c>
      <c r="B390" s="6">
        <v>46029</v>
      </c>
      <c r="C390" s="7" t="s">
        <v>91</v>
      </c>
      <c r="D390" s="7" t="s">
        <v>79</v>
      </c>
      <c r="E390" s="7" t="s">
        <v>39</v>
      </c>
      <c r="F390" s="7" t="s">
        <v>40</v>
      </c>
      <c r="G390" s="7" t="s">
        <v>30</v>
      </c>
      <c r="H390" s="7" t="s">
        <v>24</v>
      </c>
      <c r="I390" s="7">
        <v>49</v>
      </c>
      <c r="J390" s="7">
        <v>61</v>
      </c>
      <c r="K390" s="20">
        <v>7605.47</v>
      </c>
      <c r="L390" s="20">
        <v>340.52</v>
      </c>
      <c r="M390" s="7">
        <v>168.27</v>
      </c>
      <c r="N390" s="20">
        <f>Table15[[#This Row],[Processing Fee]]-Table15[[#This Row],[Discount Applied]]</f>
        <v>172.24999999999997</v>
      </c>
      <c r="O390" s="7" t="str">
        <f>IF(Table15[[#This Row],[Revenue]]&gt;35000,"Achieved","Not Achieved")</f>
        <v>Not Achieved</v>
      </c>
      <c r="P390" s="8">
        <v>5</v>
      </c>
      <c r="Q390" s="7" t="str">
        <f>IF(AND(Table15[[#This Row],[CSAT Score]]&lt;=3,Table15[[#This Row],[Revenue]]&gt;=20000),"High-Risk","Stable")</f>
        <v>Stable</v>
      </c>
      <c r="R390" s="8" t="str" cm="1">
        <f t="array" ref="R390">_xlfn.IFS(Table15[[#This Row],[Revenue]]&gt;=35000,"Platinum",Table15[[#This Row],[Revenue]]&gt;=15000,"Gold",TRUE,"Standard")</f>
        <v>Standard</v>
      </c>
      <c r="S390" s="8" t="str">
        <f>IF(OR(Table15[[#This Row],[Product]]="Wealth Management",Table15[[#This Row],[Revenue]]&gt;=40000),"Yes","No")</f>
        <v>No</v>
      </c>
    </row>
    <row r="391" spans="1:19" x14ac:dyDescent="0.3">
      <c r="A391" s="5" t="s">
        <v>449</v>
      </c>
      <c r="B391" s="6">
        <v>46138</v>
      </c>
      <c r="C391" s="7" t="s">
        <v>91</v>
      </c>
      <c r="D391" s="7" t="s">
        <v>77</v>
      </c>
      <c r="E391" s="7" t="s">
        <v>21</v>
      </c>
      <c r="F391" s="7" t="s">
        <v>69</v>
      </c>
      <c r="G391" s="7" t="s">
        <v>36</v>
      </c>
      <c r="H391" s="7" t="s">
        <v>31</v>
      </c>
      <c r="I391" s="7">
        <v>35</v>
      </c>
      <c r="J391" s="7">
        <v>31</v>
      </c>
      <c r="K391" s="20">
        <v>9677.74</v>
      </c>
      <c r="L391" s="20">
        <v>451.43</v>
      </c>
      <c r="M391" s="7">
        <v>173.92</v>
      </c>
      <c r="N391" s="20">
        <f>Table15[[#This Row],[Processing Fee]]-Table15[[#This Row],[Discount Applied]]</f>
        <v>277.51</v>
      </c>
      <c r="O391" s="7" t="str">
        <f>IF(Table15[[#This Row],[Revenue]]&gt;35000,"Achieved","Not Achieved")</f>
        <v>Not Achieved</v>
      </c>
      <c r="P391" s="8">
        <v>3</v>
      </c>
      <c r="Q391" s="7" t="str">
        <f>IF(AND(Table15[[#This Row],[CSAT Score]]&lt;=3,Table15[[#This Row],[Revenue]]&gt;=20000),"High-Risk","Stable")</f>
        <v>Stable</v>
      </c>
      <c r="R391" s="8" t="str" cm="1">
        <f t="array" ref="R391">_xlfn.IFS(Table15[[#This Row],[Revenue]]&gt;=35000,"Platinum",Table15[[#This Row],[Revenue]]&gt;=15000,"Gold",TRUE,"Standard")</f>
        <v>Standard</v>
      </c>
      <c r="S391" s="8" t="str">
        <f>IF(OR(Table15[[#This Row],[Product]]="Wealth Management",Table15[[#This Row],[Revenue]]&gt;=40000),"Yes","No")</f>
        <v>No</v>
      </c>
    </row>
    <row r="392" spans="1:19" x14ac:dyDescent="0.3">
      <c r="A392" s="5" t="s">
        <v>450</v>
      </c>
      <c r="B392" s="6">
        <v>46156</v>
      </c>
      <c r="C392" s="7" t="s">
        <v>42</v>
      </c>
      <c r="D392" s="7" t="s">
        <v>45</v>
      </c>
      <c r="E392" s="7" t="s">
        <v>46</v>
      </c>
      <c r="F392" s="7" t="s">
        <v>22</v>
      </c>
      <c r="G392" s="7" t="s">
        <v>30</v>
      </c>
      <c r="H392" s="7" t="s">
        <v>24</v>
      </c>
      <c r="I392" s="7">
        <v>32</v>
      </c>
      <c r="J392" s="7">
        <v>95</v>
      </c>
      <c r="K392" s="20">
        <v>9512.1200000000008</v>
      </c>
      <c r="L392" s="20">
        <v>379.79</v>
      </c>
      <c r="M392" s="7">
        <v>123.79</v>
      </c>
      <c r="N392" s="20">
        <f>Table15[[#This Row],[Processing Fee]]-Table15[[#This Row],[Discount Applied]]</f>
        <v>256</v>
      </c>
      <c r="O392" s="7" t="str">
        <f>IF(Table15[[#This Row],[Revenue]]&gt;35000,"Achieved","Not Achieved")</f>
        <v>Not Achieved</v>
      </c>
      <c r="P392" s="8">
        <v>1</v>
      </c>
      <c r="Q392" s="7" t="str">
        <f>IF(AND(Table15[[#This Row],[CSAT Score]]&lt;=3,Table15[[#This Row],[Revenue]]&gt;=20000),"High-Risk","Stable")</f>
        <v>Stable</v>
      </c>
      <c r="R392" s="8" t="str" cm="1">
        <f t="array" ref="R392">_xlfn.IFS(Table15[[#This Row],[Revenue]]&gt;=35000,"Platinum",Table15[[#This Row],[Revenue]]&gt;=15000,"Gold",TRUE,"Standard")</f>
        <v>Standard</v>
      </c>
      <c r="S392" s="8" t="str">
        <f>IF(OR(Table15[[#This Row],[Product]]="Wealth Management",Table15[[#This Row],[Revenue]]&gt;=40000),"Yes","No")</f>
        <v>Yes</v>
      </c>
    </row>
    <row r="393" spans="1:19" x14ac:dyDescent="0.3">
      <c r="A393" s="5" t="s">
        <v>451</v>
      </c>
      <c r="B393" s="6">
        <v>45989</v>
      </c>
      <c r="C393" s="7" t="s">
        <v>42</v>
      </c>
      <c r="D393" s="7" t="s">
        <v>87</v>
      </c>
      <c r="E393" s="7" t="s">
        <v>28</v>
      </c>
      <c r="F393" s="7" t="s">
        <v>22</v>
      </c>
      <c r="G393" s="7" t="s">
        <v>56</v>
      </c>
      <c r="H393" s="7" t="s">
        <v>31</v>
      </c>
      <c r="I393" s="7">
        <v>57</v>
      </c>
      <c r="J393" s="7">
        <v>17</v>
      </c>
      <c r="K393" s="20">
        <v>25886.71</v>
      </c>
      <c r="L393" s="20">
        <v>278.76</v>
      </c>
      <c r="M393" s="7">
        <v>84.87</v>
      </c>
      <c r="N393" s="20">
        <f>Table15[[#This Row],[Processing Fee]]-Table15[[#This Row],[Discount Applied]]</f>
        <v>193.89</v>
      </c>
      <c r="O393" s="7" t="str">
        <f>IF(Table15[[#This Row],[Revenue]]&gt;35000,"Achieved","Not Achieved")</f>
        <v>Not Achieved</v>
      </c>
      <c r="P393" s="8">
        <v>1</v>
      </c>
      <c r="Q393" s="7" t="str">
        <f>IF(AND(Table15[[#This Row],[CSAT Score]]&lt;=3,Table15[[#This Row],[Revenue]]&gt;=20000),"High-Risk","Stable")</f>
        <v>High-Risk</v>
      </c>
      <c r="R393" s="8" t="str" cm="1">
        <f t="array" ref="R393">_xlfn.IFS(Table15[[#This Row],[Revenue]]&gt;=35000,"Platinum",Table15[[#This Row],[Revenue]]&gt;=15000,"Gold",TRUE,"Standard")</f>
        <v>Gold</v>
      </c>
      <c r="S393" s="8" t="str">
        <f>IF(OR(Table15[[#This Row],[Product]]="Wealth Management",Table15[[#This Row],[Revenue]]&gt;=40000),"Yes","No")</f>
        <v>Yes</v>
      </c>
    </row>
    <row r="394" spans="1:19" x14ac:dyDescent="0.3">
      <c r="A394" s="5" t="s">
        <v>452</v>
      </c>
      <c r="B394" s="6">
        <v>45870</v>
      </c>
      <c r="C394" s="7" t="s">
        <v>44</v>
      </c>
      <c r="D394" s="7" t="s">
        <v>77</v>
      </c>
      <c r="E394" s="7" t="s">
        <v>28</v>
      </c>
      <c r="F394" s="7" t="s">
        <v>22</v>
      </c>
      <c r="G394" s="7" t="s">
        <v>65</v>
      </c>
      <c r="H394" s="7" t="s">
        <v>31</v>
      </c>
      <c r="I394" s="7">
        <v>48</v>
      </c>
      <c r="J394" s="7">
        <v>24</v>
      </c>
      <c r="K394" s="20">
        <v>42317.48</v>
      </c>
      <c r="L394" s="20">
        <v>496.32</v>
      </c>
      <c r="M394" s="7">
        <v>268.45999999999998</v>
      </c>
      <c r="N394" s="20">
        <f>Table15[[#This Row],[Processing Fee]]-Table15[[#This Row],[Discount Applied]]</f>
        <v>227.86</v>
      </c>
      <c r="O394" s="7" t="str">
        <f>IF(Table15[[#This Row],[Revenue]]&gt;35000,"Achieved","Not Achieved")</f>
        <v>Achieved</v>
      </c>
      <c r="P394" s="8">
        <v>2</v>
      </c>
      <c r="Q394" s="7" t="str">
        <f>IF(AND(Table15[[#This Row],[CSAT Score]]&lt;=3,Table15[[#This Row],[Revenue]]&gt;=20000),"High-Risk","Stable")</f>
        <v>High-Risk</v>
      </c>
      <c r="R394" s="8" t="str" cm="1">
        <f t="array" ref="R394">_xlfn.IFS(Table15[[#This Row],[Revenue]]&gt;=35000,"Platinum",Table15[[#This Row],[Revenue]]&gt;=15000,"Gold",TRUE,"Standard")</f>
        <v>Platinum</v>
      </c>
      <c r="S394" s="8" t="str">
        <f>IF(OR(Table15[[#This Row],[Product]]="Wealth Management",Table15[[#This Row],[Revenue]]&gt;=40000),"Yes","No")</f>
        <v>Yes</v>
      </c>
    </row>
    <row r="395" spans="1:19" x14ac:dyDescent="0.3">
      <c r="A395" s="5" t="s">
        <v>453</v>
      </c>
      <c r="B395" s="6">
        <v>46144</v>
      </c>
      <c r="C395" s="7" t="s">
        <v>44</v>
      </c>
      <c r="D395" s="7" t="s">
        <v>52</v>
      </c>
      <c r="E395" s="7" t="s">
        <v>21</v>
      </c>
      <c r="F395" s="7" t="s">
        <v>22</v>
      </c>
      <c r="G395" s="7" t="s">
        <v>30</v>
      </c>
      <c r="H395" s="7" t="s">
        <v>57</v>
      </c>
      <c r="I395" s="7">
        <v>40</v>
      </c>
      <c r="J395" s="7">
        <v>116</v>
      </c>
      <c r="K395" s="20">
        <v>4440.45</v>
      </c>
      <c r="L395" s="20">
        <v>169.75</v>
      </c>
      <c r="M395" s="7">
        <v>4.84</v>
      </c>
      <c r="N395" s="20">
        <f>Table15[[#This Row],[Processing Fee]]-Table15[[#This Row],[Discount Applied]]</f>
        <v>164.91</v>
      </c>
      <c r="O395" s="7" t="str">
        <f>IF(Table15[[#This Row],[Revenue]]&gt;35000,"Achieved","Not Achieved")</f>
        <v>Not Achieved</v>
      </c>
      <c r="P395" s="8">
        <v>4</v>
      </c>
      <c r="Q395" s="7" t="str">
        <f>IF(AND(Table15[[#This Row],[CSAT Score]]&lt;=3,Table15[[#This Row],[Revenue]]&gt;=20000),"High-Risk","Stable")</f>
        <v>Stable</v>
      </c>
      <c r="R395" s="8" t="str" cm="1">
        <f t="array" ref="R395">_xlfn.IFS(Table15[[#This Row],[Revenue]]&gt;=35000,"Platinum",Table15[[#This Row],[Revenue]]&gt;=15000,"Gold",TRUE,"Standard")</f>
        <v>Standard</v>
      </c>
      <c r="S395" s="8" t="str">
        <f>IF(OR(Table15[[#This Row],[Product]]="Wealth Management",Table15[[#This Row],[Revenue]]&gt;=40000),"Yes","No")</f>
        <v>Yes</v>
      </c>
    </row>
    <row r="396" spans="1:19" x14ac:dyDescent="0.3">
      <c r="A396" s="5" t="s">
        <v>454</v>
      </c>
      <c r="B396" s="6">
        <v>46231</v>
      </c>
      <c r="C396" s="7" t="s">
        <v>42</v>
      </c>
      <c r="D396" s="7" t="s">
        <v>68</v>
      </c>
      <c r="E396" s="7" t="s">
        <v>39</v>
      </c>
      <c r="F396" s="7" t="s">
        <v>29</v>
      </c>
      <c r="G396" s="7" t="s">
        <v>23</v>
      </c>
      <c r="H396" s="7" t="s">
        <v>53</v>
      </c>
      <c r="I396" s="7">
        <v>59</v>
      </c>
      <c r="J396" s="7">
        <v>23</v>
      </c>
      <c r="K396" s="20">
        <v>35494.339999999997</v>
      </c>
      <c r="L396" s="20">
        <v>424.94</v>
      </c>
      <c r="M396" s="7">
        <v>69.72</v>
      </c>
      <c r="N396" s="20">
        <f>Table15[[#This Row],[Processing Fee]]-Table15[[#This Row],[Discount Applied]]</f>
        <v>355.22</v>
      </c>
      <c r="O396" s="7" t="str">
        <f>IF(Table15[[#This Row],[Revenue]]&gt;35000,"Achieved","Not Achieved")</f>
        <v>Achieved</v>
      </c>
      <c r="P396" s="8">
        <v>5</v>
      </c>
      <c r="Q396" s="7" t="str">
        <f>IF(AND(Table15[[#This Row],[CSAT Score]]&lt;=3,Table15[[#This Row],[Revenue]]&gt;=20000),"High-Risk","Stable")</f>
        <v>Stable</v>
      </c>
      <c r="R396" s="8" t="str" cm="1">
        <f t="array" ref="R396">_xlfn.IFS(Table15[[#This Row],[Revenue]]&gt;=35000,"Platinum",Table15[[#This Row],[Revenue]]&gt;=15000,"Gold",TRUE,"Standard")</f>
        <v>Platinum</v>
      </c>
      <c r="S396" s="8" t="str">
        <f>IF(OR(Table15[[#This Row],[Product]]="Wealth Management",Table15[[#This Row],[Revenue]]&gt;=40000),"Yes","No")</f>
        <v>No</v>
      </c>
    </row>
    <row r="397" spans="1:19" x14ac:dyDescent="0.3">
      <c r="A397" s="5" t="s">
        <v>455</v>
      </c>
      <c r="B397" s="6">
        <v>45958</v>
      </c>
      <c r="C397" s="7" t="s">
        <v>26</v>
      </c>
      <c r="D397" s="7" t="s">
        <v>50</v>
      </c>
      <c r="E397" s="7" t="s">
        <v>59</v>
      </c>
      <c r="F397" s="7" t="s">
        <v>35</v>
      </c>
      <c r="G397" s="7" t="s">
        <v>23</v>
      </c>
      <c r="H397" s="7" t="s">
        <v>24</v>
      </c>
      <c r="I397" s="7">
        <v>44</v>
      </c>
      <c r="J397" s="7">
        <v>82</v>
      </c>
      <c r="K397" s="20">
        <v>32890.15</v>
      </c>
      <c r="L397" s="20">
        <v>242.06</v>
      </c>
      <c r="M397" s="7">
        <v>144.36000000000001</v>
      </c>
      <c r="N397" s="20">
        <f>Table15[[#This Row],[Processing Fee]]-Table15[[#This Row],[Discount Applied]]</f>
        <v>97.699999999999989</v>
      </c>
      <c r="O397" s="7" t="str">
        <f>IF(Table15[[#This Row],[Revenue]]&gt;35000,"Achieved","Not Achieved")</f>
        <v>Not Achieved</v>
      </c>
      <c r="P397" s="8">
        <v>3</v>
      </c>
      <c r="Q397" s="7" t="str">
        <f>IF(AND(Table15[[#This Row],[CSAT Score]]&lt;=3,Table15[[#This Row],[Revenue]]&gt;=20000),"High-Risk","Stable")</f>
        <v>High-Risk</v>
      </c>
      <c r="R397" s="8" t="str" cm="1">
        <f t="array" ref="R397">_xlfn.IFS(Table15[[#This Row],[Revenue]]&gt;=35000,"Platinum",Table15[[#This Row],[Revenue]]&gt;=15000,"Gold",TRUE,"Standard")</f>
        <v>Gold</v>
      </c>
      <c r="S397" s="8" t="str">
        <f>IF(OR(Table15[[#This Row],[Product]]="Wealth Management",Table15[[#This Row],[Revenue]]&gt;=40000),"Yes","No")</f>
        <v>No</v>
      </c>
    </row>
    <row r="398" spans="1:19" x14ac:dyDescent="0.3">
      <c r="A398" s="5" t="s">
        <v>456</v>
      </c>
      <c r="B398" s="6">
        <v>46111</v>
      </c>
      <c r="C398" s="7" t="s">
        <v>44</v>
      </c>
      <c r="D398" s="7" t="s">
        <v>79</v>
      </c>
      <c r="E398" s="7" t="s">
        <v>21</v>
      </c>
      <c r="F398" s="7" t="s">
        <v>35</v>
      </c>
      <c r="G398" s="7" t="s">
        <v>36</v>
      </c>
      <c r="H398" s="7" t="s">
        <v>57</v>
      </c>
      <c r="I398" s="7">
        <v>41</v>
      </c>
      <c r="J398" s="7">
        <v>50</v>
      </c>
      <c r="K398" s="20">
        <v>43689.74</v>
      </c>
      <c r="L398" s="20">
        <v>341.93</v>
      </c>
      <c r="M398" s="7">
        <v>16.02</v>
      </c>
      <c r="N398" s="20">
        <f>Table15[[#This Row],[Processing Fee]]-Table15[[#This Row],[Discount Applied]]</f>
        <v>325.91000000000003</v>
      </c>
      <c r="O398" s="7" t="str">
        <f>IF(Table15[[#This Row],[Revenue]]&gt;35000,"Achieved","Not Achieved")</f>
        <v>Achieved</v>
      </c>
      <c r="P398" s="8">
        <v>1</v>
      </c>
      <c r="Q398" s="7" t="str">
        <f>IF(AND(Table15[[#This Row],[CSAT Score]]&lt;=3,Table15[[#This Row],[Revenue]]&gt;=20000),"High-Risk","Stable")</f>
        <v>High-Risk</v>
      </c>
      <c r="R398" s="8" t="str" cm="1">
        <f t="array" ref="R398">_xlfn.IFS(Table15[[#This Row],[Revenue]]&gt;=35000,"Platinum",Table15[[#This Row],[Revenue]]&gt;=15000,"Gold",TRUE,"Standard")</f>
        <v>Platinum</v>
      </c>
      <c r="S398" s="8" t="str">
        <f>IF(OR(Table15[[#This Row],[Product]]="Wealth Management",Table15[[#This Row],[Revenue]]&gt;=40000),"Yes","No")</f>
        <v>Yes</v>
      </c>
    </row>
    <row r="399" spans="1:19" x14ac:dyDescent="0.3">
      <c r="A399" s="5" t="s">
        <v>457</v>
      </c>
      <c r="B399" s="6">
        <v>46219</v>
      </c>
      <c r="C399" s="7" t="s">
        <v>75</v>
      </c>
      <c r="D399" s="7" t="s">
        <v>68</v>
      </c>
      <c r="E399" s="7" t="s">
        <v>21</v>
      </c>
      <c r="F399" s="7" t="s">
        <v>29</v>
      </c>
      <c r="G399" s="7" t="s">
        <v>56</v>
      </c>
      <c r="H399" s="7" t="s">
        <v>24</v>
      </c>
      <c r="I399" s="7">
        <v>30</v>
      </c>
      <c r="J399" s="7">
        <v>118</v>
      </c>
      <c r="K399" s="20">
        <v>12585.3</v>
      </c>
      <c r="L399" s="20">
        <v>377.27</v>
      </c>
      <c r="M399" s="7">
        <v>36.630000000000003</v>
      </c>
      <c r="N399" s="20">
        <f>Table15[[#This Row],[Processing Fee]]-Table15[[#This Row],[Discount Applied]]</f>
        <v>340.64</v>
      </c>
      <c r="O399" s="7" t="str">
        <f>IF(Table15[[#This Row],[Revenue]]&gt;35000,"Achieved","Not Achieved")</f>
        <v>Not Achieved</v>
      </c>
      <c r="P399" s="8">
        <v>3</v>
      </c>
      <c r="Q399" s="7" t="str">
        <f>IF(AND(Table15[[#This Row],[CSAT Score]]&lt;=3,Table15[[#This Row],[Revenue]]&gt;=20000),"High-Risk","Stable")</f>
        <v>Stable</v>
      </c>
      <c r="R399" s="8" t="str" cm="1">
        <f t="array" ref="R399">_xlfn.IFS(Table15[[#This Row],[Revenue]]&gt;=35000,"Platinum",Table15[[#This Row],[Revenue]]&gt;=15000,"Gold",TRUE,"Standard")</f>
        <v>Standard</v>
      </c>
      <c r="S399" s="8" t="str">
        <f>IF(OR(Table15[[#This Row],[Product]]="Wealth Management",Table15[[#This Row],[Revenue]]&gt;=40000),"Yes","No")</f>
        <v>No</v>
      </c>
    </row>
    <row r="400" spans="1:19" x14ac:dyDescent="0.3">
      <c r="A400" s="5" t="s">
        <v>458</v>
      </c>
      <c r="B400" s="6">
        <v>45913</v>
      </c>
      <c r="C400" s="7" t="s">
        <v>44</v>
      </c>
      <c r="D400" s="7" t="s">
        <v>48</v>
      </c>
      <c r="E400" s="7" t="s">
        <v>46</v>
      </c>
      <c r="F400" s="7" t="s">
        <v>40</v>
      </c>
      <c r="G400" s="7" t="s">
        <v>36</v>
      </c>
      <c r="H400" s="7" t="s">
        <v>31</v>
      </c>
      <c r="I400" s="7">
        <v>66</v>
      </c>
      <c r="J400" s="7">
        <v>78</v>
      </c>
      <c r="K400" s="20">
        <v>22780.44</v>
      </c>
      <c r="L400" s="20">
        <v>335.19</v>
      </c>
      <c r="M400" s="7">
        <v>176.79</v>
      </c>
      <c r="N400" s="20">
        <f>Table15[[#This Row],[Processing Fee]]-Table15[[#This Row],[Discount Applied]]</f>
        <v>158.4</v>
      </c>
      <c r="O400" s="7" t="str">
        <f>IF(Table15[[#This Row],[Revenue]]&gt;35000,"Achieved","Not Achieved")</f>
        <v>Not Achieved</v>
      </c>
      <c r="P400" s="8">
        <v>5</v>
      </c>
      <c r="Q400" s="7" t="str">
        <f>IF(AND(Table15[[#This Row],[CSAT Score]]&lt;=3,Table15[[#This Row],[Revenue]]&gt;=20000),"High-Risk","Stable")</f>
        <v>Stable</v>
      </c>
      <c r="R400" s="8" t="str" cm="1">
        <f t="array" ref="R400">_xlfn.IFS(Table15[[#This Row],[Revenue]]&gt;=35000,"Platinum",Table15[[#This Row],[Revenue]]&gt;=15000,"Gold",TRUE,"Standard")</f>
        <v>Gold</v>
      </c>
      <c r="S400" s="8" t="str">
        <f>IF(OR(Table15[[#This Row],[Product]]="Wealth Management",Table15[[#This Row],[Revenue]]&gt;=40000),"Yes","No")</f>
        <v>No</v>
      </c>
    </row>
    <row r="401" spans="1:19" x14ac:dyDescent="0.3">
      <c r="A401" s="5" t="s">
        <v>459</v>
      </c>
      <c r="B401" s="6">
        <v>46092</v>
      </c>
      <c r="C401" s="7" t="s">
        <v>91</v>
      </c>
      <c r="D401" s="7" t="s">
        <v>34</v>
      </c>
      <c r="E401" s="7" t="s">
        <v>28</v>
      </c>
      <c r="F401" s="7" t="s">
        <v>40</v>
      </c>
      <c r="G401" s="7" t="s">
        <v>36</v>
      </c>
      <c r="H401" s="7" t="s">
        <v>24</v>
      </c>
      <c r="I401" s="7">
        <v>34</v>
      </c>
      <c r="J401" s="7">
        <v>114</v>
      </c>
      <c r="K401" s="20">
        <v>46328.46</v>
      </c>
      <c r="L401" s="20">
        <v>113.23</v>
      </c>
      <c r="M401" s="7">
        <v>112</v>
      </c>
      <c r="N401" s="20">
        <f>Table15[[#This Row],[Processing Fee]]-Table15[[#This Row],[Discount Applied]]</f>
        <v>1.230000000000004</v>
      </c>
      <c r="O401" s="7" t="str">
        <f>IF(Table15[[#This Row],[Revenue]]&gt;35000,"Achieved","Not Achieved")</f>
        <v>Achieved</v>
      </c>
      <c r="P401" s="8">
        <v>3</v>
      </c>
      <c r="Q401" s="7" t="str">
        <f>IF(AND(Table15[[#This Row],[CSAT Score]]&lt;=3,Table15[[#This Row],[Revenue]]&gt;=20000),"High-Risk","Stable")</f>
        <v>High-Risk</v>
      </c>
      <c r="R401" s="8" t="str" cm="1">
        <f t="array" ref="R401">_xlfn.IFS(Table15[[#This Row],[Revenue]]&gt;=35000,"Platinum",Table15[[#This Row],[Revenue]]&gt;=15000,"Gold",TRUE,"Standard")</f>
        <v>Platinum</v>
      </c>
      <c r="S401" s="8" t="str">
        <f>IF(OR(Table15[[#This Row],[Product]]="Wealth Management",Table15[[#This Row],[Revenue]]&gt;=40000),"Yes","No")</f>
        <v>Yes</v>
      </c>
    </row>
    <row r="402" spans="1:19" x14ac:dyDescent="0.3">
      <c r="A402" s="5" t="s">
        <v>460</v>
      </c>
      <c r="B402" s="6">
        <v>46163</v>
      </c>
      <c r="C402" s="7" t="s">
        <v>44</v>
      </c>
      <c r="D402" s="7" t="s">
        <v>27</v>
      </c>
      <c r="E402" s="7" t="s">
        <v>21</v>
      </c>
      <c r="F402" s="7" t="s">
        <v>22</v>
      </c>
      <c r="G402" s="7" t="s">
        <v>36</v>
      </c>
      <c r="H402" s="7" t="s">
        <v>53</v>
      </c>
      <c r="I402" s="7">
        <v>57</v>
      </c>
      <c r="J402" s="7">
        <v>79</v>
      </c>
      <c r="K402" s="20">
        <v>33169.68</v>
      </c>
      <c r="L402" s="20">
        <v>249.33</v>
      </c>
      <c r="M402" s="7">
        <v>147.79</v>
      </c>
      <c r="N402" s="20">
        <f>Table15[[#This Row],[Processing Fee]]-Table15[[#This Row],[Discount Applied]]</f>
        <v>101.54000000000002</v>
      </c>
      <c r="O402" s="7" t="str">
        <f>IF(Table15[[#This Row],[Revenue]]&gt;35000,"Achieved","Not Achieved")</f>
        <v>Not Achieved</v>
      </c>
      <c r="P402" s="8">
        <v>4</v>
      </c>
      <c r="Q402" s="7" t="str">
        <f>IF(AND(Table15[[#This Row],[CSAT Score]]&lt;=3,Table15[[#This Row],[Revenue]]&gt;=20000),"High-Risk","Stable")</f>
        <v>Stable</v>
      </c>
      <c r="R402" s="8" t="str" cm="1">
        <f t="array" ref="R402">_xlfn.IFS(Table15[[#This Row],[Revenue]]&gt;=35000,"Platinum",Table15[[#This Row],[Revenue]]&gt;=15000,"Gold",TRUE,"Standard")</f>
        <v>Gold</v>
      </c>
      <c r="S402" s="8" t="str">
        <f>IF(OR(Table15[[#This Row],[Product]]="Wealth Management",Table15[[#This Row],[Revenue]]&gt;=40000),"Yes","No")</f>
        <v>Yes</v>
      </c>
    </row>
    <row r="403" spans="1:19" x14ac:dyDescent="0.3">
      <c r="A403" s="5" t="s">
        <v>461</v>
      </c>
      <c r="B403" s="6">
        <v>46038</v>
      </c>
      <c r="C403" s="7" t="s">
        <v>26</v>
      </c>
      <c r="D403" s="7" t="s">
        <v>45</v>
      </c>
      <c r="E403" s="7" t="s">
        <v>21</v>
      </c>
      <c r="F403" s="7" t="s">
        <v>69</v>
      </c>
      <c r="G403" s="7" t="s">
        <v>23</v>
      </c>
      <c r="H403" s="7" t="s">
        <v>31</v>
      </c>
      <c r="I403" s="7">
        <v>38</v>
      </c>
      <c r="J403" s="7">
        <v>79</v>
      </c>
      <c r="K403" s="20">
        <v>19744.04</v>
      </c>
      <c r="L403" s="20">
        <v>302.64999999999998</v>
      </c>
      <c r="M403" s="7">
        <v>243.78</v>
      </c>
      <c r="N403" s="20">
        <f>Table15[[#This Row],[Processing Fee]]-Table15[[#This Row],[Discount Applied]]</f>
        <v>58.869999999999976</v>
      </c>
      <c r="O403" s="7" t="str">
        <f>IF(Table15[[#This Row],[Revenue]]&gt;35000,"Achieved","Not Achieved")</f>
        <v>Not Achieved</v>
      </c>
      <c r="P403" s="8">
        <v>2</v>
      </c>
      <c r="Q403" s="7" t="str">
        <f>IF(AND(Table15[[#This Row],[CSAT Score]]&lt;=3,Table15[[#This Row],[Revenue]]&gt;=20000),"High-Risk","Stable")</f>
        <v>Stable</v>
      </c>
      <c r="R403" s="8" t="str" cm="1">
        <f t="array" ref="R403">_xlfn.IFS(Table15[[#This Row],[Revenue]]&gt;=35000,"Platinum",Table15[[#This Row],[Revenue]]&gt;=15000,"Gold",TRUE,"Standard")</f>
        <v>Gold</v>
      </c>
      <c r="S403" s="8" t="str">
        <f>IF(OR(Table15[[#This Row],[Product]]="Wealth Management",Table15[[#This Row],[Revenue]]&gt;=40000),"Yes","No")</f>
        <v>No</v>
      </c>
    </row>
    <row r="404" spans="1:19" x14ac:dyDescent="0.3">
      <c r="A404" s="5" t="s">
        <v>462</v>
      </c>
      <c r="B404" s="6">
        <v>45919</v>
      </c>
      <c r="C404" s="7" t="s">
        <v>42</v>
      </c>
      <c r="D404" s="7" t="s">
        <v>38</v>
      </c>
      <c r="E404" s="7" t="s">
        <v>39</v>
      </c>
      <c r="F404" s="7" t="s">
        <v>40</v>
      </c>
      <c r="G404" s="7" t="s">
        <v>23</v>
      </c>
      <c r="H404" s="7" t="s">
        <v>31</v>
      </c>
      <c r="I404" s="7">
        <v>44</v>
      </c>
      <c r="J404" s="7">
        <v>70</v>
      </c>
      <c r="K404" s="20">
        <v>7004.91</v>
      </c>
      <c r="L404" s="20">
        <v>432.07</v>
      </c>
      <c r="M404" s="7">
        <v>38.58</v>
      </c>
      <c r="N404" s="20">
        <f>Table15[[#This Row],[Processing Fee]]-Table15[[#This Row],[Discount Applied]]</f>
        <v>393.49</v>
      </c>
      <c r="O404" s="7" t="str">
        <f>IF(Table15[[#This Row],[Revenue]]&gt;35000,"Achieved","Not Achieved")</f>
        <v>Not Achieved</v>
      </c>
      <c r="P404" s="8">
        <v>3</v>
      </c>
      <c r="Q404" s="7" t="str">
        <f>IF(AND(Table15[[#This Row],[CSAT Score]]&lt;=3,Table15[[#This Row],[Revenue]]&gt;=20000),"High-Risk","Stable")</f>
        <v>Stable</v>
      </c>
      <c r="R404" s="8" t="str" cm="1">
        <f t="array" ref="R404">_xlfn.IFS(Table15[[#This Row],[Revenue]]&gt;=35000,"Platinum",Table15[[#This Row],[Revenue]]&gt;=15000,"Gold",TRUE,"Standard")</f>
        <v>Standard</v>
      </c>
      <c r="S404" s="8" t="str">
        <f>IF(OR(Table15[[#This Row],[Product]]="Wealth Management",Table15[[#This Row],[Revenue]]&gt;=40000),"Yes","No")</f>
        <v>No</v>
      </c>
    </row>
    <row r="405" spans="1:19" x14ac:dyDescent="0.3">
      <c r="A405" s="5" t="s">
        <v>463</v>
      </c>
      <c r="B405" s="6">
        <v>46221</v>
      </c>
      <c r="C405" s="7" t="s">
        <v>91</v>
      </c>
      <c r="D405" s="7" t="s">
        <v>34</v>
      </c>
      <c r="E405" s="7" t="s">
        <v>39</v>
      </c>
      <c r="F405" s="7" t="s">
        <v>69</v>
      </c>
      <c r="G405" s="7" t="s">
        <v>36</v>
      </c>
      <c r="H405" s="7" t="s">
        <v>57</v>
      </c>
      <c r="I405" s="7">
        <v>34</v>
      </c>
      <c r="J405" s="7">
        <v>27</v>
      </c>
      <c r="K405" s="20">
        <v>13493.01</v>
      </c>
      <c r="L405" s="20">
        <v>249.64</v>
      </c>
      <c r="M405" s="7">
        <v>3.68</v>
      </c>
      <c r="N405" s="20">
        <f>Table15[[#This Row],[Processing Fee]]-Table15[[#This Row],[Discount Applied]]</f>
        <v>245.95999999999998</v>
      </c>
      <c r="O405" s="7" t="str">
        <f>IF(Table15[[#This Row],[Revenue]]&gt;35000,"Achieved","Not Achieved")</f>
        <v>Not Achieved</v>
      </c>
      <c r="P405" s="8">
        <v>2</v>
      </c>
      <c r="Q405" s="7" t="str">
        <f>IF(AND(Table15[[#This Row],[CSAT Score]]&lt;=3,Table15[[#This Row],[Revenue]]&gt;=20000),"High-Risk","Stable")</f>
        <v>Stable</v>
      </c>
      <c r="R405" s="8" t="str" cm="1">
        <f t="array" ref="R405">_xlfn.IFS(Table15[[#This Row],[Revenue]]&gt;=35000,"Platinum",Table15[[#This Row],[Revenue]]&gt;=15000,"Gold",TRUE,"Standard")</f>
        <v>Standard</v>
      </c>
      <c r="S405" s="8" t="str">
        <f>IF(OR(Table15[[#This Row],[Product]]="Wealth Management",Table15[[#This Row],[Revenue]]&gt;=40000),"Yes","No")</f>
        <v>No</v>
      </c>
    </row>
    <row r="406" spans="1:19" x14ac:dyDescent="0.3">
      <c r="A406" s="5" t="s">
        <v>464</v>
      </c>
      <c r="B406" s="6">
        <v>46130</v>
      </c>
      <c r="C406" s="7" t="s">
        <v>44</v>
      </c>
      <c r="D406" s="7" t="s">
        <v>38</v>
      </c>
      <c r="E406" s="7" t="s">
        <v>59</v>
      </c>
      <c r="F406" s="7" t="s">
        <v>35</v>
      </c>
      <c r="G406" s="7" t="s">
        <v>23</v>
      </c>
      <c r="H406" s="7" t="s">
        <v>53</v>
      </c>
      <c r="I406" s="7">
        <v>54</v>
      </c>
      <c r="J406" s="7">
        <v>15</v>
      </c>
      <c r="K406" s="20">
        <v>29270.17</v>
      </c>
      <c r="L406" s="20">
        <v>463.44</v>
      </c>
      <c r="M406" s="7">
        <v>137.93</v>
      </c>
      <c r="N406" s="20">
        <f>Table15[[#This Row],[Processing Fee]]-Table15[[#This Row],[Discount Applied]]</f>
        <v>325.51</v>
      </c>
      <c r="O406" s="7" t="str">
        <f>IF(Table15[[#This Row],[Revenue]]&gt;35000,"Achieved","Not Achieved")</f>
        <v>Not Achieved</v>
      </c>
      <c r="P406" s="8">
        <v>5</v>
      </c>
      <c r="Q406" s="7" t="str">
        <f>IF(AND(Table15[[#This Row],[CSAT Score]]&lt;=3,Table15[[#This Row],[Revenue]]&gt;=20000),"High-Risk","Stable")</f>
        <v>Stable</v>
      </c>
      <c r="R406" s="8" t="str" cm="1">
        <f t="array" ref="R406">_xlfn.IFS(Table15[[#This Row],[Revenue]]&gt;=35000,"Platinum",Table15[[#This Row],[Revenue]]&gt;=15000,"Gold",TRUE,"Standard")</f>
        <v>Gold</v>
      </c>
      <c r="S406" s="8" t="str">
        <f>IF(OR(Table15[[#This Row],[Product]]="Wealth Management",Table15[[#This Row],[Revenue]]&gt;=40000),"Yes","No")</f>
        <v>No</v>
      </c>
    </row>
    <row r="407" spans="1:19" x14ac:dyDescent="0.3">
      <c r="A407" s="5" t="s">
        <v>465</v>
      </c>
      <c r="B407" s="6">
        <v>46107</v>
      </c>
      <c r="C407" s="7" t="s">
        <v>26</v>
      </c>
      <c r="D407" s="7" t="s">
        <v>83</v>
      </c>
      <c r="E407" s="7" t="s">
        <v>46</v>
      </c>
      <c r="F407" s="7" t="s">
        <v>69</v>
      </c>
      <c r="G407" s="7" t="s">
        <v>56</v>
      </c>
      <c r="H407" s="7" t="s">
        <v>31</v>
      </c>
      <c r="I407" s="7">
        <v>32</v>
      </c>
      <c r="J407" s="7">
        <v>50</v>
      </c>
      <c r="K407" s="20">
        <v>36049.31</v>
      </c>
      <c r="L407" s="20">
        <v>248.17</v>
      </c>
      <c r="M407" s="7">
        <v>90.42</v>
      </c>
      <c r="N407" s="20">
        <f>Table15[[#This Row],[Processing Fee]]-Table15[[#This Row],[Discount Applied]]</f>
        <v>157.75</v>
      </c>
      <c r="O407" s="7" t="str">
        <f>IF(Table15[[#This Row],[Revenue]]&gt;35000,"Achieved","Not Achieved")</f>
        <v>Achieved</v>
      </c>
      <c r="P407" s="8">
        <v>2</v>
      </c>
      <c r="Q407" s="7" t="str">
        <f>IF(AND(Table15[[#This Row],[CSAT Score]]&lt;=3,Table15[[#This Row],[Revenue]]&gt;=20000),"High-Risk","Stable")</f>
        <v>High-Risk</v>
      </c>
      <c r="R407" s="8" t="str" cm="1">
        <f t="array" ref="R407">_xlfn.IFS(Table15[[#This Row],[Revenue]]&gt;=35000,"Platinum",Table15[[#This Row],[Revenue]]&gt;=15000,"Gold",TRUE,"Standard")</f>
        <v>Platinum</v>
      </c>
      <c r="S407" s="8" t="str">
        <f>IF(OR(Table15[[#This Row],[Product]]="Wealth Management",Table15[[#This Row],[Revenue]]&gt;=40000),"Yes","No")</f>
        <v>No</v>
      </c>
    </row>
    <row r="408" spans="1:19" x14ac:dyDescent="0.3">
      <c r="A408" s="5" t="s">
        <v>466</v>
      </c>
      <c r="B408" s="6">
        <v>46056</v>
      </c>
      <c r="C408" s="7" t="s">
        <v>75</v>
      </c>
      <c r="D408" s="7" t="s">
        <v>27</v>
      </c>
      <c r="E408" s="7" t="s">
        <v>59</v>
      </c>
      <c r="F408" s="7" t="s">
        <v>35</v>
      </c>
      <c r="G408" s="7" t="s">
        <v>36</v>
      </c>
      <c r="H408" s="7" t="s">
        <v>53</v>
      </c>
      <c r="I408" s="7">
        <v>42</v>
      </c>
      <c r="J408" s="7">
        <v>36</v>
      </c>
      <c r="K408" s="20">
        <v>6658.88</v>
      </c>
      <c r="L408" s="20">
        <v>296.95</v>
      </c>
      <c r="M408" s="7">
        <v>125.2</v>
      </c>
      <c r="N408" s="20">
        <f>Table15[[#This Row],[Processing Fee]]-Table15[[#This Row],[Discount Applied]]</f>
        <v>171.75</v>
      </c>
      <c r="O408" s="7" t="str">
        <f>IF(Table15[[#This Row],[Revenue]]&gt;35000,"Achieved","Not Achieved")</f>
        <v>Not Achieved</v>
      </c>
      <c r="P408" s="8">
        <v>3</v>
      </c>
      <c r="Q408" s="7" t="str">
        <f>IF(AND(Table15[[#This Row],[CSAT Score]]&lt;=3,Table15[[#This Row],[Revenue]]&gt;=20000),"High-Risk","Stable")</f>
        <v>Stable</v>
      </c>
      <c r="R408" s="8" t="str" cm="1">
        <f t="array" ref="R408">_xlfn.IFS(Table15[[#This Row],[Revenue]]&gt;=35000,"Platinum",Table15[[#This Row],[Revenue]]&gt;=15000,"Gold",TRUE,"Standard")</f>
        <v>Standard</v>
      </c>
      <c r="S408" s="8" t="str">
        <f>IF(OR(Table15[[#This Row],[Product]]="Wealth Management",Table15[[#This Row],[Revenue]]&gt;=40000),"Yes","No")</f>
        <v>No</v>
      </c>
    </row>
    <row r="409" spans="1:19" x14ac:dyDescent="0.3">
      <c r="A409" s="5" t="s">
        <v>467</v>
      </c>
      <c r="B409" s="6">
        <v>46161</v>
      </c>
      <c r="C409" s="7" t="s">
        <v>44</v>
      </c>
      <c r="D409" s="7" t="s">
        <v>79</v>
      </c>
      <c r="E409" s="7" t="s">
        <v>39</v>
      </c>
      <c r="F409" s="7" t="s">
        <v>29</v>
      </c>
      <c r="G409" s="7" t="s">
        <v>23</v>
      </c>
      <c r="H409" s="7" t="s">
        <v>24</v>
      </c>
      <c r="I409" s="7">
        <v>26</v>
      </c>
      <c r="J409" s="7">
        <v>119</v>
      </c>
      <c r="K409" s="20">
        <v>30180.06</v>
      </c>
      <c r="L409" s="20">
        <v>408.33</v>
      </c>
      <c r="M409" s="7">
        <v>30.11</v>
      </c>
      <c r="N409" s="20">
        <f>Table15[[#This Row],[Processing Fee]]-Table15[[#This Row],[Discount Applied]]</f>
        <v>378.21999999999997</v>
      </c>
      <c r="O409" s="7" t="str">
        <f>IF(Table15[[#This Row],[Revenue]]&gt;35000,"Achieved","Not Achieved")</f>
        <v>Not Achieved</v>
      </c>
      <c r="P409" s="8">
        <v>3</v>
      </c>
      <c r="Q409" s="7" t="str">
        <f>IF(AND(Table15[[#This Row],[CSAT Score]]&lt;=3,Table15[[#This Row],[Revenue]]&gt;=20000),"High-Risk","Stable")</f>
        <v>High-Risk</v>
      </c>
      <c r="R409" s="8" t="str" cm="1">
        <f t="array" ref="R409">_xlfn.IFS(Table15[[#This Row],[Revenue]]&gt;=35000,"Platinum",Table15[[#This Row],[Revenue]]&gt;=15000,"Gold",TRUE,"Standard")</f>
        <v>Gold</v>
      </c>
      <c r="S409" s="8" t="str">
        <f>IF(OR(Table15[[#This Row],[Product]]="Wealth Management",Table15[[#This Row],[Revenue]]&gt;=40000),"Yes","No")</f>
        <v>No</v>
      </c>
    </row>
    <row r="410" spans="1:19" x14ac:dyDescent="0.3">
      <c r="A410" s="5" t="s">
        <v>468</v>
      </c>
      <c r="B410" s="6">
        <v>46196</v>
      </c>
      <c r="C410" s="7" t="s">
        <v>26</v>
      </c>
      <c r="D410" s="7" t="s">
        <v>20</v>
      </c>
      <c r="E410" s="7" t="s">
        <v>28</v>
      </c>
      <c r="F410" s="7" t="s">
        <v>29</v>
      </c>
      <c r="G410" s="7" t="s">
        <v>30</v>
      </c>
      <c r="H410" s="7" t="s">
        <v>53</v>
      </c>
      <c r="I410" s="7">
        <v>56</v>
      </c>
      <c r="J410" s="7">
        <v>8</v>
      </c>
      <c r="K410" s="20">
        <v>27742.39</v>
      </c>
      <c r="L410" s="20">
        <v>312.38</v>
      </c>
      <c r="M410" s="7">
        <v>93.81</v>
      </c>
      <c r="N410" s="20">
        <f>Table15[[#This Row],[Processing Fee]]-Table15[[#This Row],[Discount Applied]]</f>
        <v>218.57</v>
      </c>
      <c r="O410" s="7" t="str">
        <f>IF(Table15[[#This Row],[Revenue]]&gt;35000,"Achieved","Not Achieved")</f>
        <v>Not Achieved</v>
      </c>
      <c r="P410" s="8">
        <v>1</v>
      </c>
      <c r="Q410" s="7" t="str">
        <f>IF(AND(Table15[[#This Row],[CSAT Score]]&lt;=3,Table15[[#This Row],[Revenue]]&gt;=20000),"High-Risk","Stable")</f>
        <v>High-Risk</v>
      </c>
      <c r="R410" s="8" t="str" cm="1">
        <f t="array" ref="R410">_xlfn.IFS(Table15[[#This Row],[Revenue]]&gt;=35000,"Platinum",Table15[[#This Row],[Revenue]]&gt;=15000,"Gold",TRUE,"Standard")</f>
        <v>Gold</v>
      </c>
      <c r="S410" s="8" t="str">
        <f>IF(OR(Table15[[#This Row],[Product]]="Wealth Management",Table15[[#This Row],[Revenue]]&gt;=40000),"Yes","No")</f>
        <v>No</v>
      </c>
    </row>
    <row r="411" spans="1:19" x14ac:dyDescent="0.3">
      <c r="A411" s="5" t="s">
        <v>469</v>
      </c>
      <c r="B411" s="6">
        <v>46092</v>
      </c>
      <c r="C411" s="7" t="s">
        <v>75</v>
      </c>
      <c r="D411" s="7" t="s">
        <v>87</v>
      </c>
      <c r="E411" s="7" t="s">
        <v>39</v>
      </c>
      <c r="F411" s="7" t="s">
        <v>22</v>
      </c>
      <c r="G411" s="7" t="s">
        <v>36</v>
      </c>
      <c r="H411" s="7" t="s">
        <v>31</v>
      </c>
      <c r="I411" s="7">
        <v>65</v>
      </c>
      <c r="J411" s="7">
        <v>79</v>
      </c>
      <c r="K411" s="20">
        <v>25940.79</v>
      </c>
      <c r="L411" s="20">
        <v>482.1</v>
      </c>
      <c r="M411" s="7">
        <v>151.32</v>
      </c>
      <c r="N411" s="20">
        <f>Table15[[#This Row],[Processing Fee]]-Table15[[#This Row],[Discount Applied]]</f>
        <v>330.78000000000003</v>
      </c>
      <c r="O411" s="7" t="str">
        <f>IF(Table15[[#This Row],[Revenue]]&gt;35000,"Achieved","Not Achieved")</f>
        <v>Not Achieved</v>
      </c>
      <c r="P411" s="8">
        <v>3</v>
      </c>
      <c r="Q411" s="7" t="str">
        <f>IF(AND(Table15[[#This Row],[CSAT Score]]&lt;=3,Table15[[#This Row],[Revenue]]&gt;=20000),"High-Risk","Stable")</f>
        <v>High-Risk</v>
      </c>
      <c r="R411" s="8" t="str" cm="1">
        <f t="array" ref="R411">_xlfn.IFS(Table15[[#This Row],[Revenue]]&gt;=35000,"Platinum",Table15[[#This Row],[Revenue]]&gt;=15000,"Gold",TRUE,"Standard")</f>
        <v>Gold</v>
      </c>
      <c r="S411" s="8" t="str">
        <f>IF(OR(Table15[[#This Row],[Product]]="Wealth Management",Table15[[#This Row],[Revenue]]&gt;=40000),"Yes","No")</f>
        <v>Yes</v>
      </c>
    </row>
    <row r="412" spans="1:19" x14ac:dyDescent="0.3">
      <c r="A412" s="5" t="s">
        <v>470</v>
      </c>
      <c r="B412" s="6">
        <v>46047</v>
      </c>
      <c r="C412" s="7" t="s">
        <v>42</v>
      </c>
      <c r="D412" s="7" t="s">
        <v>63</v>
      </c>
      <c r="E412" s="7" t="s">
        <v>46</v>
      </c>
      <c r="F412" s="7" t="s">
        <v>40</v>
      </c>
      <c r="G412" s="7" t="s">
        <v>36</v>
      </c>
      <c r="H412" s="7" t="s">
        <v>57</v>
      </c>
      <c r="I412" s="7">
        <v>56</v>
      </c>
      <c r="J412" s="7">
        <v>3</v>
      </c>
      <c r="K412" s="20">
        <v>34661.089999999997</v>
      </c>
      <c r="L412" s="20">
        <v>347.15</v>
      </c>
      <c r="M412" s="7">
        <v>117.02</v>
      </c>
      <c r="N412" s="20">
        <f>Table15[[#This Row],[Processing Fee]]-Table15[[#This Row],[Discount Applied]]</f>
        <v>230.13</v>
      </c>
      <c r="O412" s="7" t="str">
        <f>IF(Table15[[#This Row],[Revenue]]&gt;35000,"Achieved","Not Achieved")</f>
        <v>Not Achieved</v>
      </c>
      <c r="P412" s="8">
        <v>2</v>
      </c>
      <c r="Q412" s="7" t="str">
        <f>IF(AND(Table15[[#This Row],[CSAT Score]]&lt;=3,Table15[[#This Row],[Revenue]]&gt;=20000),"High-Risk","Stable")</f>
        <v>High-Risk</v>
      </c>
      <c r="R412" s="8" t="str" cm="1">
        <f t="array" ref="R412">_xlfn.IFS(Table15[[#This Row],[Revenue]]&gt;=35000,"Platinum",Table15[[#This Row],[Revenue]]&gt;=15000,"Gold",TRUE,"Standard")</f>
        <v>Gold</v>
      </c>
      <c r="S412" s="8" t="str">
        <f>IF(OR(Table15[[#This Row],[Product]]="Wealth Management",Table15[[#This Row],[Revenue]]&gt;=40000),"Yes","No")</f>
        <v>No</v>
      </c>
    </row>
    <row r="413" spans="1:19" x14ac:dyDescent="0.3">
      <c r="A413" s="5" t="s">
        <v>471</v>
      </c>
      <c r="B413" s="6">
        <v>46165</v>
      </c>
      <c r="C413" s="7" t="s">
        <v>44</v>
      </c>
      <c r="D413" s="7" t="s">
        <v>61</v>
      </c>
      <c r="E413" s="7" t="s">
        <v>39</v>
      </c>
      <c r="F413" s="7" t="s">
        <v>22</v>
      </c>
      <c r="G413" s="7" t="s">
        <v>56</v>
      </c>
      <c r="H413" s="7" t="s">
        <v>31</v>
      </c>
      <c r="I413" s="7">
        <v>42</v>
      </c>
      <c r="J413" s="7">
        <v>62</v>
      </c>
      <c r="K413" s="20">
        <v>41953.75</v>
      </c>
      <c r="L413" s="20">
        <v>285.22000000000003</v>
      </c>
      <c r="M413" s="7">
        <v>153.94</v>
      </c>
      <c r="N413" s="20">
        <f>Table15[[#This Row],[Processing Fee]]-Table15[[#This Row],[Discount Applied]]</f>
        <v>131.28000000000003</v>
      </c>
      <c r="O413" s="7" t="str">
        <f>IF(Table15[[#This Row],[Revenue]]&gt;35000,"Achieved","Not Achieved")</f>
        <v>Achieved</v>
      </c>
      <c r="P413" s="8">
        <v>1</v>
      </c>
      <c r="Q413" s="7" t="str">
        <f>IF(AND(Table15[[#This Row],[CSAT Score]]&lt;=3,Table15[[#This Row],[Revenue]]&gt;=20000),"High-Risk","Stable")</f>
        <v>High-Risk</v>
      </c>
      <c r="R413" s="8" t="str" cm="1">
        <f t="array" ref="R413">_xlfn.IFS(Table15[[#This Row],[Revenue]]&gt;=35000,"Platinum",Table15[[#This Row],[Revenue]]&gt;=15000,"Gold",TRUE,"Standard")</f>
        <v>Platinum</v>
      </c>
      <c r="S413" s="8" t="str">
        <f>IF(OR(Table15[[#This Row],[Product]]="Wealth Management",Table15[[#This Row],[Revenue]]&gt;=40000),"Yes","No")</f>
        <v>Yes</v>
      </c>
    </row>
    <row r="414" spans="1:19" x14ac:dyDescent="0.3">
      <c r="A414" s="5" t="s">
        <v>472</v>
      </c>
      <c r="B414" s="6">
        <v>46013</v>
      </c>
      <c r="C414" s="7" t="s">
        <v>75</v>
      </c>
      <c r="D414" s="7" t="s">
        <v>27</v>
      </c>
      <c r="E414" s="7" t="s">
        <v>46</v>
      </c>
      <c r="F414" s="7" t="s">
        <v>35</v>
      </c>
      <c r="G414" s="7" t="s">
        <v>65</v>
      </c>
      <c r="H414" s="7" t="s">
        <v>53</v>
      </c>
      <c r="I414" s="7">
        <v>34</v>
      </c>
      <c r="J414" s="7">
        <v>47</v>
      </c>
      <c r="K414" s="20">
        <v>16487.990000000002</v>
      </c>
      <c r="L414" s="20">
        <v>60.62</v>
      </c>
      <c r="M414" s="7">
        <v>99.14</v>
      </c>
      <c r="N414" s="20">
        <f>Table15[[#This Row],[Processing Fee]]-Table15[[#This Row],[Discount Applied]]</f>
        <v>-38.520000000000003</v>
      </c>
      <c r="O414" s="7" t="str">
        <f>IF(Table15[[#This Row],[Revenue]]&gt;35000,"Achieved","Not Achieved")</f>
        <v>Not Achieved</v>
      </c>
      <c r="P414" s="8">
        <v>3</v>
      </c>
      <c r="Q414" s="7" t="str">
        <f>IF(AND(Table15[[#This Row],[CSAT Score]]&lt;=3,Table15[[#This Row],[Revenue]]&gt;=20000),"High-Risk","Stable")</f>
        <v>Stable</v>
      </c>
      <c r="R414" s="8" t="str" cm="1">
        <f t="array" ref="R414">_xlfn.IFS(Table15[[#This Row],[Revenue]]&gt;=35000,"Platinum",Table15[[#This Row],[Revenue]]&gt;=15000,"Gold",TRUE,"Standard")</f>
        <v>Gold</v>
      </c>
      <c r="S414" s="8" t="str">
        <f>IF(OR(Table15[[#This Row],[Product]]="Wealth Management",Table15[[#This Row],[Revenue]]&gt;=40000),"Yes","No")</f>
        <v>No</v>
      </c>
    </row>
    <row r="415" spans="1:19" x14ac:dyDescent="0.3">
      <c r="A415" s="5" t="s">
        <v>473</v>
      </c>
      <c r="B415" s="6">
        <v>46116</v>
      </c>
      <c r="C415" s="7" t="s">
        <v>91</v>
      </c>
      <c r="D415" s="7" t="s">
        <v>34</v>
      </c>
      <c r="E415" s="7" t="s">
        <v>46</v>
      </c>
      <c r="F415" s="7" t="s">
        <v>22</v>
      </c>
      <c r="G415" s="7" t="s">
        <v>65</v>
      </c>
      <c r="H415" s="7" t="s">
        <v>53</v>
      </c>
      <c r="I415" s="7">
        <v>36</v>
      </c>
      <c r="J415" s="7">
        <v>77</v>
      </c>
      <c r="K415" s="20">
        <v>44506.1</v>
      </c>
      <c r="L415" s="20">
        <v>236.18</v>
      </c>
      <c r="M415" s="7">
        <v>66.55</v>
      </c>
      <c r="N415" s="20">
        <f>Table15[[#This Row],[Processing Fee]]-Table15[[#This Row],[Discount Applied]]</f>
        <v>169.63</v>
      </c>
      <c r="O415" s="7" t="str">
        <f>IF(Table15[[#This Row],[Revenue]]&gt;35000,"Achieved","Not Achieved")</f>
        <v>Achieved</v>
      </c>
      <c r="P415" s="8">
        <v>3</v>
      </c>
      <c r="Q415" s="7" t="str">
        <f>IF(AND(Table15[[#This Row],[CSAT Score]]&lt;=3,Table15[[#This Row],[Revenue]]&gt;=20000),"High-Risk","Stable")</f>
        <v>High-Risk</v>
      </c>
      <c r="R415" s="8" t="str" cm="1">
        <f t="array" ref="R415">_xlfn.IFS(Table15[[#This Row],[Revenue]]&gt;=35000,"Platinum",Table15[[#This Row],[Revenue]]&gt;=15000,"Gold",TRUE,"Standard")</f>
        <v>Platinum</v>
      </c>
      <c r="S415" s="8" t="str">
        <f>IF(OR(Table15[[#This Row],[Product]]="Wealth Management",Table15[[#This Row],[Revenue]]&gt;=40000),"Yes","No")</f>
        <v>Yes</v>
      </c>
    </row>
    <row r="416" spans="1:19" x14ac:dyDescent="0.3">
      <c r="A416" s="5" t="s">
        <v>474</v>
      </c>
      <c r="B416" s="6">
        <v>46152</v>
      </c>
      <c r="C416" s="7" t="s">
        <v>42</v>
      </c>
      <c r="D416" s="7" t="s">
        <v>45</v>
      </c>
      <c r="E416" s="7" t="s">
        <v>46</v>
      </c>
      <c r="F416" s="7" t="s">
        <v>69</v>
      </c>
      <c r="G416" s="7" t="s">
        <v>56</v>
      </c>
      <c r="H416" s="7" t="s">
        <v>31</v>
      </c>
      <c r="I416" s="7">
        <v>56</v>
      </c>
      <c r="J416" s="7">
        <v>105</v>
      </c>
      <c r="K416" s="20">
        <v>8451.36</v>
      </c>
      <c r="L416" s="20">
        <v>184.66</v>
      </c>
      <c r="M416" s="7">
        <v>21.36</v>
      </c>
      <c r="N416" s="20">
        <f>Table15[[#This Row],[Processing Fee]]-Table15[[#This Row],[Discount Applied]]</f>
        <v>163.30000000000001</v>
      </c>
      <c r="O416" s="7" t="str">
        <f>IF(Table15[[#This Row],[Revenue]]&gt;35000,"Achieved","Not Achieved")</f>
        <v>Not Achieved</v>
      </c>
      <c r="P416" s="8">
        <v>5</v>
      </c>
      <c r="Q416" s="7" t="str">
        <f>IF(AND(Table15[[#This Row],[CSAT Score]]&lt;=3,Table15[[#This Row],[Revenue]]&gt;=20000),"High-Risk","Stable")</f>
        <v>Stable</v>
      </c>
      <c r="R416" s="8" t="str" cm="1">
        <f t="array" ref="R416">_xlfn.IFS(Table15[[#This Row],[Revenue]]&gt;=35000,"Platinum",Table15[[#This Row],[Revenue]]&gt;=15000,"Gold",TRUE,"Standard")</f>
        <v>Standard</v>
      </c>
      <c r="S416" s="8" t="str">
        <f>IF(OR(Table15[[#This Row],[Product]]="Wealth Management",Table15[[#This Row],[Revenue]]&gt;=40000),"Yes","No")</f>
        <v>No</v>
      </c>
    </row>
    <row r="417" spans="1:19" x14ac:dyDescent="0.3">
      <c r="A417" s="5" t="s">
        <v>475</v>
      </c>
      <c r="B417" s="6">
        <v>45905</v>
      </c>
      <c r="C417" s="7" t="s">
        <v>91</v>
      </c>
      <c r="D417" s="7" t="s">
        <v>61</v>
      </c>
      <c r="E417" s="7" t="s">
        <v>46</v>
      </c>
      <c r="F417" s="7" t="s">
        <v>35</v>
      </c>
      <c r="G417" s="7" t="s">
        <v>56</v>
      </c>
      <c r="H417" s="7" t="s">
        <v>53</v>
      </c>
      <c r="I417" s="7">
        <v>45</v>
      </c>
      <c r="J417" s="7">
        <v>98</v>
      </c>
      <c r="K417" s="20">
        <v>9064.68</v>
      </c>
      <c r="L417" s="20">
        <v>386.65</v>
      </c>
      <c r="M417" s="7">
        <v>17.899999999999999</v>
      </c>
      <c r="N417" s="20">
        <f>Table15[[#This Row],[Processing Fee]]-Table15[[#This Row],[Discount Applied]]</f>
        <v>368.75</v>
      </c>
      <c r="O417" s="7" t="str">
        <f>IF(Table15[[#This Row],[Revenue]]&gt;35000,"Achieved","Not Achieved")</f>
        <v>Not Achieved</v>
      </c>
      <c r="P417" s="8">
        <v>1</v>
      </c>
      <c r="Q417" s="7" t="str">
        <f>IF(AND(Table15[[#This Row],[CSAT Score]]&lt;=3,Table15[[#This Row],[Revenue]]&gt;=20000),"High-Risk","Stable")</f>
        <v>Stable</v>
      </c>
      <c r="R417" s="8" t="str" cm="1">
        <f t="array" ref="R417">_xlfn.IFS(Table15[[#This Row],[Revenue]]&gt;=35000,"Platinum",Table15[[#This Row],[Revenue]]&gt;=15000,"Gold",TRUE,"Standard")</f>
        <v>Standard</v>
      </c>
      <c r="S417" s="8" t="str">
        <f>IF(OR(Table15[[#This Row],[Product]]="Wealth Management",Table15[[#This Row],[Revenue]]&gt;=40000),"Yes","No")</f>
        <v>No</v>
      </c>
    </row>
    <row r="418" spans="1:19" x14ac:dyDescent="0.3">
      <c r="A418" s="5" t="s">
        <v>476</v>
      </c>
      <c r="B418" s="6">
        <v>45907</v>
      </c>
      <c r="C418" s="7" t="s">
        <v>33</v>
      </c>
      <c r="D418" s="7" t="s">
        <v>52</v>
      </c>
      <c r="E418" s="7" t="s">
        <v>46</v>
      </c>
      <c r="F418" s="7" t="s">
        <v>29</v>
      </c>
      <c r="G418" s="7" t="s">
        <v>56</v>
      </c>
      <c r="H418" s="7" t="s">
        <v>24</v>
      </c>
      <c r="I418" s="7">
        <v>52</v>
      </c>
      <c r="J418" s="7">
        <v>88</v>
      </c>
      <c r="K418" s="20">
        <v>13705.22</v>
      </c>
      <c r="L418" s="20">
        <v>143.72</v>
      </c>
      <c r="M418" s="7">
        <v>86.76</v>
      </c>
      <c r="N418" s="20">
        <f>Table15[[#This Row],[Processing Fee]]-Table15[[#This Row],[Discount Applied]]</f>
        <v>56.959999999999994</v>
      </c>
      <c r="O418" s="7" t="str">
        <f>IF(Table15[[#This Row],[Revenue]]&gt;35000,"Achieved","Not Achieved")</f>
        <v>Not Achieved</v>
      </c>
      <c r="P418" s="8">
        <v>5</v>
      </c>
      <c r="Q418" s="7" t="str">
        <f>IF(AND(Table15[[#This Row],[CSAT Score]]&lt;=3,Table15[[#This Row],[Revenue]]&gt;=20000),"High-Risk","Stable")</f>
        <v>Stable</v>
      </c>
      <c r="R418" s="8" t="str" cm="1">
        <f t="array" ref="R418">_xlfn.IFS(Table15[[#This Row],[Revenue]]&gt;=35000,"Platinum",Table15[[#This Row],[Revenue]]&gt;=15000,"Gold",TRUE,"Standard")</f>
        <v>Standard</v>
      </c>
      <c r="S418" s="8" t="str">
        <f>IF(OR(Table15[[#This Row],[Product]]="Wealth Management",Table15[[#This Row],[Revenue]]&gt;=40000),"Yes","No")</f>
        <v>No</v>
      </c>
    </row>
    <row r="419" spans="1:19" x14ac:dyDescent="0.3">
      <c r="A419" s="5" t="s">
        <v>477</v>
      </c>
      <c r="B419" s="6">
        <v>45958</v>
      </c>
      <c r="C419" s="7" t="s">
        <v>55</v>
      </c>
      <c r="D419" s="7" t="s">
        <v>52</v>
      </c>
      <c r="E419" s="7" t="s">
        <v>28</v>
      </c>
      <c r="F419" s="7" t="s">
        <v>40</v>
      </c>
      <c r="G419" s="7" t="s">
        <v>65</v>
      </c>
      <c r="H419" s="7" t="s">
        <v>31</v>
      </c>
      <c r="I419" s="7">
        <v>53</v>
      </c>
      <c r="J419" s="7">
        <v>104</v>
      </c>
      <c r="K419" s="20">
        <v>6416.78</v>
      </c>
      <c r="L419" s="20">
        <v>142.35</v>
      </c>
      <c r="M419" s="7">
        <v>106.74</v>
      </c>
      <c r="N419" s="20">
        <f>Table15[[#This Row],[Processing Fee]]-Table15[[#This Row],[Discount Applied]]</f>
        <v>35.61</v>
      </c>
      <c r="O419" s="7" t="str">
        <f>IF(Table15[[#This Row],[Revenue]]&gt;35000,"Achieved","Not Achieved")</f>
        <v>Not Achieved</v>
      </c>
      <c r="P419" s="8">
        <v>5</v>
      </c>
      <c r="Q419" s="7" t="str">
        <f>IF(AND(Table15[[#This Row],[CSAT Score]]&lt;=3,Table15[[#This Row],[Revenue]]&gt;=20000),"High-Risk","Stable")</f>
        <v>Stable</v>
      </c>
      <c r="R419" s="8" t="str" cm="1">
        <f t="array" ref="R419">_xlfn.IFS(Table15[[#This Row],[Revenue]]&gt;=35000,"Platinum",Table15[[#This Row],[Revenue]]&gt;=15000,"Gold",TRUE,"Standard")</f>
        <v>Standard</v>
      </c>
      <c r="S419" s="8" t="str">
        <f>IF(OR(Table15[[#This Row],[Product]]="Wealth Management",Table15[[#This Row],[Revenue]]&gt;=40000),"Yes","No")</f>
        <v>No</v>
      </c>
    </row>
    <row r="420" spans="1:19" x14ac:dyDescent="0.3">
      <c r="A420" s="5" t="s">
        <v>478</v>
      </c>
      <c r="B420" s="6">
        <v>45894</v>
      </c>
      <c r="C420" s="7" t="s">
        <v>44</v>
      </c>
      <c r="D420" s="7" t="s">
        <v>68</v>
      </c>
      <c r="E420" s="7" t="s">
        <v>59</v>
      </c>
      <c r="F420" s="7" t="s">
        <v>35</v>
      </c>
      <c r="G420" s="7" t="s">
        <v>56</v>
      </c>
      <c r="H420" s="7" t="s">
        <v>57</v>
      </c>
      <c r="I420" s="7">
        <v>65</v>
      </c>
      <c r="J420" s="7">
        <v>96</v>
      </c>
      <c r="K420" s="20">
        <v>11900.8</v>
      </c>
      <c r="L420" s="20">
        <v>135.28</v>
      </c>
      <c r="M420" s="7">
        <v>103.23</v>
      </c>
      <c r="N420" s="20">
        <f>Table15[[#This Row],[Processing Fee]]-Table15[[#This Row],[Discount Applied]]</f>
        <v>32.049999999999997</v>
      </c>
      <c r="O420" s="7" t="str">
        <f>IF(Table15[[#This Row],[Revenue]]&gt;35000,"Achieved","Not Achieved")</f>
        <v>Not Achieved</v>
      </c>
      <c r="P420" s="8">
        <v>5</v>
      </c>
      <c r="Q420" s="7" t="str">
        <f>IF(AND(Table15[[#This Row],[CSAT Score]]&lt;=3,Table15[[#This Row],[Revenue]]&gt;=20000),"High-Risk","Stable")</f>
        <v>Stable</v>
      </c>
      <c r="R420" s="8" t="str" cm="1">
        <f t="array" ref="R420">_xlfn.IFS(Table15[[#This Row],[Revenue]]&gt;=35000,"Platinum",Table15[[#This Row],[Revenue]]&gt;=15000,"Gold",TRUE,"Standard")</f>
        <v>Standard</v>
      </c>
      <c r="S420" s="8" t="str">
        <f>IF(OR(Table15[[#This Row],[Product]]="Wealth Management",Table15[[#This Row],[Revenue]]&gt;=40000),"Yes","No")</f>
        <v>No</v>
      </c>
    </row>
    <row r="421" spans="1:19" x14ac:dyDescent="0.3">
      <c r="A421" s="5" t="s">
        <v>479</v>
      </c>
      <c r="B421" s="6">
        <v>45957</v>
      </c>
      <c r="C421" s="7" t="s">
        <v>75</v>
      </c>
      <c r="D421" s="7" t="s">
        <v>61</v>
      </c>
      <c r="E421" s="7" t="s">
        <v>21</v>
      </c>
      <c r="F421" s="7" t="s">
        <v>35</v>
      </c>
      <c r="G421" s="7" t="s">
        <v>23</v>
      </c>
      <c r="H421" s="7" t="s">
        <v>31</v>
      </c>
      <c r="I421" s="7">
        <v>56</v>
      </c>
      <c r="J421" s="7">
        <v>61</v>
      </c>
      <c r="K421" s="20">
        <v>5767.38</v>
      </c>
      <c r="L421" s="20">
        <v>106.53</v>
      </c>
      <c r="M421" s="7">
        <v>91.46</v>
      </c>
      <c r="N421" s="20">
        <f>Table15[[#This Row],[Processing Fee]]-Table15[[#This Row],[Discount Applied]]</f>
        <v>15.070000000000007</v>
      </c>
      <c r="O421" s="7" t="str">
        <f>IF(Table15[[#This Row],[Revenue]]&gt;35000,"Achieved","Not Achieved")</f>
        <v>Not Achieved</v>
      </c>
      <c r="P421" s="8">
        <v>4</v>
      </c>
      <c r="Q421" s="7" t="str">
        <f>IF(AND(Table15[[#This Row],[CSAT Score]]&lt;=3,Table15[[#This Row],[Revenue]]&gt;=20000),"High-Risk","Stable")</f>
        <v>Stable</v>
      </c>
      <c r="R421" s="8" t="str" cm="1">
        <f t="array" ref="R421">_xlfn.IFS(Table15[[#This Row],[Revenue]]&gt;=35000,"Platinum",Table15[[#This Row],[Revenue]]&gt;=15000,"Gold",TRUE,"Standard")</f>
        <v>Standard</v>
      </c>
      <c r="S421" s="8" t="str">
        <f>IF(OR(Table15[[#This Row],[Product]]="Wealth Management",Table15[[#This Row],[Revenue]]&gt;=40000),"Yes","No")</f>
        <v>No</v>
      </c>
    </row>
    <row r="422" spans="1:19" x14ac:dyDescent="0.3">
      <c r="A422" s="5" t="s">
        <v>480</v>
      </c>
      <c r="B422" s="6">
        <v>45999</v>
      </c>
      <c r="C422" s="7" t="s">
        <v>55</v>
      </c>
      <c r="D422" s="7" t="s">
        <v>45</v>
      </c>
      <c r="E422" s="7" t="s">
        <v>59</v>
      </c>
      <c r="F422" s="7" t="s">
        <v>69</v>
      </c>
      <c r="G422" s="7" t="s">
        <v>36</v>
      </c>
      <c r="H422" s="7" t="s">
        <v>24</v>
      </c>
      <c r="I422" s="7">
        <v>40</v>
      </c>
      <c r="J422" s="7">
        <v>32</v>
      </c>
      <c r="K422" s="20">
        <v>41176.74</v>
      </c>
      <c r="L422" s="20">
        <v>189.95</v>
      </c>
      <c r="M422" s="7">
        <v>137.58000000000001</v>
      </c>
      <c r="N422" s="20">
        <f>Table15[[#This Row],[Processing Fee]]-Table15[[#This Row],[Discount Applied]]</f>
        <v>52.369999999999976</v>
      </c>
      <c r="O422" s="7" t="str">
        <f>IF(Table15[[#This Row],[Revenue]]&gt;35000,"Achieved","Not Achieved")</f>
        <v>Achieved</v>
      </c>
      <c r="P422" s="8">
        <v>5</v>
      </c>
      <c r="Q422" s="7" t="str">
        <f>IF(AND(Table15[[#This Row],[CSAT Score]]&lt;=3,Table15[[#This Row],[Revenue]]&gt;=20000),"High-Risk","Stable")</f>
        <v>Stable</v>
      </c>
      <c r="R422" s="8" t="str" cm="1">
        <f t="array" ref="R422">_xlfn.IFS(Table15[[#This Row],[Revenue]]&gt;=35000,"Platinum",Table15[[#This Row],[Revenue]]&gt;=15000,"Gold",TRUE,"Standard")</f>
        <v>Platinum</v>
      </c>
      <c r="S422" s="8" t="str">
        <f>IF(OR(Table15[[#This Row],[Product]]="Wealth Management",Table15[[#This Row],[Revenue]]&gt;=40000),"Yes","No")</f>
        <v>Yes</v>
      </c>
    </row>
    <row r="423" spans="1:19" x14ac:dyDescent="0.3">
      <c r="A423" s="5" t="s">
        <v>481</v>
      </c>
      <c r="B423" s="6">
        <v>45955</v>
      </c>
      <c r="C423" s="7" t="s">
        <v>55</v>
      </c>
      <c r="D423" s="7" t="s">
        <v>79</v>
      </c>
      <c r="E423" s="7" t="s">
        <v>46</v>
      </c>
      <c r="F423" s="7" t="s">
        <v>40</v>
      </c>
      <c r="G423" s="7" t="s">
        <v>36</v>
      </c>
      <c r="H423" s="7" t="s">
        <v>24</v>
      </c>
      <c r="I423" s="7">
        <v>38</v>
      </c>
      <c r="J423" s="7">
        <v>94</v>
      </c>
      <c r="K423" s="20">
        <v>7378.97</v>
      </c>
      <c r="L423" s="20">
        <v>448.66</v>
      </c>
      <c r="M423" s="7">
        <v>172.79</v>
      </c>
      <c r="N423" s="20">
        <f>Table15[[#This Row],[Processing Fee]]-Table15[[#This Row],[Discount Applied]]</f>
        <v>275.87</v>
      </c>
      <c r="O423" s="7" t="str">
        <f>IF(Table15[[#This Row],[Revenue]]&gt;35000,"Achieved","Not Achieved")</f>
        <v>Not Achieved</v>
      </c>
      <c r="P423" s="8">
        <v>2</v>
      </c>
      <c r="Q423" s="7" t="str">
        <f>IF(AND(Table15[[#This Row],[CSAT Score]]&lt;=3,Table15[[#This Row],[Revenue]]&gt;=20000),"High-Risk","Stable")</f>
        <v>Stable</v>
      </c>
      <c r="R423" s="8" t="str" cm="1">
        <f t="array" ref="R423">_xlfn.IFS(Table15[[#This Row],[Revenue]]&gt;=35000,"Platinum",Table15[[#This Row],[Revenue]]&gt;=15000,"Gold",TRUE,"Standard")</f>
        <v>Standard</v>
      </c>
      <c r="S423" s="8" t="str">
        <f>IF(OR(Table15[[#This Row],[Product]]="Wealth Management",Table15[[#This Row],[Revenue]]&gt;=40000),"Yes","No")</f>
        <v>No</v>
      </c>
    </row>
    <row r="424" spans="1:19" x14ac:dyDescent="0.3">
      <c r="A424" s="5" t="s">
        <v>482</v>
      </c>
      <c r="B424" s="6">
        <v>46218</v>
      </c>
      <c r="C424" s="7" t="s">
        <v>75</v>
      </c>
      <c r="D424" s="7" t="s">
        <v>83</v>
      </c>
      <c r="E424" s="7" t="s">
        <v>28</v>
      </c>
      <c r="F424" s="7" t="s">
        <v>29</v>
      </c>
      <c r="G424" s="7" t="s">
        <v>30</v>
      </c>
      <c r="H424" s="7" t="s">
        <v>24</v>
      </c>
      <c r="I424" s="7">
        <v>58</v>
      </c>
      <c r="J424" s="7">
        <v>116</v>
      </c>
      <c r="K424" s="20">
        <v>37491.230000000003</v>
      </c>
      <c r="L424" s="20">
        <v>398.72</v>
      </c>
      <c r="M424" s="7">
        <v>59.77</v>
      </c>
      <c r="N424" s="20">
        <f>Table15[[#This Row],[Processing Fee]]-Table15[[#This Row],[Discount Applied]]</f>
        <v>338.95000000000005</v>
      </c>
      <c r="O424" s="7" t="str">
        <f>IF(Table15[[#This Row],[Revenue]]&gt;35000,"Achieved","Not Achieved")</f>
        <v>Achieved</v>
      </c>
      <c r="P424" s="8">
        <v>3</v>
      </c>
      <c r="Q424" s="7" t="str">
        <f>IF(AND(Table15[[#This Row],[CSAT Score]]&lt;=3,Table15[[#This Row],[Revenue]]&gt;=20000),"High-Risk","Stable")</f>
        <v>High-Risk</v>
      </c>
      <c r="R424" s="8" t="str" cm="1">
        <f t="array" ref="R424">_xlfn.IFS(Table15[[#This Row],[Revenue]]&gt;=35000,"Platinum",Table15[[#This Row],[Revenue]]&gt;=15000,"Gold",TRUE,"Standard")</f>
        <v>Platinum</v>
      </c>
      <c r="S424" s="8" t="str">
        <f>IF(OR(Table15[[#This Row],[Product]]="Wealth Management",Table15[[#This Row],[Revenue]]&gt;=40000),"Yes","No")</f>
        <v>No</v>
      </c>
    </row>
    <row r="425" spans="1:19" x14ac:dyDescent="0.3">
      <c r="A425" s="5" t="s">
        <v>483</v>
      </c>
      <c r="B425" s="6">
        <v>46065</v>
      </c>
      <c r="C425" s="7" t="s">
        <v>42</v>
      </c>
      <c r="D425" s="7" t="s">
        <v>38</v>
      </c>
      <c r="E425" s="7" t="s">
        <v>39</v>
      </c>
      <c r="F425" s="7" t="s">
        <v>35</v>
      </c>
      <c r="G425" s="7" t="s">
        <v>30</v>
      </c>
      <c r="H425" s="7" t="s">
        <v>24</v>
      </c>
      <c r="I425" s="7">
        <v>23</v>
      </c>
      <c r="J425" s="7">
        <v>113</v>
      </c>
      <c r="K425" s="20">
        <v>2871.74</v>
      </c>
      <c r="L425" s="20">
        <v>380.86</v>
      </c>
      <c r="M425" s="7">
        <v>38.6</v>
      </c>
      <c r="N425" s="20">
        <f>Table15[[#This Row],[Processing Fee]]-Table15[[#This Row],[Discount Applied]]</f>
        <v>342.26</v>
      </c>
      <c r="O425" s="7" t="str">
        <f>IF(Table15[[#This Row],[Revenue]]&gt;35000,"Achieved","Not Achieved")</f>
        <v>Not Achieved</v>
      </c>
      <c r="P425" s="8">
        <v>4</v>
      </c>
      <c r="Q425" s="7" t="str">
        <f>IF(AND(Table15[[#This Row],[CSAT Score]]&lt;=3,Table15[[#This Row],[Revenue]]&gt;=20000),"High-Risk","Stable")</f>
        <v>Stable</v>
      </c>
      <c r="R425" s="8" t="str" cm="1">
        <f t="array" ref="R425">_xlfn.IFS(Table15[[#This Row],[Revenue]]&gt;=35000,"Platinum",Table15[[#This Row],[Revenue]]&gt;=15000,"Gold",TRUE,"Standard")</f>
        <v>Standard</v>
      </c>
      <c r="S425" s="8" t="str">
        <f>IF(OR(Table15[[#This Row],[Product]]="Wealth Management",Table15[[#This Row],[Revenue]]&gt;=40000),"Yes","No")</f>
        <v>No</v>
      </c>
    </row>
    <row r="426" spans="1:19" x14ac:dyDescent="0.3">
      <c r="A426" s="5" t="s">
        <v>484</v>
      </c>
      <c r="B426" s="6">
        <v>45988</v>
      </c>
      <c r="C426" s="7" t="s">
        <v>44</v>
      </c>
      <c r="D426" s="7" t="s">
        <v>68</v>
      </c>
      <c r="E426" s="7" t="s">
        <v>28</v>
      </c>
      <c r="F426" s="7" t="s">
        <v>35</v>
      </c>
      <c r="G426" s="7" t="s">
        <v>36</v>
      </c>
      <c r="H426" s="7" t="s">
        <v>24</v>
      </c>
      <c r="I426" s="7">
        <v>43</v>
      </c>
      <c r="J426" s="7">
        <v>13</v>
      </c>
      <c r="K426" s="20">
        <v>47451.76</v>
      </c>
      <c r="L426" s="20">
        <v>408.8</v>
      </c>
      <c r="M426" s="7">
        <v>23.24</v>
      </c>
      <c r="N426" s="20">
        <f>Table15[[#This Row],[Processing Fee]]-Table15[[#This Row],[Discount Applied]]</f>
        <v>385.56</v>
      </c>
      <c r="O426" s="7" t="str">
        <f>IF(Table15[[#This Row],[Revenue]]&gt;35000,"Achieved","Not Achieved")</f>
        <v>Achieved</v>
      </c>
      <c r="P426" s="8">
        <v>5</v>
      </c>
      <c r="Q426" s="7" t="str">
        <f>IF(AND(Table15[[#This Row],[CSAT Score]]&lt;=3,Table15[[#This Row],[Revenue]]&gt;=20000),"High-Risk","Stable")</f>
        <v>Stable</v>
      </c>
      <c r="R426" s="8" t="str" cm="1">
        <f t="array" ref="R426">_xlfn.IFS(Table15[[#This Row],[Revenue]]&gt;=35000,"Platinum",Table15[[#This Row],[Revenue]]&gt;=15000,"Gold",TRUE,"Standard")</f>
        <v>Platinum</v>
      </c>
      <c r="S426" s="8" t="str">
        <f>IF(OR(Table15[[#This Row],[Product]]="Wealth Management",Table15[[#This Row],[Revenue]]&gt;=40000),"Yes","No")</f>
        <v>Yes</v>
      </c>
    </row>
    <row r="427" spans="1:19" x14ac:dyDescent="0.3">
      <c r="A427" s="5" t="s">
        <v>485</v>
      </c>
      <c r="B427" s="6">
        <v>45876</v>
      </c>
      <c r="C427" s="7" t="s">
        <v>33</v>
      </c>
      <c r="D427" s="7" t="s">
        <v>52</v>
      </c>
      <c r="E427" s="7" t="s">
        <v>46</v>
      </c>
      <c r="F427" s="7" t="s">
        <v>69</v>
      </c>
      <c r="G427" s="7" t="s">
        <v>23</v>
      </c>
      <c r="H427" s="7" t="s">
        <v>57</v>
      </c>
      <c r="I427" s="7">
        <v>52</v>
      </c>
      <c r="J427" s="7">
        <v>1</v>
      </c>
      <c r="K427" s="20">
        <v>35702.42</v>
      </c>
      <c r="L427" s="20">
        <v>171.24</v>
      </c>
      <c r="M427" s="7">
        <v>123.25</v>
      </c>
      <c r="N427" s="20">
        <f>Table15[[#This Row],[Processing Fee]]-Table15[[#This Row],[Discount Applied]]</f>
        <v>47.990000000000009</v>
      </c>
      <c r="O427" s="7" t="str">
        <f>IF(Table15[[#This Row],[Revenue]]&gt;35000,"Achieved","Not Achieved")</f>
        <v>Achieved</v>
      </c>
      <c r="P427" s="8">
        <v>3</v>
      </c>
      <c r="Q427" s="7" t="str">
        <f>IF(AND(Table15[[#This Row],[CSAT Score]]&lt;=3,Table15[[#This Row],[Revenue]]&gt;=20000),"High-Risk","Stable")</f>
        <v>High-Risk</v>
      </c>
      <c r="R427" s="8" t="str" cm="1">
        <f t="array" ref="R427">_xlfn.IFS(Table15[[#This Row],[Revenue]]&gt;=35000,"Platinum",Table15[[#This Row],[Revenue]]&gt;=15000,"Gold",TRUE,"Standard")</f>
        <v>Platinum</v>
      </c>
      <c r="S427" s="8" t="str">
        <f>IF(OR(Table15[[#This Row],[Product]]="Wealth Management",Table15[[#This Row],[Revenue]]&gt;=40000),"Yes","No")</f>
        <v>No</v>
      </c>
    </row>
    <row r="428" spans="1:19" x14ac:dyDescent="0.3">
      <c r="A428" s="5" t="s">
        <v>486</v>
      </c>
      <c r="B428" s="6">
        <v>46151</v>
      </c>
      <c r="C428" s="7" t="s">
        <v>91</v>
      </c>
      <c r="D428" s="7" t="s">
        <v>63</v>
      </c>
      <c r="E428" s="7" t="s">
        <v>28</v>
      </c>
      <c r="F428" s="7" t="s">
        <v>22</v>
      </c>
      <c r="G428" s="7" t="s">
        <v>65</v>
      </c>
      <c r="H428" s="7" t="s">
        <v>53</v>
      </c>
      <c r="I428" s="7">
        <v>65</v>
      </c>
      <c r="J428" s="7">
        <v>34</v>
      </c>
      <c r="K428" s="20">
        <v>836.43</v>
      </c>
      <c r="L428" s="20">
        <v>449.35</v>
      </c>
      <c r="M428" s="7">
        <v>88.77</v>
      </c>
      <c r="N428" s="20">
        <f>Table15[[#This Row],[Processing Fee]]-Table15[[#This Row],[Discount Applied]]</f>
        <v>360.58000000000004</v>
      </c>
      <c r="O428" s="7" t="str">
        <f>IF(Table15[[#This Row],[Revenue]]&gt;35000,"Achieved","Not Achieved")</f>
        <v>Not Achieved</v>
      </c>
      <c r="P428" s="8">
        <v>1</v>
      </c>
      <c r="Q428" s="7" t="str">
        <f>IF(AND(Table15[[#This Row],[CSAT Score]]&lt;=3,Table15[[#This Row],[Revenue]]&gt;=20000),"High-Risk","Stable")</f>
        <v>Stable</v>
      </c>
      <c r="R428" s="8" t="str" cm="1">
        <f t="array" ref="R428">_xlfn.IFS(Table15[[#This Row],[Revenue]]&gt;=35000,"Platinum",Table15[[#This Row],[Revenue]]&gt;=15000,"Gold",TRUE,"Standard")</f>
        <v>Standard</v>
      </c>
      <c r="S428" s="8" t="str">
        <f>IF(OR(Table15[[#This Row],[Product]]="Wealth Management",Table15[[#This Row],[Revenue]]&gt;=40000),"Yes","No")</f>
        <v>Yes</v>
      </c>
    </row>
    <row r="429" spans="1:19" x14ac:dyDescent="0.3">
      <c r="A429" s="5" t="s">
        <v>487</v>
      </c>
      <c r="B429" s="6">
        <v>46133</v>
      </c>
      <c r="C429" s="7" t="s">
        <v>26</v>
      </c>
      <c r="D429" s="7" t="s">
        <v>63</v>
      </c>
      <c r="E429" s="7" t="s">
        <v>28</v>
      </c>
      <c r="F429" s="7" t="s">
        <v>29</v>
      </c>
      <c r="G429" s="7" t="s">
        <v>65</v>
      </c>
      <c r="H429" s="7" t="s">
        <v>24</v>
      </c>
      <c r="I429" s="7">
        <v>36</v>
      </c>
      <c r="J429" s="7">
        <v>62</v>
      </c>
      <c r="K429" s="20">
        <v>38310.9</v>
      </c>
      <c r="L429" s="20">
        <v>111.79</v>
      </c>
      <c r="M429" s="7">
        <v>37.6</v>
      </c>
      <c r="N429" s="20">
        <f>Table15[[#This Row],[Processing Fee]]-Table15[[#This Row],[Discount Applied]]</f>
        <v>74.19</v>
      </c>
      <c r="O429" s="7" t="str">
        <f>IF(Table15[[#This Row],[Revenue]]&gt;35000,"Achieved","Not Achieved")</f>
        <v>Achieved</v>
      </c>
      <c r="P429" s="8">
        <v>1</v>
      </c>
      <c r="Q429" s="7" t="str">
        <f>IF(AND(Table15[[#This Row],[CSAT Score]]&lt;=3,Table15[[#This Row],[Revenue]]&gt;=20000),"High-Risk","Stable")</f>
        <v>High-Risk</v>
      </c>
      <c r="R429" s="8" t="str" cm="1">
        <f t="array" ref="R429">_xlfn.IFS(Table15[[#This Row],[Revenue]]&gt;=35000,"Platinum",Table15[[#This Row],[Revenue]]&gt;=15000,"Gold",TRUE,"Standard")</f>
        <v>Platinum</v>
      </c>
      <c r="S429" s="8" t="str">
        <f>IF(OR(Table15[[#This Row],[Product]]="Wealth Management",Table15[[#This Row],[Revenue]]&gt;=40000),"Yes","No")</f>
        <v>No</v>
      </c>
    </row>
    <row r="430" spans="1:19" x14ac:dyDescent="0.3">
      <c r="A430" s="5" t="s">
        <v>488</v>
      </c>
      <c r="B430" s="6">
        <v>46056</v>
      </c>
      <c r="C430" s="7" t="s">
        <v>91</v>
      </c>
      <c r="D430" s="7" t="s">
        <v>34</v>
      </c>
      <c r="E430" s="7" t="s">
        <v>46</v>
      </c>
      <c r="F430" s="7" t="s">
        <v>40</v>
      </c>
      <c r="G430" s="7" t="s">
        <v>23</v>
      </c>
      <c r="H430" s="7" t="s">
        <v>24</v>
      </c>
      <c r="I430" s="7">
        <v>25</v>
      </c>
      <c r="J430" s="7">
        <v>79</v>
      </c>
      <c r="K430" s="20">
        <v>25947.06</v>
      </c>
      <c r="L430" s="20">
        <v>201.36</v>
      </c>
      <c r="M430" s="7">
        <v>130.63</v>
      </c>
      <c r="N430" s="20">
        <f>Table15[[#This Row],[Processing Fee]]-Table15[[#This Row],[Discount Applied]]</f>
        <v>70.730000000000018</v>
      </c>
      <c r="O430" s="7" t="str">
        <f>IF(Table15[[#This Row],[Revenue]]&gt;35000,"Achieved","Not Achieved")</f>
        <v>Not Achieved</v>
      </c>
      <c r="P430" s="8">
        <v>3</v>
      </c>
      <c r="Q430" s="7" t="str">
        <f>IF(AND(Table15[[#This Row],[CSAT Score]]&lt;=3,Table15[[#This Row],[Revenue]]&gt;=20000),"High-Risk","Stable")</f>
        <v>High-Risk</v>
      </c>
      <c r="R430" s="8" t="str" cm="1">
        <f t="array" ref="R430">_xlfn.IFS(Table15[[#This Row],[Revenue]]&gt;=35000,"Platinum",Table15[[#This Row],[Revenue]]&gt;=15000,"Gold",TRUE,"Standard")</f>
        <v>Gold</v>
      </c>
      <c r="S430" s="8" t="str">
        <f>IF(OR(Table15[[#This Row],[Product]]="Wealth Management",Table15[[#This Row],[Revenue]]&gt;=40000),"Yes","No")</f>
        <v>No</v>
      </c>
    </row>
    <row r="431" spans="1:19" x14ac:dyDescent="0.3">
      <c r="A431" s="5" t="s">
        <v>489</v>
      </c>
      <c r="B431" s="6">
        <v>46081</v>
      </c>
      <c r="C431" s="7" t="s">
        <v>26</v>
      </c>
      <c r="D431" s="7" t="s">
        <v>79</v>
      </c>
      <c r="E431" s="7" t="s">
        <v>28</v>
      </c>
      <c r="F431" s="7" t="s">
        <v>35</v>
      </c>
      <c r="G431" s="7" t="s">
        <v>65</v>
      </c>
      <c r="H431" s="7" t="s">
        <v>31</v>
      </c>
      <c r="I431" s="7">
        <v>24</v>
      </c>
      <c r="J431" s="7">
        <v>108</v>
      </c>
      <c r="K431" s="20">
        <v>39078.58</v>
      </c>
      <c r="L431" s="20">
        <v>314.04000000000002</v>
      </c>
      <c r="M431" s="7">
        <v>44.55</v>
      </c>
      <c r="N431" s="20">
        <f>Table15[[#This Row],[Processing Fee]]-Table15[[#This Row],[Discount Applied]]</f>
        <v>269.49</v>
      </c>
      <c r="O431" s="7" t="str">
        <f>IF(Table15[[#This Row],[Revenue]]&gt;35000,"Achieved","Not Achieved")</f>
        <v>Achieved</v>
      </c>
      <c r="P431" s="8">
        <v>2</v>
      </c>
      <c r="Q431" s="7" t="str">
        <f>IF(AND(Table15[[#This Row],[CSAT Score]]&lt;=3,Table15[[#This Row],[Revenue]]&gt;=20000),"High-Risk","Stable")</f>
        <v>High-Risk</v>
      </c>
      <c r="R431" s="8" t="str" cm="1">
        <f t="array" ref="R431">_xlfn.IFS(Table15[[#This Row],[Revenue]]&gt;=35000,"Platinum",Table15[[#This Row],[Revenue]]&gt;=15000,"Gold",TRUE,"Standard")</f>
        <v>Platinum</v>
      </c>
      <c r="S431" s="8" t="str">
        <f>IF(OR(Table15[[#This Row],[Product]]="Wealth Management",Table15[[#This Row],[Revenue]]&gt;=40000),"Yes","No")</f>
        <v>No</v>
      </c>
    </row>
    <row r="432" spans="1:19" x14ac:dyDescent="0.3">
      <c r="A432" s="5" t="s">
        <v>490</v>
      </c>
      <c r="B432" s="6">
        <v>46116</v>
      </c>
      <c r="C432" s="7" t="s">
        <v>91</v>
      </c>
      <c r="D432" s="7" t="s">
        <v>20</v>
      </c>
      <c r="E432" s="7" t="s">
        <v>21</v>
      </c>
      <c r="F432" s="7" t="s">
        <v>35</v>
      </c>
      <c r="G432" s="7" t="s">
        <v>56</v>
      </c>
      <c r="H432" s="7" t="s">
        <v>57</v>
      </c>
      <c r="I432" s="7">
        <v>41</v>
      </c>
      <c r="J432" s="7">
        <v>78</v>
      </c>
      <c r="K432" s="20">
        <v>26363.59</v>
      </c>
      <c r="L432" s="20">
        <v>96.31</v>
      </c>
      <c r="M432" s="7">
        <v>110.86</v>
      </c>
      <c r="N432" s="20">
        <f>Table15[[#This Row],[Processing Fee]]-Table15[[#This Row],[Discount Applied]]</f>
        <v>-14.549999999999997</v>
      </c>
      <c r="O432" s="7" t="str">
        <f>IF(Table15[[#This Row],[Revenue]]&gt;35000,"Achieved","Not Achieved")</f>
        <v>Not Achieved</v>
      </c>
      <c r="P432" s="8">
        <v>3</v>
      </c>
      <c r="Q432" s="7" t="str">
        <f>IF(AND(Table15[[#This Row],[CSAT Score]]&lt;=3,Table15[[#This Row],[Revenue]]&gt;=20000),"High-Risk","Stable")</f>
        <v>High-Risk</v>
      </c>
      <c r="R432" s="8" t="str" cm="1">
        <f t="array" ref="R432">_xlfn.IFS(Table15[[#This Row],[Revenue]]&gt;=35000,"Platinum",Table15[[#This Row],[Revenue]]&gt;=15000,"Gold",TRUE,"Standard")</f>
        <v>Gold</v>
      </c>
      <c r="S432" s="8" t="str">
        <f>IF(OR(Table15[[#This Row],[Product]]="Wealth Management",Table15[[#This Row],[Revenue]]&gt;=40000),"Yes","No")</f>
        <v>No</v>
      </c>
    </row>
    <row r="433" spans="1:19" x14ac:dyDescent="0.3">
      <c r="A433" s="5" t="s">
        <v>491</v>
      </c>
      <c r="B433" s="6">
        <v>45884</v>
      </c>
      <c r="C433" s="7" t="s">
        <v>75</v>
      </c>
      <c r="D433" s="7" t="s">
        <v>52</v>
      </c>
      <c r="E433" s="7" t="s">
        <v>21</v>
      </c>
      <c r="F433" s="7" t="s">
        <v>29</v>
      </c>
      <c r="G433" s="7" t="s">
        <v>36</v>
      </c>
      <c r="H433" s="7" t="s">
        <v>57</v>
      </c>
      <c r="I433" s="7">
        <v>60</v>
      </c>
      <c r="J433" s="7">
        <v>93</v>
      </c>
      <c r="K433" s="20">
        <v>32230.73</v>
      </c>
      <c r="L433" s="20">
        <v>378.56</v>
      </c>
      <c r="M433" s="7">
        <v>105.43</v>
      </c>
      <c r="N433" s="20">
        <f>Table15[[#This Row],[Processing Fee]]-Table15[[#This Row],[Discount Applied]]</f>
        <v>273.13</v>
      </c>
      <c r="O433" s="7" t="str">
        <f>IF(Table15[[#This Row],[Revenue]]&gt;35000,"Achieved","Not Achieved")</f>
        <v>Not Achieved</v>
      </c>
      <c r="P433" s="8">
        <v>3</v>
      </c>
      <c r="Q433" s="7" t="str">
        <f>IF(AND(Table15[[#This Row],[CSAT Score]]&lt;=3,Table15[[#This Row],[Revenue]]&gt;=20000),"High-Risk","Stable")</f>
        <v>High-Risk</v>
      </c>
      <c r="R433" s="8" t="str" cm="1">
        <f t="array" ref="R433">_xlfn.IFS(Table15[[#This Row],[Revenue]]&gt;=35000,"Platinum",Table15[[#This Row],[Revenue]]&gt;=15000,"Gold",TRUE,"Standard")</f>
        <v>Gold</v>
      </c>
      <c r="S433" s="8" t="str">
        <f>IF(OR(Table15[[#This Row],[Product]]="Wealth Management",Table15[[#This Row],[Revenue]]&gt;=40000),"Yes","No")</f>
        <v>No</v>
      </c>
    </row>
    <row r="434" spans="1:19" x14ac:dyDescent="0.3">
      <c r="A434" s="5" t="s">
        <v>492</v>
      </c>
      <c r="B434" s="6">
        <v>46109</v>
      </c>
      <c r="C434" s="7" t="s">
        <v>33</v>
      </c>
      <c r="D434" s="7" t="s">
        <v>50</v>
      </c>
      <c r="E434" s="7" t="s">
        <v>28</v>
      </c>
      <c r="F434" s="7" t="s">
        <v>22</v>
      </c>
      <c r="G434" s="7" t="s">
        <v>36</v>
      </c>
      <c r="H434" s="7" t="s">
        <v>53</v>
      </c>
      <c r="I434" s="7">
        <v>71</v>
      </c>
      <c r="J434" s="7">
        <v>98</v>
      </c>
      <c r="K434" s="20">
        <v>39423.42</v>
      </c>
      <c r="L434" s="20">
        <v>224.26</v>
      </c>
      <c r="M434" s="7">
        <v>146.85</v>
      </c>
      <c r="N434" s="20">
        <f>Table15[[#This Row],[Processing Fee]]-Table15[[#This Row],[Discount Applied]]</f>
        <v>77.41</v>
      </c>
      <c r="O434" s="7" t="str">
        <f>IF(Table15[[#This Row],[Revenue]]&gt;35000,"Achieved","Not Achieved")</f>
        <v>Achieved</v>
      </c>
      <c r="P434" s="8">
        <v>4</v>
      </c>
      <c r="Q434" s="7" t="str">
        <f>IF(AND(Table15[[#This Row],[CSAT Score]]&lt;=3,Table15[[#This Row],[Revenue]]&gt;=20000),"High-Risk","Stable")</f>
        <v>Stable</v>
      </c>
      <c r="R434" s="8" t="str" cm="1">
        <f t="array" ref="R434">_xlfn.IFS(Table15[[#This Row],[Revenue]]&gt;=35000,"Platinum",Table15[[#This Row],[Revenue]]&gt;=15000,"Gold",TRUE,"Standard")</f>
        <v>Platinum</v>
      </c>
      <c r="S434" s="8" t="str">
        <f>IF(OR(Table15[[#This Row],[Product]]="Wealth Management",Table15[[#This Row],[Revenue]]&gt;=40000),"Yes","No")</f>
        <v>Yes</v>
      </c>
    </row>
    <row r="435" spans="1:19" x14ac:dyDescent="0.3">
      <c r="A435" s="5" t="s">
        <v>493</v>
      </c>
      <c r="B435" s="6">
        <v>46128</v>
      </c>
      <c r="C435" s="7" t="s">
        <v>44</v>
      </c>
      <c r="D435" s="7" t="s">
        <v>79</v>
      </c>
      <c r="E435" s="7" t="s">
        <v>39</v>
      </c>
      <c r="F435" s="7" t="s">
        <v>35</v>
      </c>
      <c r="G435" s="7" t="s">
        <v>23</v>
      </c>
      <c r="H435" s="7" t="s">
        <v>57</v>
      </c>
      <c r="I435" s="7">
        <v>34</v>
      </c>
      <c r="J435" s="7">
        <v>82</v>
      </c>
      <c r="K435" s="20">
        <v>20552.849999999999</v>
      </c>
      <c r="L435" s="20">
        <v>402.98</v>
      </c>
      <c r="M435" s="7">
        <v>11.02</v>
      </c>
      <c r="N435" s="20">
        <f>Table15[[#This Row],[Processing Fee]]-Table15[[#This Row],[Discount Applied]]</f>
        <v>391.96000000000004</v>
      </c>
      <c r="O435" s="7" t="str">
        <f>IF(Table15[[#This Row],[Revenue]]&gt;35000,"Achieved","Not Achieved")</f>
        <v>Not Achieved</v>
      </c>
      <c r="P435" s="8">
        <v>1</v>
      </c>
      <c r="Q435" s="7" t="str">
        <f>IF(AND(Table15[[#This Row],[CSAT Score]]&lt;=3,Table15[[#This Row],[Revenue]]&gt;=20000),"High-Risk","Stable")</f>
        <v>High-Risk</v>
      </c>
      <c r="R435" s="8" t="str" cm="1">
        <f t="array" ref="R435">_xlfn.IFS(Table15[[#This Row],[Revenue]]&gt;=35000,"Platinum",Table15[[#This Row],[Revenue]]&gt;=15000,"Gold",TRUE,"Standard")</f>
        <v>Gold</v>
      </c>
      <c r="S435" s="8" t="str">
        <f>IF(OR(Table15[[#This Row],[Product]]="Wealth Management",Table15[[#This Row],[Revenue]]&gt;=40000),"Yes","No")</f>
        <v>No</v>
      </c>
    </row>
    <row r="436" spans="1:19" x14ac:dyDescent="0.3">
      <c r="A436" s="5" t="s">
        <v>494</v>
      </c>
      <c r="B436" s="6">
        <v>46052</v>
      </c>
      <c r="C436" s="7" t="s">
        <v>26</v>
      </c>
      <c r="D436" s="7" t="s">
        <v>83</v>
      </c>
      <c r="E436" s="7" t="s">
        <v>46</v>
      </c>
      <c r="F436" s="7" t="s">
        <v>29</v>
      </c>
      <c r="G436" s="7" t="s">
        <v>65</v>
      </c>
      <c r="H436" s="7" t="s">
        <v>31</v>
      </c>
      <c r="I436" s="7">
        <v>59</v>
      </c>
      <c r="J436" s="7">
        <v>118</v>
      </c>
      <c r="K436" s="20">
        <v>634.04999999999995</v>
      </c>
      <c r="L436" s="20">
        <v>271.8</v>
      </c>
      <c r="M436" s="7">
        <v>266.36</v>
      </c>
      <c r="N436" s="20">
        <f>Table15[[#This Row],[Processing Fee]]-Table15[[#This Row],[Discount Applied]]</f>
        <v>5.4399999999999977</v>
      </c>
      <c r="O436" s="7" t="str">
        <f>IF(Table15[[#This Row],[Revenue]]&gt;35000,"Achieved","Not Achieved")</f>
        <v>Not Achieved</v>
      </c>
      <c r="P436" s="8">
        <v>1</v>
      </c>
      <c r="Q436" s="7" t="str">
        <f>IF(AND(Table15[[#This Row],[CSAT Score]]&lt;=3,Table15[[#This Row],[Revenue]]&gt;=20000),"High-Risk","Stable")</f>
        <v>Stable</v>
      </c>
      <c r="R436" s="8" t="str" cm="1">
        <f t="array" ref="R436">_xlfn.IFS(Table15[[#This Row],[Revenue]]&gt;=35000,"Platinum",Table15[[#This Row],[Revenue]]&gt;=15000,"Gold",TRUE,"Standard")</f>
        <v>Standard</v>
      </c>
      <c r="S436" s="8" t="str">
        <f>IF(OR(Table15[[#This Row],[Product]]="Wealth Management",Table15[[#This Row],[Revenue]]&gt;=40000),"Yes","No")</f>
        <v>No</v>
      </c>
    </row>
    <row r="437" spans="1:19" x14ac:dyDescent="0.3">
      <c r="A437" s="5" t="s">
        <v>495</v>
      </c>
      <c r="B437" s="6">
        <v>46224</v>
      </c>
      <c r="C437" s="7" t="s">
        <v>44</v>
      </c>
      <c r="D437" s="7" t="s">
        <v>38</v>
      </c>
      <c r="E437" s="7" t="s">
        <v>21</v>
      </c>
      <c r="F437" s="7" t="s">
        <v>69</v>
      </c>
      <c r="G437" s="7" t="s">
        <v>30</v>
      </c>
      <c r="H437" s="7" t="s">
        <v>31</v>
      </c>
      <c r="I437" s="7">
        <v>51</v>
      </c>
      <c r="J437" s="7">
        <v>71</v>
      </c>
      <c r="K437" s="20">
        <v>42572.35</v>
      </c>
      <c r="L437" s="20">
        <v>131.38999999999999</v>
      </c>
      <c r="M437" s="7">
        <v>210.9</v>
      </c>
      <c r="N437" s="20">
        <f>Table15[[#This Row],[Processing Fee]]-Table15[[#This Row],[Discount Applied]]</f>
        <v>-79.510000000000019</v>
      </c>
      <c r="O437" s="7" t="str">
        <f>IF(Table15[[#This Row],[Revenue]]&gt;35000,"Achieved","Not Achieved")</f>
        <v>Achieved</v>
      </c>
      <c r="P437" s="8">
        <v>5</v>
      </c>
      <c r="Q437" s="7" t="str">
        <f>IF(AND(Table15[[#This Row],[CSAT Score]]&lt;=3,Table15[[#This Row],[Revenue]]&gt;=20000),"High-Risk","Stable")</f>
        <v>Stable</v>
      </c>
      <c r="R437" s="8" t="str" cm="1">
        <f t="array" ref="R437">_xlfn.IFS(Table15[[#This Row],[Revenue]]&gt;=35000,"Platinum",Table15[[#This Row],[Revenue]]&gt;=15000,"Gold",TRUE,"Standard")</f>
        <v>Platinum</v>
      </c>
      <c r="S437" s="8" t="str">
        <f>IF(OR(Table15[[#This Row],[Product]]="Wealth Management",Table15[[#This Row],[Revenue]]&gt;=40000),"Yes","No")</f>
        <v>Yes</v>
      </c>
    </row>
    <row r="438" spans="1:19" x14ac:dyDescent="0.3">
      <c r="A438" s="5" t="s">
        <v>496</v>
      </c>
      <c r="B438" s="6">
        <v>46008</v>
      </c>
      <c r="C438" s="7" t="s">
        <v>44</v>
      </c>
      <c r="D438" s="7" t="s">
        <v>45</v>
      </c>
      <c r="E438" s="7" t="s">
        <v>39</v>
      </c>
      <c r="F438" s="7" t="s">
        <v>22</v>
      </c>
      <c r="G438" s="7" t="s">
        <v>30</v>
      </c>
      <c r="H438" s="7" t="s">
        <v>53</v>
      </c>
      <c r="I438" s="7">
        <v>34</v>
      </c>
      <c r="J438" s="7">
        <v>93</v>
      </c>
      <c r="K438" s="20">
        <v>19354.07</v>
      </c>
      <c r="L438" s="20">
        <v>380.64</v>
      </c>
      <c r="M438" s="7">
        <v>43.23</v>
      </c>
      <c r="N438" s="20">
        <f>Table15[[#This Row],[Processing Fee]]-Table15[[#This Row],[Discount Applied]]</f>
        <v>337.40999999999997</v>
      </c>
      <c r="O438" s="7" t="str">
        <f>IF(Table15[[#This Row],[Revenue]]&gt;35000,"Achieved","Not Achieved")</f>
        <v>Not Achieved</v>
      </c>
      <c r="P438" s="8">
        <v>3</v>
      </c>
      <c r="Q438" s="7" t="str">
        <f>IF(AND(Table15[[#This Row],[CSAT Score]]&lt;=3,Table15[[#This Row],[Revenue]]&gt;=20000),"High-Risk","Stable")</f>
        <v>Stable</v>
      </c>
      <c r="R438" s="8" t="str" cm="1">
        <f t="array" ref="R438">_xlfn.IFS(Table15[[#This Row],[Revenue]]&gt;=35000,"Platinum",Table15[[#This Row],[Revenue]]&gt;=15000,"Gold",TRUE,"Standard")</f>
        <v>Gold</v>
      </c>
      <c r="S438" s="8" t="str">
        <f>IF(OR(Table15[[#This Row],[Product]]="Wealth Management",Table15[[#This Row],[Revenue]]&gt;=40000),"Yes","No")</f>
        <v>Yes</v>
      </c>
    </row>
    <row r="439" spans="1:19" x14ac:dyDescent="0.3">
      <c r="A439" s="5" t="s">
        <v>497</v>
      </c>
      <c r="B439" s="6">
        <v>46091</v>
      </c>
      <c r="C439" s="7" t="s">
        <v>44</v>
      </c>
      <c r="D439" s="7" t="s">
        <v>61</v>
      </c>
      <c r="E439" s="7" t="s">
        <v>28</v>
      </c>
      <c r="F439" s="7" t="s">
        <v>40</v>
      </c>
      <c r="G439" s="7" t="s">
        <v>65</v>
      </c>
      <c r="H439" s="7" t="s">
        <v>31</v>
      </c>
      <c r="I439" s="7">
        <v>26</v>
      </c>
      <c r="J439" s="7">
        <v>119</v>
      </c>
      <c r="K439" s="20">
        <v>25054.11</v>
      </c>
      <c r="L439" s="20">
        <v>163.46</v>
      </c>
      <c r="M439" s="7">
        <v>55.02</v>
      </c>
      <c r="N439" s="20">
        <f>Table15[[#This Row],[Processing Fee]]-Table15[[#This Row],[Discount Applied]]</f>
        <v>108.44</v>
      </c>
      <c r="O439" s="7" t="str">
        <f>IF(Table15[[#This Row],[Revenue]]&gt;35000,"Achieved","Not Achieved")</f>
        <v>Not Achieved</v>
      </c>
      <c r="P439" s="8">
        <v>3</v>
      </c>
      <c r="Q439" s="7" t="str">
        <f>IF(AND(Table15[[#This Row],[CSAT Score]]&lt;=3,Table15[[#This Row],[Revenue]]&gt;=20000),"High-Risk","Stable")</f>
        <v>High-Risk</v>
      </c>
      <c r="R439" s="8" t="str" cm="1">
        <f t="array" ref="R439">_xlfn.IFS(Table15[[#This Row],[Revenue]]&gt;=35000,"Platinum",Table15[[#This Row],[Revenue]]&gt;=15000,"Gold",TRUE,"Standard")</f>
        <v>Gold</v>
      </c>
      <c r="S439" s="8" t="str">
        <f>IF(OR(Table15[[#This Row],[Product]]="Wealth Management",Table15[[#This Row],[Revenue]]&gt;=40000),"Yes","No")</f>
        <v>No</v>
      </c>
    </row>
    <row r="440" spans="1:19" x14ac:dyDescent="0.3">
      <c r="A440" s="5" t="s">
        <v>498</v>
      </c>
      <c r="B440" s="6">
        <v>46144</v>
      </c>
      <c r="C440" s="7" t="s">
        <v>19</v>
      </c>
      <c r="D440" s="7" t="s">
        <v>52</v>
      </c>
      <c r="E440" s="7" t="s">
        <v>39</v>
      </c>
      <c r="F440" s="7" t="s">
        <v>35</v>
      </c>
      <c r="G440" s="7" t="s">
        <v>30</v>
      </c>
      <c r="H440" s="7" t="s">
        <v>24</v>
      </c>
      <c r="I440" s="7">
        <v>32</v>
      </c>
      <c r="J440" s="7">
        <v>31</v>
      </c>
      <c r="K440" s="20">
        <v>884.45</v>
      </c>
      <c r="L440" s="20">
        <v>270.86</v>
      </c>
      <c r="M440" s="7">
        <v>86.33</v>
      </c>
      <c r="N440" s="20">
        <f>Table15[[#This Row],[Processing Fee]]-Table15[[#This Row],[Discount Applied]]</f>
        <v>184.53000000000003</v>
      </c>
      <c r="O440" s="7" t="str">
        <f>IF(Table15[[#This Row],[Revenue]]&gt;35000,"Achieved","Not Achieved")</f>
        <v>Not Achieved</v>
      </c>
      <c r="P440" s="8">
        <v>2</v>
      </c>
      <c r="Q440" s="7" t="str">
        <f>IF(AND(Table15[[#This Row],[CSAT Score]]&lt;=3,Table15[[#This Row],[Revenue]]&gt;=20000),"High-Risk","Stable")</f>
        <v>Stable</v>
      </c>
      <c r="R440" s="8" t="str" cm="1">
        <f t="array" ref="R440">_xlfn.IFS(Table15[[#This Row],[Revenue]]&gt;=35000,"Platinum",Table15[[#This Row],[Revenue]]&gt;=15000,"Gold",TRUE,"Standard")</f>
        <v>Standard</v>
      </c>
      <c r="S440" s="8" t="str">
        <f>IF(OR(Table15[[#This Row],[Product]]="Wealth Management",Table15[[#This Row],[Revenue]]&gt;=40000),"Yes","No")</f>
        <v>No</v>
      </c>
    </row>
    <row r="441" spans="1:19" x14ac:dyDescent="0.3">
      <c r="A441" s="5" t="s">
        <v>499</v>
      </c>
      <c r="B441" s="6">
        <v>46056</v>
      </c>
      <c r="C441" s="7" t="s">
        <v>42</v>
      </c>
      <c r="D441" s="7" t="s">
        <v>61</v>
      </c>
      <c r="E441" s="7" t="s">
        <v>59</v>
      </c>
      <c r="F441" s="7" t="s">
        <v>29</v>
      </c>
      <c r="G441" s="7" t="s">
        <v>23</v>
      </c>
      <c r="H441" s="7" t="s">
        <v>24</v>
      </c>
      <c r="I441" s="7">
        <v>36</v>
      </c>
      <c r="J441" s="7">
        <v>64</v>
      </c>
      <c r="K441" s="20">
        <v>24858.55</v>
      </c>
      <c r="L441" s="20">
        <v>83.99</v>
      </c>
      <c r="M441" s="7">
        <v>163.51</v>
      </c>
      <c r="N441" s="20">
        <f>Table15[[#This Row],[Processing Fee]]-Table15[[#This Row],[Discount Applied]]</f>
        <v>-79.52</v>
      </c>
      <c r="O441" s="7" t="str">
        <f>IF(Table15[[#This Row],[Revenue]]&gt;35000,"Achieved","Not Achieved")</f>
        <v>Not Achieved</v>
      </c>
      <c r="P441" s="8">
        <v>1</v>
      </c>
      <c r="Q441" s="7" t="str">
        <f>IF(AND(Table15[[#This Row],[CSAT Score]]&lt;=3,Table15[[#This Row],[Revenue]]&gt;=20000),"High-Risk","Stable")</f>
        <v>High-Risk</v>
      </c>
      <c r="R441" s="8" t="str" cm="1">
        <f t="array" ref="R441">_xlfn.IFS(Table15[[#This Row],[Revenue]]&gt;=35000,"Platinum",Table15[[#This Row],[Revenue]]&gt;=15000,"Gold",TRUE,"Standard")</f>
        <v>Gold</v>
      </c>
      <c r="S441" s="8" t="str">
        <f>IF(OR(Table15[[#This Row],[Product]]="Wealth Management",Table15[[#This Row],[Revenue]]&gt;=40000),"Yes","No")</f>
        <v>No</v>
      </c>
    </row>
    <row r="442" spans="1:19" x14ac:dyDescent="0.3">
      <c r="A442" s="5" t="s">
        <v>500</v>
      </c>
      <c r="B442" s="6">
        <v>45944</v>
      </c>
      <c r="C442" s="7" t="s">
        <v>91</v>
      </c>
      <c r="D442" s="7" t="s">
        <v>63</v>
      </c>
      <c r="E442" s="7" t="s">
        <v>21</v>
      </c>
      <c r="F442" s="7" t="s">
        <v>69</v>
      </c>
      <c r="G442" s="7" t="s">
        <v>23</v>
      </c>
      <c r="H442" s="7" t="s">
        <v>31</v>
      </c>
      <c r="I442" s="7">
        <v>37</v>
      </c>
      <c r="J442" s="7">
        <v>25</v>
      </c>
      <c r="K442" s="20">
        <v>49331.13</v>
      </c>
      <c r="L442" s="20">
        <v>328.04</v>
      </c>
      <c r="M442" s="7">
        <v>252.88</v>
      </c>
      <c r="N442" s="20">
        <f>Table15[[#This Row],[Processing Fee]]-Table15[[#This Row],[Discount Applied]]</f>
        <v>75.160000000000025</v>
      </c>
      <c r="O442" s="7" t="str">
        <f>IF(Table15[[#This Row],[Revenue]]&gt;35000,"Achieved","Not Achieved")</f>
        <v>Achieved</v>
      </c>
      <c r="P442" s="8">
        <v>2</v>
      </c>
      <c r="Q442" s="7" t="str">
        <f>IF(AND(Table15[[#This Row],[CSAT Score]]&lt;=3,Table15[[#This Row],[Revenue]]&gt;=20000),"High-Risk","Stable")</f>
        <v>High-Risk</v>
      </c>
      <c r="R442" s="8" t="str" cm="1">
        <f t="array" ref="R442">_xlfn.IFS(Table15[[#This Row],[Revenue]]&gt;=35000,"Platinum",Table15[[#This Row],[Revenue]]&gt;=15000,"Gold",TRUE,"Standard")</f>
        <v>Platinum</v>
      </c>
      <c r="S442" s="8" t="str">
        <f>IF(OR(Table15[[#This Row],[Product]]="Wealth Management",Table15[[#This Row],[Revenue]]&gt;=40000),"Yes","No")</f>
        <v>Yes</v>
      </c>
    </row>
    <row r="443" spans="1:19" x14ac:dyDescent="0.3">
      <c r="A443" s="5" t="s">
        <v>501</v>
      </c>
      <c r="B443" s="6">
        <v>46231</v>
      </c>
      <c r="C443" s="7" t="s">
        <v>44</v>
      </c>
      <c r="D443" s="7" t="s">
        <v>45</v>
      </c>
      <c r="E443" s="7" t="s">
        <v>28</v>
      </c>
      <c r="F443" s="7" t="s">
        <v>40</v>
      </c>
      <c r="G443" s="7" t="s">
        <v>65</v>
      </c>
      <c r="H443" s="7" t="s">
        <v>53</v>
      </c>
      <c r="I443" s="7">
        <v>65</v>
      </c>
      <c r="J443" s="7">
        <v>38</v>
      </c>
      <c r="K443" s="20">
        <v>14274.25</v>
      </c>
      <c r="L443" s="20">
        <v>349.64</v>
      </c>
      <c r="M443" s="7">
        <v>104.09</v>
      </c>
      <c r="N443" s="20">
        <f>Table15[[#This Row],[Processing Fee]]-Table15[[#This Row],[Discount Applied]]</f>
        <v>245.54999999999998</v>
      </c>
      <c r="O443" s="7" t="str">
        <f>IF(Table15[[#This Row],[Revenue]]&gt;35000,"Achieved","Not Achieved")</f>
        <v>Not Achieved</v>
      </c>
      <c r="P443" s="8">
        <v>4</v>
      </c>
      <c r="Q443" s="7" t="str">
        <f>IF(AND(Table15[[#This Row],[CSAT Score]]&lt;=3,Table15[[#This Row],[Revenue]]&gt;=20000),"High-Risk","Stable")</f>
        <v>Stable</v>
      </c>
      <c r="R443" s="8" t="str" cm="1">
        <f t="array" ref="R443">_xlfn.IFS(Table15[[#This Row],[Revenue]]&gt;=35000,"Platinum",Table15[[#This Row],[Revenue]]&gt;=15000,"Gold",TRUE,"Standard")</f>
        <v>Standard</v>
      </c>
      <c r="S443" s="8" t="str">
        <f>IF(OR(Table15[[#This Row],[Product]]="Wealth Management",Table15[[#This Row],[Revenue]]&gt;=40000),"Yes","No")</f>
        <v>No</v>
      </c>
    </row>
    <row r="444" spans="1:19" x14ac:dyDescent="0.3">
      <c r="A444" s="5" t="s">
        <v>502</v>
      </c>
      <c r="B444" s="6">
        <v>46079</v>
      </c>
      <c r="C444" s="7" t="s">
        <v>91</v>
      </c>
      <c r="D444" s="7" t="s">
        <v>45</v>
      </c>
      <c r="E444" s="7" t="s">
        <v>46</v>
      </c>
      <c r="F444" s="7" t="s">
        <v>29</v>
      </c>
      <c r="G444" s="7" t="s">
        <v>30</v>
      </c>
      <c r="H444" s="7" t="s">
        <v>57</v>
      </c>
      <c r="I444" s="7">
        <v>43</v>
      </c>
      <c r="J444" s="7">
        <v>14</v>
      </c>
      <c r="K444" s="20">
        <v>20073.2</v>
      </c>
      <c r="L444" s="20">
        <v>220.4</v>
      </c>
      <c r="M444" s="7">
        <v>172.16</v>
      </c>
      <c r="N444" s="20">
        <f>Table15[[#This Row],[Processing Fee]]-Table15[[#This Row],[Discount Applied]]</f>
        <v>48.240000000000009</v>
      </c>
      <c r="O444" s="7" t="str">
        <f>IF(Table15[[#This Row],[Revenue]]&gt;35000,"Achieved","Not Achieved")</f>
        <v>Not Achieved</v>
      </c>
      <c r="P444" s="8">
        <v>5</v>
      </c>
      <c r="Q444" s="7" t="str">
        <f>IF(AND(Table15[[#This Row],[CSAT Score]]&lt;=3,Table15[[#This Row],[Revenue]]&gt;=20000),"High-Risk","Stable")</f>
        <v>Stable</v>
      </c>
      <c r="R444" s="8" t="str" cm="1">
        <f t="array" ref="R444">_xlfn.IFS(Table15[[#This Row],[Revenue]]&gt;=35000,"Platinum",Table15[[#This Row],[Revenue]]&gt;=15000,"Gold",TRUE,"Standard")</f>
        <v>Gold</v>
      </c>
      <c r="S444" s="8" t="str">
        <f>IF(OR(Table15[[#This Row],[Product]]="Wealth Management",Table15[[#This Row],[Revenue]]&gt;=40000),"Yes","No")</f>
        <v>No</v>
      </c>
    </row>
    <row r="445" spans="1:19" x14ac:dyDescent="0.3">
      <c r="A445" s="5" t="s">
        <v>503</v>
      </c>
      <c r="B445" s="6">
        <v>45944</v>
      </c>
      <c r="C445" s="7" t="s">
        <v>44</v>
      </c>
      <c r="D445" s="7" t="s">
        <v>45</v>
      </c>
      <c r="E445" s="7" t="s">
        <v>28</v>
      </c>
      <c r="F445" s="7" t="s">
        <v>29</v>
      </c>
      <c r="G445" s="7" t="s">
        <v>23</v>
      </c>
      <c r="H445" s="7" t="s">
        <v>53</v>
      </c>
      <c r="I445" s="7">
        <v>34</v>
      </c>
      <c r="J445" s="7">
        <v>8</v>
      </c>
      <c r="K445" s="20">
        <v>34515.9</v>
      </c>
      <c r="L445" s="20">
        <v>479.49</v>
      </c>
      <c r="M445" s="7">
        <v>1.0900000000000001</v>
      </c>
      <c r="N445" s="20">
        <f>Table15[[#This Row],[Processing Fee]]-Table15[[#This Row],[Discount Applied]]</f>
        <v>478.40000000000003</v>
      </c>
      <c r="O445" s="7" t="str">
        <f>IF(Table15[[#This Row],[Revenue]]&gt;35000,"Achieved","Not Achieved")</f>
        <v>Not Achieved</v>
      </c>
      <c r="P445" s="8">
        <v>2</v>
      </c>
      <c r="Q445" s="7" t="str">
        <f>IF(AND(Table15[[#This Row],[CSAT Score]]&lt;=3,Table15[[#This Row],[Revenue]]&gt;=20000),"High-Risk","Stable")</f>
        <v>High-Risk</v>
      </c>
      <c r="R445" s="8" t="str" cm="1">
        <f t="array" ref="R445">_xlfn.IFS(Table15[[#This Row],[Revenue]]&gt;=35000,"Platinum",Table15[[#This Row],[Revenue]]&gt;=15000,"Gold",TRUE,"Standard")</f>
        <v>Gold</v>
      </c>
      <c r="S445" s="8" t="str">
        <f>IF(OR(Table15[[#This Row],[Product]]="Wealth Management",Table15[[#This Row],[Revenue]]&gt;=40000),"Yes","No")</f>
        <v>No</v>
      </c>
    </row>
    <row r="446" spans="1:19" x14ac:dyDescent="0.3">
      <c r="A446" s="5" t="s">
        <v>504</v>
      </c>
      <c r="B446" s="6">
        <v>46016</v>
      </c>
      <c r="C446" s="7" t="s">
        <v>26</v>
      </c>
      <c r="D446" s="7" t="s">
        <v>63</v>
      </c>
      <c r="E446" s="7" t="s">
        <v>46</v>
      </c>
      <c r="F446" s="7" t="s">
        <v>40</v>
      </c>
      <c r="G446" s="7" t="s">
        <v>23</v>
      </c>
      <c r="H446" s="7" t="s">
        <v>57</v>
      </c>
      <c r="I446" s="7">
        <v>27</v>
      </c>
      <c r="J446" s="7">
        <v>91</v>
      </c>
      <c r="K446" s="20">
        <v>40832.29</v>
      </c>
      <c r="L446" s="20">
        <v>443.38</v>
      </c>
      <c r="M446" s="7">
        <v>7.03</v>
      </c>
      <c r="N446" s="20">
        <f>Table15[[#This Row],[Processing Fee]]-Table15[[#This Row],[Discount Applied]]</f>
        <v>436.35</v>
      </c>
      <c r="O446" s="7" t="str">
        <f>IF(Table15[[#This Row],[Revenue]]&gt;35000,"Achieved","Not Achieved")</f>
        <v>Achieved</v>
      </c>
      <c r="P446" s="8">
        <v>1</v>
      </c>
      <c r="Q446" s="7" t="str">
        <f>IF(AND(Table15[[#This Row],[CSAT Score]]&lt;=3,Table15[[#This Row],[Revenue]]&gt;=20000),"High-Risk","Stable")</f>
        <v>High-Risk</v>
      </c>
      <c r="R446" s="8" t="str" cm="1">
        <f t="array" ref="R446">_xlfn.IFS(Table15[[#This Row],[Revenue]]&gt;=35000,"Platinum",Table15[[#This Row],[Revenue]]&gt;=15000,"Gold",TRUE,"Standard")</f>
        <v>Platinum</v>
      </c>
      <c r="S446" s="8" t="str">
        <f>IF(OR(Table15[[#This Row],[Product]]="Wealth Management",Table15[[#This Row],[Revenue]]&gt;=40000),"Yes","No")</f>
        <v>Yes</v>
      </c>
    </row>
    <row r="447" spans="1:19" x14ac:dyDescent="0.3">
      <c r="A447" s="5" t="s">
        <v>505</v>
      </c>
      <c r="B447" s="6">
        <v>46126</v>
      </c>
      <c r="C447" s="7" t="s">
        <v>42</v>
      </c>
      <c r="D447" s="7" t="s">
        <v>83</v>
      </c>
      <c r="E447" s="7" t="s">
        <v>28</v>
      </c>
      <c r="F447" s="7" t="s">
        <v>69</v>
      </c>
      <c r="G447" s="7" t="s">
        <v>56</v>
      </c>
      <c r="H447" s="7" t="s">
        <v>31</v>
      </c>
      <c r="I447" s="7">
        <v>66</v>
      </c>
      <c r="J447" s="7">
        <v>54</v>
      </c>
      <c r="K447" s="20">
        <v>21160.89</v>
      </c>
      <c r="L447" s="20">
        <v>368.57</v>
      </c>
      <c r="M447" s="7">
        <v>273.54000000000002</v>
      </c>
      <c r="N447" s="20">
        <f>Table15[[#This Row],[Processing Fee]]-Table15[[#This Row],[Discount Applied]]</f>
        <v>95.029999999999973</v>
      </c>
      <c r="O447" s="7" t="str">
        <f>IF(Table15[[#This Row],[Revenue]]&gt;35000,"Achieved","Not Achieved")</f>
        <v>Not Achieved</v>
      </c>
      <c r="P447" s="8">
        <v>4</v>
      </c>
      <c r="Q447" s="7" t="str">
        <f>IF(AND(Table15[[#This Row],[CSAT Score]]&lt;=3,Table15[[#This Row],[Revenue]]&gt;=20000),"High-Risk","Stable")</f>
        <v>Stable</v>
      </c>
      <c r="R447" s="8" t="str" cm="1">
        <f t="array" ref="R447">_xlfn.IFS(Table15[[#This Row],[Revenue]]&gt;=35000,"Platinum",Table15[[#This Row],[Revenue]]&gt;=15000,"Gold",TRUE,"Standard")</f>
        <v>Gold</v>
      </c>
      <c r="S447" s="8" t="str">
        <f>IF(OR(Table15[[#This Row],[Product]]="Wealth Management",Table15[[#This Row],[Revenue]]&gt;=40000),"Yes","No")</f>
        <v>No</v>
      </c>
    </row>
    <row r="448" spans="1:19" x14ac:dyDescent="0.3">
      <c r="A448" s="5" t="s">
        <v>506</v>
      </c>
      <c r="B448" s="6">
        <v>46232</v>
      </c>
      <c r="C448" s="7" t="s">
        <v>42</v>
      </c>
      <c r="D448" s="7" t="s">
        <v>61</v>
      </c>
      <c r="E448" s="7" t="s">
        <v>39</v>
      </c>
      <c r="F448" s="7" t="s">
        <v>69</v>
      </c>
      <c r="G448" s="7" t="s">
        <v>56</v>
      </c>
      <c r="H448" s="7" t="s">
        <v>31</v>
      </c>
      <c r="I448" s="7">
        <v>52</v>
      </c>
      <c r="J448" s="7">
        <v>2</v>
      </c>
      <c r="K448" s="20">
        <v>15828.61</v>
      </c>
      <c r="L448" s="20">
        <v>371.14</v>
      </c>
      <c r="M448" s="7">
        <v>232.6</v>
      </c>
      <c r="N448" s="20">
        <f>Table15[[#This Row],[Processing Fee]]-Table15[[#This Row],[Discount Applied]]</f>
        <v>138.54</v>
      </c>
      <c r="O448" s="7" t="str">
        <f>IF(Table15[[#This Row],[Revenue]]&gt;35000,"Achieved","Not Achieved")</f>
        <v>Not Achieved</v>
      </c>
      <c r="P448" s="8">
        <v>3</v>
      </c>
      <c r="Q448" s="7" t="str">
        <f>IF(AND(Table15[[#This Row],[CSAT Score]]&lt;=3,Table15[[#This Row],[Revenue]]&gt;=20000),"High-Risk","Stable")</f>
        <v>Stable</v>
      </c>
      <c r="R448" s="8" t="str" cm="1">
        <f t="array" ref="R448">_xlfn.IFS(Table15[[#This Row],[Revenue]]&gt;=35000,"Platinum",Table15[[#This Row],[Revenue]]&gt;=15000,"Gold",TRUE,"Standard")</f>
        <v>Gold</v>
      </c>
      <c r="S448" s="8" t="str">
        <f>IF(OR(Table15[[#This Row],[Product]]="Wealth Management",Table15[[#This Row],[Revenue]]&gt;=40000),"Yes","No")</f>
        <v>No</v>
      </c>
    </row>
    <row r="449" spans="1:19" x14ac:dyDescent="0.3">
      <c r="A449" s="5" t="s">
        <v>507</v>
      </c>
      <c r="B449" s="6">
        <v>46225</v>
      </c>
      <c r="C449" s="7" t="s">
        <v>75</v>
      </c>
      <c r="D449" s="7" t="s">
        <v>77</v>
      </c>
      <c r="E449" s="7" t="s">
        <v>39</v>
      </c>
      <c r="F449" s="7" t="s">
        <v>22</v>
      </c>
      <c r="G449" s="7" t="s">
        <v>23</v>
      </c>
      <c r="H449" s="7" t="s">
        <v>24</v>
      </c>
      <c r="I449" s="7">
        <v>35</v>
      </c>
      <c r="J449" s="7">
        <v>81</v>
      </c>
      <c r="K449" s="20">
        <v>46922.38</v>
      </c>
      <c r="L449" s="20">
        <v>163.58000000000001</v>
      </c>
      <c r="M449" s="7">
        <v>90.14</v>
      </c>
      <c r="N449" s="20">
        <f>Table15[[#This Row],[Processing Fee]]-Table15[[#This Row],[Discount Applied]]</f>
        <v>73.440000000000012</v>
      </c>
      <c r="O449" s="7" t="str">
        <f>IF(Table15[[#This Row],[Revenue]]&gt;35000,"Achieved","Not Achieved")</f>
        <v>Achieved</v>
      </c>
      <c r="P449" s="8">
        <v>4</v>
      </c>
      <c r="Q449" s="7" t="str">
        <f>IF(AND(Table15[[#This Row],[CSAT Score]]&lt;=3,Table15[[#This Row],[Revenue]]&gt;=20000),"High-Risk","Stable")</f>
        <v>Stable</v>
      </c>
      <c r="R449" s="8" t="str" cm="1">
        <f t="array" ref="R449">_xlfn.IFS(Table15[[#This Row],[Revenue]]&gt;=35000,"Platinum",Table15[[#This Row],[Revenue]]&gt;=15000,"Gold",TRUE,"Standard")</f>
        <v>Platinum</v>
      </c>
      <c r="S449" s="8" t="str">
        <f>IF(OR(Table15[[#This Row],[Product]]="Wealth Management",Table15[[#This Row],[Revenue]]&gt;=40000),"Yes","No")</f>
        <v>Yes</v>
      </c>
    </row>
    <row r="450" spans="1:19" x14ac:dyDescent="0.3">
      <c r="A450" s="5" t="s">
        <v>508</v>
      </c>
      <c r="B450" s="6">
        <v>46208</v>
      </c>
      <c r="C450" s="7" t="s">
        <v>19</v>
      </c>
      <c r="D450" s="7" t="s">
        <v>61</v>
      </c>
      <c r="E450" s="7" t="s">
        <v>39</v>
      </c>
      <c r="F450" s="7" t="s">
        <v>35</v>
      </c>
      <c r="G450" s="7" t="s">
        <v>65</v>
      </c>
      <c r="H450" s="7" t="s">
        <v>57</v>
      </c>
      <c r="I450" s="7">
        <v>64</v>
      </c>
      <c r="J450" s="7">
        <v>101</v>
      </c>
      <c r="K450" s="20">
        <v>34018.68</v>
      </c>
      <c r="L450" s="20">
        <v>345.57</v>
      </c>
      <c r="M450" s="7">
        <v>150.72</v>
      </c>
      <c r="N450" s="20">
        <f>Table15[[#This Row],[Processing Fee]]-Table15[[#This Row],[Discount Applied]]</f>
        <v>194.85</v>
      </c>
      <c r="O450" s="7" t="str">
        <f>IF(Table15[[#This Row],[Revenue]]&gt;35000,"Achieved","Not Achieved")</f>
        <v>Not Achieved</v>
      </c>
      <c r="P450" s="8">
        <v>2</v>
      </c>
      <c r="Q450" s="7" t="str">
        <f>IF(AND(Table15[[#This Row],[CSAT Score]]&lt;=3,Table15[[#This Row],[Revenue]]&gt;=20000),"High-Risk","Stable")</f>
        <v>High-Risk</v>
      </c>
      <c r="R450" s="8" t="str" cm="1">
        <f t="array" ref="R450">_xlfn.IFS(Table15[[#This Row],[Revenue]]&gt;=35000,"Platinum",Table15[[#This Row],[Revenue]]&gt;=15000,"Gold",TRUE,"Standard")</f>
        <v>Gold</v>
      </c>
      <c r="S450" s="8" t="str">
        <f>IF(OR(Table15[[#This Row],[Product]]="Wealth Management",Table15[[#This Row],[Revenue]]&gt;=40000),"Yes","No")</f>
        <v>No</v>
      </c>
    </row>
    <row r="451" spans="1:19" x14ac:dyDescent="0.3">
      <c r="A451" s="5" t="s">
        <v>509</v>
      </c>
      <c r="B451" s="6">
        <v>45983</v>
      </c>
      <c r="C451" s="7" t="s">
        <v>75</v>
      </c>
      <c r="D451" s="7" t="s">
        <v>48</v>
      </c>
      <c r="E451" s="7" t="s">
        <v>59</v>
      </c>
      <c r="F451" s="7" t="s">
        <v>40</v>
      </c>
      <c r="G451" s="7" t="s">
        <v>36</v>
      </c>
      <c r="H451" s="7" t="s">
        <v>53</v>
      </c>
      <c r="I451" s="7">
        <v>37</v>
      </c>
      <c r="J451" s="7">
        <v>78</v>
      </c>
      <c r="K451" s="20">
        <v>6391.55</v>
      </c>
      <c r="L451" s="20">
        <v>139.19</v>
      </c>
      <c r="M451" s="7">
        <v>191.13</v>
      </c>
      <c r="N451" s="20">
        <f>Table15[[#This Row],[Processing Fee]]-Table15[[#This Row],[Discount Applied]]</f>
        <v>-51.94</v>
      </c>
      <c r="O451" s="7" t="str">
        <f>IF(Table15[[#This Row],[Revenue]]&gt;35000,"Achieved","Not Achieved")</f>
        <v>Not Achieved</v>
      </c>
      <c r="P451" s="8">
        <v>1</v>
      </c>
      <c r="Q451" s="7" t="str">
        <f>IF(AND(Table15[[#This Row],[CSAT Score]]&lt;=3,Table15[[#This Row],[Revenue]]&gt;=20000),"High-Risk","Stable")</f>
        <v>Stable</v>
      </c>
      <c r="R451" s="8" t="str" cm="1">
        <f t="array" ref="R451">_xlfn.IFS(Table15[[#This Row],[Revenue]]&gt;=35000,"Platinum",Table15[[#This Row],[Revenue]]&gt;=15000,"Gold",TRUE,"Standard")</f>
        <v>Standard</v>
      </c>
      <c r="S451" s="8" t="str">
        <f>IF(OR(Table15[[#This Row],[Product]]="Wealth Management",Table15[[#This Row],[Revenue]]&gt;=40000),"Yes","No")</f>
        <v>No</v>
      </c>
    </row>
    <row r="452" spans="1:19" x14ac:dyDescent="0.3">
      <c r="A452" s="5" t="s">
        <v>510</v>
      </c>
      <c r="B452" s="6">
        <v>46024</v>
      </c>
      <c r="C452" s="7" t="s">
        <v>75</v>
      </c>
      <c r="D452" s="7" t="s">
        <v>38</v>
      </c>
      <c r="E452" s="7" t="s">
        <v>46</v>
      </c>
      <c r="F452" s="7" t="s">
        <v>40</v>
      </c>
      <c r="G452" s="7" t="s">
        <v>36</v>
      </c>
      <c r="H452" s="7" t="s">
        <v>31</v>
      </c>
      <c r="I452" s="7">
        <v>61</v>
      </c>
      <c r="J452" s="7">
        <v>89</v>
      </c>
      <c r="K452" s="20">
        <v>3911.93</v>
      </c>
      <c r="L452" s="20">
        <v>114.8</v>
      </c>
      <c r="M452" s="7">
        <v>231.63</v>
      </c>
      <c r="N452" s="20">
        <f>Table15[[#This Row],[Processing Fee]]-Table15[[#This Row],[Discount Applied]]</f>
        <v>-116.83</v>
      </c>
      <c r="O452" s="7" t="str">
        <f>IF(Table15[[#This Row],[Revenue]]&gt;35000,"Achieved","Not Achieved")</f>
        <v>Not Achieved</v>
      </c>
      <c r="P452" s="8">
        <v>2</v>
      </c>
      <c r="Q452" s="7" t="str">
        <f>IF(AND(Table15[[#This Row],[CSAT Score]]&lt;=3,Table15[[#This Row],[Revenue]]&gt;=20000),"High-Risk","Stable")</f>
        <v>Stable</v>
      </c>
      <c r="R452" s="8" t="str" cm="1">
        <f t="array" ref="R452">_xlfn.IFS(Table15[[#This Row],[Revenue]]&gt;=35000,"Platinum",Table15[[#This Row],[Revenue]]&gt;=15000,"Gold",TRUE,"Standard")</f>
        <v>Standard</v>
      </c>
      <c r="S452" s="8" t="str">
        <f>IF(OR(Table15[[#This Row],[Product]]="Wealth Management",Table15[[#This Row],[Revenue]]&gt;=40000),"Yes","No")</f>
        <v>No</v>
      </c>
    </row>
    <row r="453" spans="1:19" x14ac:dyDescent="0.3">
      <c r="A453" s="5" t="s">
        <v>511</v>
      </c>
      <c r="B453" s="6">
        <v>46216</v>
      </c>
      <c r="C453" s="7" t="s">
        <v>75</v>
      </c>
      <c r="D453" s="7" t="s">
        <v>50</v>
      </c>
      <c r="E453" s="7" t="s">
        <v>39</v>
      </c>
      <c r="F453" s="7" t="s">
        <v>40</v>
      </c>
      <c r="G453" s="7" t="s">
        <v>23</v>
      </c>
      <c r="H453" s="7" t="s">
        <v>53</v>
      </c>
      <c r="I453" s="7">
        <v>74</v>
      </c>
      <c r="J453" s="7">
        <v>56</v>
      </c>
      <c r="K453" s="20">
        <v>24435.72</v>
      </c>
      <c r="L453" s="20">
        <v>499.76</v>
      </c>
      <c r="M453" s="7">
        <v>168.47</v>
      </c>
      <c r="N453" s="20">
        <f>Table15[[#This Row],[Processing Fee]]-Table15[[#This Row],[Discount Applied]]</f>
        <v>331.28999999999996</v>
      </c>
      <c r="O453" s="7" t="str">
        <f>IF(Table15[[#This Row],[Revenue]]&gt;35000,"Achieved","Not Achieved")</f>
        <v>Not Achieved</v>
      </c>
      <c r="P453" s="8">
        <v>3</v>
      </c>
      <c r="Q453" s="7" t="str">
        <f>IF(AND(Table15[[#This Row],[CSAT Score]]&lt;=3,Table15[[#This Row],[Revenue]]&gt;=20000),"High-Risk","Stable")</f>
        <v>High-Risk</v>
      </c>
      <c r="R453" s="8" t="str" cm="1">
        <f t="array" ref="R453">_xlfn.IFS(Table15[[#This Row],[Revenue]]&gt;=35000,"Platinum",Table15[[#This Row],[Revenue]]&gt;=15000,"Gold",TRUE,"Standard")</f>
        <v>Gold</v>
      </c>
      <c r="S453" s="8" t="str">
        <f>IF(OR(Table15[[#This Row],[Product]]="Wealth Management",Table15[[#This Row],[Revenue]]&gt;=40000),"Yes","No")</f>
        <v>No</v>
      </c>
    </row>
    <row r="454" spans="1:19" x14ac:dyDescent="0.3">
      <c r="A454" s="5" t="s">
        <v>512</v>
      </c>
      <c r="B454" s="6">
        <v>45983</v>
      </c>
      <c r="C454" s="7" t="s">
        <v>75</v>
      </c>
      <c r="D454" s="7" t="s">
        <v>77</v>
      </c>
      <c r="E454" s="7" t="s">
        <v>59</v>
      </c>
      <c r="F454" s="7" t="s">
        <v>69</v>
      </c>
      <c r="G454" s="7" t="s">
        <v>23</v>
      </c>
      <c r="H454" s="7" t="s">
        <v>24</v>
      </c>
      <c r="I454" s="7">
        <v>67</v>
      </c>
      <c r="J454" s="7">
        <v>94</v>
      </c>
      <c r="K454" s="20">
        <v>11394.46</v>
      </c>
      <c r="L454" s="20">
        <v>330.07</v>
      </c>
      <c r="M454" s="7">
        <v>152.12</v>
      </c>
      <c r="N454" s="20">
        <f>Table15[[#This Row],[Processing Fee]]-Table15[[#This Row],[Discount Applied]]</f>
        <v>177.95</v>
      </c>
      <c r="O454" s="7" t="str">
        <f>IF(Table15[[#This Row],[Revenue]]&gt;35000,"Achieved","Not Achieved")</f>
        <v>Not Achieved</v>
      </c>
      <c r="P454" s="8">
        <v>3</v>
      </c>
      <c r="Q454" s="7" t="str">
        <f>IF(AND(Table15[[#This Row],[CSAT Score]]&lt;=3,Table15[[#This Row],[Revenue]]&gt;=20000),"High-Risk","Stable")</f>
        <v>Stable</v>
      </c>
      <c r="R454" s="8" t="str" cm="1">
        <f t="array" ref="R454">_xlfn.IFS(Table15[[#This Row],[Revenue]]&gt;=35000,"Platinum",Table15[[#This Row],[Revenue]]&gt;=15000,"Gold",TRUE,"Standard")</f>
        <v>Standard</v>
      </c>
      <c r="S454" s="8" t="str">
        <f>IF(OR(Table15[[#This Row],[Product]]="Wealth Management",Table15[[#This Row],[Revenue]]&gt;=40000),"Yes","No")</f>
        <v>No</v>
      </c>
    </row>
    <row r="455" spans="1:19" x14ac:dyDescent="0.3">
      <c r="A455" s="5" t="s">
        <v>513</v>
      </c>
      <c r="B455" s="6">
        <v>46111</v>
      </c>
      <c r="C455" s="7" t="s">
        <v>75</v>
      </c>
      <c r="D455" s="7" t="s">
        <v>38</v>
      </c>
      <c r="E455" s="7" t="s">
        <v>46</v>
      </c>
      <c r="F455" s="7" t="s">
        <v>35</v>
      </c>
      <c r="G455" s="7" t="s">
        <v>23</v>
      </c>
      <c r="H455" s="7" t="s">
        <v>57</v>
      </c>
      <c r="I455" s="7">
        <v>64</v>
      </c>
      <c r="J455" s="7">
        <v>93</v>
      </c>
      <c r="K455" s="20">
        <v>13072.25</v>
      </c>
      <c r="L455" s="20">
        <v>243.94</v>
      </c>
      <c r="M455" s="7">
        <v>33.64</v>
      </c>
      <c r="N455" s="20">
        <f>Table15[[#This Row],[Processing Fee]]-Table15[[#This Row],[Discount Applied]]</f>
        <v>210.3</v>
      </c>
      <c r="O455" s="7" t="str">
        <f>IF(Table15[[#This Row],[Revenue]]&gt;35000,"Achieved","Not Achieved")</f>
        <v>Not Achieved</v>
      </c>
      <c r="P455" s="8">
        <v>1</v>
      </c>
      <c r="Q455" s="7" t="str">
        <f>IF(AND(Table15[[#This Row],[CSAT Score]]&lt;=3,Table15[[#This Row],[Revenue]]&gt;=20000),"High-Risk","Stable")</f>
        <v>Stable</v>
      </c>
      <c r="R455" s="8" t="str" cm="1">
        <f t="array" ref="R455">_xlfn.IFS(Table15[[#This Row],[Revenue]]&gt;=35000,"Platinum",Table15[[#This Row],[Revenue]]&gt;=15000,"Gold",TRUE,"Standard")</f>
        <v>Standard</v>
      </c>
      <c r="S455" s="8" t="str">
        <f>IF(OR(Table15[[#This Row],[Product]]="Wealth Management",Table15[[#This Row],[Revenue]]&gt;=40000),"Yes","No")</f>
        <v>No</v>
      </c>
    </row>
    <row r="456" spans="1:19" x14ac:dyDescent="0.3">
      <c r="A456" s="5" t="s">
        <v>514</v>
      </c>
      <c r="B456" s="6">
        <v>46003</v>
      </c>
      <c r="C456" s="7" t="s">
        <v>33</v>
      </c>
      <c r="D456" s="7" t="s">
        <v>68</v>
      </c>
      <c r="E456" s="7" t="s">
        <v>28</v>
      </c>
      <c r="F456" s="7" t="s">
        <v>22</v>
      </c>
      <c r="G456" s="7" t="s">
        <v>65</v>
      </c>
      <c r="H456" s="7" t="s">
        <v>57</v>
      </c>
      <c r="I456" s="7">
        <v>54</v>
      </c>
      <c r="J456" s="7">
        <v>84</v>
      </c>
      <c r="K456" s="20">
        <v>43945.760000000002</v>
      </c>
      <c r="L456" s="20">
        <v>179.67</v>
      </c>
      <c r="M456" s="7">
        <v>166.71</v>
      </c>
      <c r="N456" s="20">
        <f>Table15[[#This Row],[Processing Fee]]-Table15[[#This Row],[Discount Applied]]</f>
        <v>12.95999999999998</v>
      </c>
      <c r="O456" s="7" t="str">
        <f>IF(Table15[[#This Row],[Revenue]]&gt;35000,"Achieved","Not Achieved")</f>
        <v>Achieved</v>
      </c>
      <c r="P456" s="8">
        <v>5</v>
      </c>
      <c r="Q456" s="7" t="str">
        <f>IF(AND(Table15[[#This Row],[CSAT Score]]&lt;=3,Table15[[#This Row],[Revenue]]&gt;=20000),"High-Risk","Stable")</f>
        <v>Stable</v>
      </c>
      <c r="R456" s="8" t="str" cm="1">
        <f t="array" ref="R456">_xlfn.IFS(Table15[[#This Row],[Revenue]]&gt;=35000,"Platinum",Table15[[#This Row],[Revenue]]&gt;=15000,"Gold",TRUE,"Standard")</f>
        <v>Platinum</v>
      </c>
      <c r="S456" s="8" t="str">
        <f>IF(OR(Table15[[#This Row],[Product]]="Wealth Management",Table15[[#This Row],[Revenue]]&gt;=40000),"Yes","No")</f>
        <v>Yes</v>
      </c>
    </row>
    <row r="457" spans="1:19" x14ac:dyDescent="0.3">
      <c r="A457" s="5" t="s">
        <v>515</v>
      </c>
      <c r="B457" s="6">
        <v>46169</v>
      </c>
      <c r="C457" s="7" t="s">
        <v>42</v>
      </c>
      <c r="D457" s="7" t="s">
        <v>79</v>
      </c>
      <c r="E457" s="7" t="s">
        <v>59</v>
      </c>
      <c r="F457" s="7" t="s">
        <v>29</v>
      </c>
      <c r="G457" s="7" t="s">
        <v>56</v>
      </c>
      <c r="H457" s="7" t="s">
        <v>31</v>
      </c>
      <c r="I457" s="7">
        <v>25</v>
      </c>
      <c r="J457" s="7">
        <v>85</v>
      </c>
      <c r="K457" s="20">
        <v>4933.5200000000004</v>
      </c>
      <c r="L457" s="20">
        <v>321.76</v>
      </c>
      <c r="M457" s="7">
        <v>58.53</v>
      </c>
      <c r="N457" s="20">
        <f>Table15[[#This Row],[Processing Fee]]-Table15[[#This Row],[Discount Applied]]</f>
        <v>263.23</v>
      </c>
      <c r="O457" s="7" t="str">
        <f>IF(Table15[[#This Row],[Revenue]]&gt;35000,"Achieved","Not Achieved")</f>
        <v>Not Achieved</v>
      </c>
      <c r="P457" s="8">
        <v>4</v>
      </c>
      <c r="Q457" s="7" t="str">
        <f>IF(AND(Table15[[#This Row],[CSAT Score]]&lt;=3,Table15[[#This Row],[Revenue]]&gt;=20000),"High-Risk","Stable")</f>
        <v>Stable</v>
      </c>
      <c r="R457" s="8" t="str" cm="1">
        <f t="array" ref="R457">_xlfn.IFS(Table15[[#This Row],[Revenue]]&gt;=35000,"Platinum",Table15[[#This Row],[Revenue]]&gt;=15000,"Gold",TRUE,"Standard")</f>
        <v>Standard</v>
      </c>
      <c r="S457" s="8" t="str">
        <f>IF(OR(Table15[[#This Row],[Product]]="Wealth Management",Table15[[#This Row],[Revenue]]&gt;=40000),"Yes","No")</f>
        <v>No</v>
      </c>
    </row>
    <row r="458" spans="1:19" x14ac:dyDescent="0.3">
      <c r="A458" s="5" t="s">
        <v>516</v>
      </c>
      <c r="B458" s="6">
        <v>45957</v>
      </c>
      <c r="C458" s="7" t="s">
        <v>75</v>
      </c>
      <c r="D458" s="7" t="s">
        <v>79</v>
      </c>
      <c r="E458" s="7" t="s">
        <v>21</v>
      </c>
      <c r="F458" s="7" t="s">
        <v>29</v>
      </c>
      <c r="G458" s="7" t="s">
        <v>23</v>
      </c>
      <c r="H458" s="7" t="s">
        <v>57</v>
      </c>
      <c r="I458" s="7">
        <v>65</v>
      </c>
      <c r="J458" s="7">
        <v>61</v>
      </c>
      <c r="K458" s="20">
        <v>35910.519999999997</v>
      </c>
      <c r="L458" s="20">
        <v>72.319999999999993</v>
      </c>
      <c r="M458" s="7">
        <v>178.52</v>
      </c>
      <c r="N458" s="20">
        <f>Table15[[#This Row],[Processing Fee]]-Table15[[#This Row],[Discount Applied]]</f>
        <v>-106.20000000000002</v>
      </c>
      <c r="O458" s="7" t="str">
        <f>IF(Table15[[#This Row],[Revenue]]&gt;35000,"Achieved","Not Achieved")</f>
        <v>Achieved</v>
      </c>
      <c r="P458" s="8">
        <v>4</v>
      </c>
      <c r="Q458" s="7" t="str">
        <f>IF(AND(Table15[[#This Row],[CSAT Score]]&lt;=3,Table15[[#This Row],[Revenue]]&gt;=20000),"High-Risk","Stable")</f>
        <v>Stable</v>
      </c>
      <c r="R458" s="8" t="str" cm="1">
        <f t="array" ref="R458">_xlfn.IFS(Table15[[#This Row],[Revenue]]&gt;=35000,"Platinum",Table15[[#This Row],[Revenue]]&gt;=15000,"Gold",TRUE,"Standard")</f>
        <v>Platinum</v>
      </c>
      <c r="S458" s="8" t="str">
        <f>IF(OR(Table15[[#This Row],[Product]]="Wealth Management",Table15[[#This Row],[Revenue]]&gt;=40000),"Yes","No")</f>
        <v>No</v>
      </c>
    </row>
    <row r="459" spans="1:19" x14ac:dyDescent="0.3">
      <c r="A459" s="5" t="s">
        <v>517</v>
      </c>
      <c r="B459" s="6">
        <v>45933</v>
      </c>
      <c r="C459" s="7" t="s">
        <v>44</v>
      </c>
      <c r="D459" s="7" t="s">
        <v>87</v>
      </c>
      <c r="E459" s="7" t="s">
        <v>59</v>
      </c>
      <c r="F459" s="7" t="s">
        <v>40</v>
      </c>
      <c r="G459" s="7" t="s">
        <v>23</v>
      </c>
      <c r="H459" s="7" t="s">
        <v>31</v>
      </c>
      <c r="I459" s="7">
        <v>47</v>
      </c>
      <c r="J459" s="7">
        <v>117</v>
      </c>
      <c r="K459" s="20">
        <v>13921.54</v>
      </c>
      <c r="L459" s="20">
        <v>92.61</v>
      </c>
      <c r="M459" s="7">
        <v>137.6</v>
      </c>
      <c r="N459" s="20">
        <f>Table15[[#This Row],[Processing Fee]]-Table15[[#This Row],[Discount Applied]]</f>
        <v>-44.989999999999995</v>
      </c>
      <c r="O459" s="7" t="str">
        <f>IF(Table15[[#This Row],[Revenue]]&gt;35000,"Achieved","Not Achieved")</f>
        <v>Not Achieved</v>
      </c>
      <c r="P459" s="8">
        <v>3</v>
      </c>
      <c r="Q459" s="7" t="str">
        <f>IF(AND(Table15[[#This Row],[CSAT Score]]&lt;=3,Table15[[#This Row],[Revenue]]&gt;=20000),"High-Risk","Stable")</f>
        <v>Stable</v>
      </c>
      <c r="R459" s="8" t="str" cm="1">
        <f t="array" ref="R459">_xlfn.IFS(Table15[[#This Row],[Revenue]]&gt;=35000,"Platinum",Table15[[#This Row],[Revenue]]&gt;=15000,"Gold",TRUE,"Standard")</f>
        <v>Standard</v>
      </c>
      <c r="S459" s="8" t="str">
        <f>IF(OR(Table15[[#This Row],[Product]]="Wealth Management",Table15[[#This Row],[Revenue]]&gt;=40000),"Yes","No")</f>
        <v>No</v>
      </c>
    </row>
    <row r="460" spans="1:19" x14ac:dyDescent="0.3">
      <c r="A460" s="5" t="s">
        <v>518</v>
      </c>
      <c r="B460" s="6">
        <v>46080</v>
      </c>
      <c r="C460" s="7" t="s">
        <v>42</v>
      </c>
      <c r="D460" s="7" t="s">
        <v>79</v>
      </c>
      <c r="E460" s="7" t="s">
        <v>59</v>
      </c>
      <c r="F460" s="7" t="s">
        <v>35</v>
      </c>
      <c r="G460" s="7" t="s">
        <v>30</v>
      </c>
      <c r="H460" s="7" t="s">
        <v>24</v>
      </c>
      <c r="I460" s="7">
        <v>72</v>
      </c>
      <c r="J460" s="7">
        <v>22</v>
      </c>
      <c r="K460" s="20">
        <v>38136.25</v>
      </c>
      <c r="L460" s="20">
        <v>64.790000000000006</v>
      </c>
      <c r="M460" s="7">
        <v>135.4</v>
      </c>
      <c r="N460" s="20">
        <f>Table15[[#This Row],[Processing Fee]]-Table15[[#This Row],[Discount Applied]]</f>
        <v>-70.61</v>
      </c>
      <c r="O460" s="7" t="str">
        <f>IF(Table15[[#This Row],[Revenue]]&gt;35000,"Achieved","Not Achieved")</f>
        <v>Achieved</v>
      </c>
      <c r="P460" s="8">
        <v>2</v>
      </c>
      <c r="Q460" s="7" t="str">
        <f>IF(AND(Table15[[#This Row],[CSAT Score]]&lt;=3,Table15[[#This Row],[Revenue]]&gt;=20000),"High-Risk","Stable")</f>
        <v>High-Risk</v>
      </c>
      <c r="R460" s="8" t="str" cm="1">
        <f t="array" ref="R460">_xlfn.IFS(Table15[[#This Row],[Revenue]]&gt;=35000,"Platinum",Table15[[#This Row],[Revenue]]&gt;=15000,"Gold",TRUE,"Standard")</f>
        <v>Platinum</v>
      </c>
      <c r="S460" s="8" t="str">
        <f>IF(OR(Table15[[#This Row],[Product]]="Wealth Management",Table15[[#This Row],[Revenue]]&gt;=40000),"Yes","No")</f>
        <v>No</v>
      </c>
    </row>
    <row r="461" spans="1:19" x14ac:dyDescent="0.3">
      <c r="A461" s="5" t="s">
        <v>519</v>
      </c>
      <c r="B461" s="6">
        <v>46086</v>
      </c>
      <c r="C461" s="7" t="s">
        <v>42</v>
      </c>
      <c r="D461" s="7" t="s">
        <v>61</v>
      </c>
      <c r="E461" s="7" t="s">
        <v>46</v>
      </c>
      <c r="F461" s="7" t="s">
        <v>69</v>
      </c>
      <c r="G461" s="7" t="s">
        <v>65</v>
      </c>
      <c r="H461" s="7" t="s">
        <v>57</v>
      </c>
      <c r="I461" s="7">
        <v>43</v>
      </c>
      <c r="J461" s="7">
        <v>35</v>
      </c>
      <c r="K461" s="20">
        <v>36259.360000000001</v>
      </c>
      <c r="L461" s="20">
        <v>274.63</v>
      </c>
      <c r="M461" s="7">
        <v>99.45</v>
      </c>
      <c r="N461" s="20">
        <f>Table15[[#This Row],[Processing Fee]]-Table15[[#This Row],[Discount Applied]]</f>
        <v>175.18</v>
      </c>
      <c r="O461" s="7" t="str">
        <f>IF(Table15[[#This Row],[Revenue]]&gt;35000,"Achieved","Not Achieved")</f>
        <v>Achieved</v>
      </c>
      <c r="P461" s="8">
        <v>2</v>
      </c>
      <c r="Q461" s="7" t="str">
        <f>IF(AND(Table15[[#This Row],[CSAT Score]]&lt;=3,Table15[[#This Row],[Revenue]]&gt;=20000),"High-Risk","Stable")</f>
        <v>High-Risk</v>
      </c>
      <c r="R461" s="8" t="str" cm="1">
        <f t="array" ref="R461">_xlfn.IFS(Table15[[#This Row],[Revenue]]&gt;=35000,"Platinum",Table15[[#This Row],[Revenue]]&gt;=15000,"Gold",TRUE,"Standard")</f>
        <v>Platinum</v>
      </c>
      <c r="S461" s="8" t="str">
        <f>IF(OR(Table15[[#This Row],[Product]]="Wealth Management",Table15[[#This Row],[Revenue]]&gt;=40000),"Yes","No")</f>
        <v>No</v>
      </c>
    </row>
    <row r="462" spans="1:19" x14ac:dyDescent="0.3">
      <c r="A462" s="5" t="s">
        <v>520</v>
      </c>
      <c r="B462" s="6">
        <v>45918</v>
      </c>
      <c r="C462" s="7" t="s">
        <v>55</v>
      </c>
      <c r="D462" s="7" t="s">
        <v>63</v>
      </c>
      <c r="E462" s="7" t="s">
        <v>28</v>
      </c>
      <c r="F462" s="7" t="s">
        <v>35</v>
      </c>
      <c r="G462" s="7" t="s">
        <v>23</v>
      </c>
      <c r="H462" s="7" t="s">
        <v>31</v>
      </c>
      <c r="I462" s="7">
        <v>60</v>
      </c>
      <c r="J462" s="7">
        <v>101</v>
      </c>
      <c r="K462" s="20">
        <v>865.9</v>
      </c>
      <c r="L462" s="20">
        <v>320.27</v>
      </c>
      <c r="M462" s="7">
        <v>28.2</v>
      </c>
      <c r="N462" s="20">
        <f>Table15[[#This Row],[Processing Fee]]-Table15[[#This Row],[Discount Applied]]</f>
        <v>292.07</v>
      </c>
      <c r="O462" s="7" t="str">
        <f>IF(Table15[[#This Row],[Revenue]]&gt;35000,"Achieved","Not Achieved")</f>
        <v>Not Achieved</v>
      </c>
      <c r="P462" s="8">
        <v>5</v>
      </c>
      <c r="Q462" s="7" t="str">
        <f>IF(AND(Table15[[#This Row],[CSAT Score]]&lt;=3,Table15[[#This Row],[Revenue]]&gt;=20000),"High-Risk","Stable")</f>
        <v>Stable</v>
      </c>
      <c r="R462" s="8" t="str" cm="1">
        <f t="array" ref="R462">_xlfn.IFS(Table15[[#This Row],[Revenue]]&gt;=35000,"Platinum",Table15[[#This Row],[Revenue]]&gt;=15000,"Gold",TRUE,"Standard")</f>
        <v>Standard</v>
      </c>
      <c r="S462" s="8" t="str">
        <f>IF(OR(Table15[[#This Row],[Product]]="Wealth Management",Table15[[#This Row],[Revenue]]&gt;=40000),"Yes","No")</f>
        <v>No</v>
      </c>
    </row>
    <row r="463" spans="1:19" x14ac:dyDescent="0.3">
      <c r="A463" s="5" t="s">
        <v>521</v>
      </c>
      <c r="B463" s="6">
        <v>46180</v>
      </c>
      <c r="C463" s="7" t="s">
        <v>33</v>
      </c>
      <c r="D463" s="7" t="s">
        <v>50</v>
      </c>
      <c r="E463" s="7" t="s">
        <v>21</v>
      </c>
      <c r="F463" s="7" t="s">
        <v>35</v>
      </c>
      <c r="G463" s="7" t="s">
        <v>30</v>
      </c>
      <c r="H463" s="7" t="s">
        <v>53</v>
      </c>
      <c r="I463" s="7">
        <v>34</v>
      </c>
      <c r="J463" s="7">
        <v>16</v>
      </c>
      <c r="K463" s="20">
        <v>25702.2</v>
      </c>
      <c r="L463" s="20">
        <v>78.12</v>
      </c>
      <c r="M463" s="7">
        <v>58.14</v>
      </c>
      <c r="N463" s="20">
        <f>Table15[[#This Row],[Processing Fee]]-Table15[[#This Row],[Discount Applied]]</f>
        <v>19.980000000000004</v>
      </c>
      <c r="O463" s="7" t="str">
        <f>IF(Table15[[#This Row],[Revenue]]&gt;35000,"Achieved","Not Achieved")</f>
        <v>Not Achieved</v>
      </c>
      <c r="P463" s="8">
        <v>2</v>
      </c>
      <c r="Q463" s="7" t="str">
        <f>IF(AND(Table15[[#This Row],[CSAT Score]]&lt;=3,Table15[[#This Row],[Revenue]]&gt;=20000),"High-Risk","Stable")</f>
        <v>High-Risk</v>
      </c>
      <c r="R463" s="8" t="str" cm="1">
        <f t="array" ref="R463">_xlfn.IFS(Table15[[#This Row],[Revenue]]&gt;=35000,"Platinum",Table15[[#This Row],[Revenue]]&gt;=15000,"Gold",TRUE,"Standard")</f>
        <v>Gold</v>
      </c>
      <c r="S463" s="8" t="str">
        <f>IF(OR(Table15[[#This Row],[Product]]="Wealth Management",Table15[[#This Row],[Revenue]]&gt;=40000),"Yes","No")</f>
        <v>No</v>
      </c>
    </row>
    <row r="464" spans="1:19" x14ac:dyDescent="0.3">
      <c r="A464" s="5" t="s">
        <v>522</v>
      </c>
      <c r="B464" s="6">
        <v>46057</v>
      </c>
      <c r="C464" s="7" t="s">
        <v>75</v>
      </c>
      <c r="D464" s="7" t="s">
        <v>20</v>
      </c>
      <c r="E464" s="7" t="s">
        <v>39</v>
      </c>
      <c r="F464" s="7" t="s">
        <v>69</v>
      </c>
      <c r="G464" s="7" t="s">
        <v>36</v>
      </c>
      <c r="H464" s="7" t="s">
        <v>31</v>
      </c>
      <c r="I464" s="7">
        <v>35</v>
      </c>
      <c r="J464" s="7">
        <v>50</v>
      </c>
      <c r="K464" s="20">
        <v>7396.31</v>
      </c>
      <c r="L464" s="20">
        <v>374.55</v>
      </c>
      <c r="M464" s="7">
        <v>295.12</v>
      </c>
      <c r="N464" s="20">
        <f>Table15[[#This Row],[Processing Fee]]-Table15[[#This Row],[Discount Applied]]</f>
        <v>79.430000000000007</v>
      </c>
      <c r="O464" s="7" t="str">
        <f>IF(Table15[[#This Row],[Revenue]]&gt;35000,"Achieved","Not Achieved")</f>
        <v>Not Achieved</v>
      </c>
      <c r="P464" s="8">
        <v>4</v>
      </c>
      <c r="Q464" s="7" t="str">
        <f>IF(AND(Table15[[#This Row],[CSAT Score]]&lt;=3,Table15[[#This Row],[Revenue]]&gt;=20000),"High-Risk","Stable")</f>
        <v>Stable</v>
      </c>
      <c r="R464" s="8" t="str" cm="1">
        <f t="array" ref="R464">_xlfn.IFS(Table15[[#This Row],[Revenue]]&gt;=35000,"Platinum",Table15[[#This Row],[Revenue]]&gt;=15000,"Gold",TRUE,"Standard")</f>
        <v>Standard</v>
      </c>
      <c r="S464" s="8" t="str">
        <f>IF(OR(Table15[[#This Row],[Product]]="Wealth Management",Table15[[#This Row],[Revenue]]&gt;=40000),"Yes","No")</f>
        <v>No</v>
      </c>
    </row>
    <row r="465" spans="1:19" x14ac:dyDescent="0.3">
      <c r="A465" s="5" t="s">
        <v>523</v>
      </c>
      <c r="B465" s="6">
        <v>45943</v>
      </c>
      <c r="C465" s="7" t="s">
        <v>91</v>
      </c>
      <c r="D465" s="7" t="s">
        <v>34</v>
      </c>
      <c r="E465" s="7" t="s">
        <v>39</v>
      </c>
      <c r="F465" s="7" t="s">
        <v>40</v>
      </c>
      <c r="G465" s="7" t="s">
        <v>23</v>
      </c>
      <c r="H465" s="7" t="s">
        <v>57</v>
      </c>
      <c r="I465" s="7">
        <v>63</v>
      </c>
      <c r="J465" s="7">
        <v>113</v>
      </c>
      <c r="K465" s="20">
        <v>43378.239999999998</v>
      </c>
      <c r="L465" s="20">
        <v>153.68</v>
      </c>
      <c r="M465" s="7">
        <v>192.14</v>
      </c>
      <c r="N465" s="20">
        <f>Table15[[#This Row],[Processing Fee]]-Table15[[#This Row],[Discount Applied]]</f>
        <v>-38.45999999999998</v>
      </c>
      <c r="O465" s="7" t="str">
        <f>IF(Table15[[#This Row],[Revenue]]&gt;35000,"Achieved","Not Achieved")</f>
        <v>Achieved</v>
      </c>
      <c r="P465" s="8">
        <v>2</v>
      </c>
      <c r="Q465" s="7" t="str">
        <f>IF(AND(Table15[[#This Row],[CSAT Score]]&lt;=3,Table15[[#This Row],[Revenue]]&gt;=20000),"High-Risk","Stable")</f>
        <v>High-Risk</v>
      </c>
      <c r="R465" s="8" t="str" cm="1">
        <f t="array" ref="R465">_xlfn.IFS(Table15[[#This Row],[Revenue]]&gt;=35000,"Platinum",Table15[[#This Row],[Revenue]]&gt;=15000,"Gold",TRUE,"Standard")</f>
        <v>Platinum</v>
      </c>
      <c r="S465" s="8" t="str">
        <f>IF(OR(Table15[[#This Row],[Product]]="Wealth Management",Table15[[#This Row],[Revenue]]&gt;=40000),"Yes","No")</f>
        <v>Yes</v>
      </c>
    </row>
    <row r="466" spans="1:19" x14ac:dyDescent="0.3">
      <c r="A466" s="5" t="s">
        <v>524</v>
      </c>
      <c r="B466" s="6">
        <v>45875</v>
      </c>
      <c r="C466" s="7" t="s">
        <v>26</v>
      </c>
      <c r="D466" s="7" t="s">
        <v>87</v>
      </c>
      <c r="E466" s="7" t="s">
        <v>59</v>
      </c>
      <c r="F466" s="7" t="s">
        <v>35</v>
      </c>
      <c r="G466" s="7" t="s">
        <v>23</v>
      </c>
      <c r="H466" s="7" t="s">
        <v>24</v>
      </c>
      <c r="I466" s="7">
        <v>53</v>
      </c>
      <c r="J466" s="7">
        <v>43</v>
      </c>
      <c r="K466" s="20">
        <v>43643.5</v>
      </c>
      <c r="L466" s="20">
        <v>358.34</v>
      </c>
      <c r="M466" s="7">
        <v>64.099999999999994</v>
      </c>
      <c r="N466" s="20">
        <f>Table15[[#This Row],[Processing Fee]]-Table15[[#This Row],[Discount Applied]]</f>
        <v>294.24</v>
      </c>
      <c r="O466" s="7" t="str">
        <f>IF(Table15[[#This Row],[Revenue]]&gt;35000,"Achieved","Not Achieved")</f>
        <v>Achieved</v>
      </c>
      <c r="P466" s="8">
        <v>5</v>
      </c>
      <c r="Q466" s="7" t="str">
        <f>IF(AND(Table15[[#This Row],[CSAT Score]]&lt;=3,Table15[[#This Row],[Revenue]]&gt;=20000),"High-Risk","Stable")</f>
        <v>Stable</v>
      </c>
      <c r="R466" s="8" t="str" cm="1">
        <f t="array" ref="R466">_xlfn.IFS(Table15[[#This Row],[Revenue]]&gt;=35000,"Platinum",Table15[[#This Row],[Revenue]]&gt;=15000,"Gold",TRUE,"Standard")</f>
        <v>Platinum</v>
      </c>
      <c r="S466" s="8" t="str">
        <f>IF(OR(Table15[[#This Row],[Product]]="Wealth Management",Table15[[#This Row],[Revenue]]&gt;=40000),"Yes","No")</f>
        <v>Yes</v>
      </c>
    </row>
    <row r="467" spans="1:19" x14ac:dyDescent="0.3">
      <c r="A467" s="5" t="s">
        <v>525</v>
      </c>
      <c r="B467" s="6">
        <v>46165</v>
      </c>
      <c r="C467" s="7" t="s">
        <v>19</v>
      </c>
      <c r="D467" s="7" t="s">
        <v>27</v>
      </c>
      <c r="E467" s="7" t="s">
        <v>46</v>
      </c>
      <c r="F467" s="7" t="s">
        <v>29</v>
      </c>
      <c r="G467" s="7" t="s">
        <v>30</v>
      </c>
      <c r="H467" s="7" t="s">
        <v>57</v>
      </c>
      <c r="I467" s="7">
        <v>73</v>
      </c>
      <c r="J467" s="7">
        <v>17</v>
      </c>
      <c r="K467" s="20">
        <v>21208.12</v>
      </c>
      <c r="L467" s="20">
        <v>491.85</v>
      </c>
      <c r="M467" s="7">
        <v>199.26</v>
      </c>
      <c r="N467" s="20">
        <f>Table15[[#This Row],[Processing Fee]]-Table15[[#This Row],[Discount Applied]]</f>
        <v>292.59000000000003</v>
      </c>
      <c r="O467" s="7" t="str">
        <f>IF(Table15[[#This Row],[Revenue]]&gt;35000,"Achieved","Not Achieved")</f>
        <v>Not Achieved</v>
      </c>
      <c r="P467" s="8">
        <v>4</v>
      </c>
      <c r="Q467" s="7" t="str">
        <f>IF(AND(Table15[[#This Row],[CSAT Score]]&lt;=3,Table15[[#This Row],[Revenue]]&gt;=20000),"High-Risk","Stable")</f>
        <v>Stable</v>
      </c>
      <c r="R467" s="8" t="str" cm="1">
        <f t="array" ref="R467">_xlfn.IFS(Table15[[#This Row],[Revenue]]&gt;=35000,"Platinum",Table15[[#This Row],[Revenue]]&gt;=15000,"Gold",TRUE,"Standard")</f>
        <v>Gold</v>
      </c>
      <c r="S467" s="8" t="str">
        <f>IF(OR(Table15[[#This Row],[Product]]="Wealth Management",Table15[[#This Row],[Revenue]]&gt;=40000),"Yes","No")</f>
        <v>No</v>
      </c>
    </row>
    <row r="468" spans="1:19" x14ac:dyDescent="0.3">
      <c r="A468" s="5" t="s">
        <v>526</v>
      </c>
      <c r="B468" s="6">
        <v>46206</v>
      </c>
      <c r="C468" s="7" t="s">
        <v>44</v>
      </c>
      <c r="D468" s="7" t="s">
        <v>27</v>
      </c>
      <c r="E468" s="7" t="s">
        <v>46</v>
      </c>
      <c r="F468" s="7" t="s">
        <v>69</v>
      </c>
      <c r="G468" s="7" t="s">
        <v>65</v>
      </c>
      <c r="H468" s="7" t="s">
        <v>57</v>
      </c>
      <c r="I468" s="7">
        <v>51</v>
      </c>
      <c r="J468" s="7">
        <v>80</v>
      </c>
      <c r="K468" s="20">
        <v>22497.58</v>
      </c>
      <c r="L468" s="20">
        <v>361</v>
      </c>
      <c r="M468" s="7">
        <v>169.11</v>
      </c>
      <c r="N468" s="20">
        <f>Table15[[#This Row],[Processing Fee]]-Table15[[#This Row],[Discount Applied]]</f>
        <v>191.89</v>
      </c>
      <c r="O468" s="7" t="str">
        <f>IF(Table15[[#This Row],[Revenue]]&gt;35000,"Achieved","Not Achieved")</f>
        <v>Not Achieved</v>
      </c>
      <c r="P468" s="8">
        <v>2</v>
      </c>
      <c r="Q468" s="7" t="str">
        <f>IF(AND(Table15[[#This Row],[CSAT Score]]&lt;=3,Table15[[#This Row],[Revenue]]&gt;=20000),"High-Risk","Stable")</f>
        <v>High-Risk</v>
      </c>
      <c r="R468" s="8" t="str" cm="1">
        <f t="array" ref="R468">_xlfn.IFS(Table15[[#This Row],[Revenue]]&gt;=35000,"Platinum",Table15[[#This Row],[Revenue]]&gt;=15000,"Gold",TRUE,"Standard")</f>
        <v>Gold</v>
      </c>
      <c r="S468" s="8" t="str">
        <f>IF(OR(Table15[[#This Row],[Product]]="Wealth Management",Table15[[#This Row],[Revenue]]&gt;=40000),"Yes","No")</f>
        <v>No</v>
      </c>
    </row>
    <row r="469" spans="1:19" x14ac:dyDescent="0.3">
      <c r="A469" s="5" t="s">
        <v>527</v>
      </c>
      <c r="B469" s="6">
        <v>46225</v>
      </c>
      <c r="C469" s="7" t="s">
        <v>91</v>
      </c>
      <c r="D469" s="7" t="s">
        <v>34</v>
      </c>
      <c r="E469" s="7" t="s">
        <v>39</v>
      </c>
      <c r="F469" s="7" t="s">
        <v>22</v>
      </c>
      <c r="G469" s="7" t="s">
        <v>23</v>
      </c>
      <c r="H469" s="7" t="s">
        <v>31</v>
      </c>
      <c r="I469" s="7">
        <v>55</v>
      </c>
      <c r="J469" s="7">
        <v>58</v>
      </c>
      <c r="K469" s="20">
        <v>15512.51</v>
      </c>
      <c r="L469" s="20">
        <v>447.44</v>
      </c>
      <c r="M469" s="7">
        <v>183.28</v>
      </c>
      <c r="N469" s="20">
        <f>Table15[[#This Row],[Processing Fee]]-Table15[[#This Row],[Discount Applied]]</f>
        <v>264.15999999999997</v>
      </c>
      <c r="O469" s="7" t="str">
        <f>IF(Table15[[#This Row],[Revenue]]&gt;35000,"Achieved","Not Achieved")</f>
        <v>Not Achieved</v>
      </c>
      <c r="P469" s="8">
        <v>4</v>
      </c>
      <c r="Q469" s="7" t="str">
        <f>IF(AND(Table15[[#This Row],[CSAT Score]]&lt;=3,Table15[[#This Row],[Revenue]]&gt;=20000),"High-Risk","Stable")</f>
        <v>Stable</v>
      </c>
      <c r="R469" s="8" t="str" cm="1">
        <f t="array" ref="R469">_xlfn.IFS(Table15[[#This Row],[Revenue]]&gt;=35000,"Platinum",Table15[[#This Row],[Revenue]]&gt;=15000,"Gold",TRUE,"Standard")</f>
        <v>Gold</v>
      </c>
      <c r="S469" s="8" t="str">
        <f>IF(OR(Table15[[#This Row],[Product]]="Wealth Management",Table15[[#This Row],[Revenue]]&gt;=40000),"Yes","No")</f>
        <v>Yes</v>
      </c>
    </row>
    <row r="470" spans="1:19" x14ac:dyDescent="0.3">
      <c r="A470" s="5" t="s">
        <v>528</v>
      </c>
      <c r="B470" s="6">
        <v>45896</v>
      </c>
      <c r="C470" s="7" t="s">
        <v>33</v>
      </c>
      <c r="D470" s="7" t="s">
        <v>38</v>
      </c>
      <c r="E470" s="7" t="s">
        <v>21</v>
      </c>
      <c r="F470" s="7" t="s">
        <v>40</v>
      </c>
      <c r="G470" s="7" t="s">
        <v>36</v>
      </c>
      <c r="H470" s="7" t="s">
        <v>53</v>
      </c>
      <c r="I470" s="7">
        <v>37</v>
      </c>
      <c r="J470" s="7">
        <v>119</v>
      </c>
      <c r="K470" s="20">
        <v>35972.01</v>
      </c>
      <c r="L470" s="20">
        <v>476.69</v>
      </c>
      <c r="M470" s="7">
        <v>8.02</v>
      </c>
      <c r="N470" s="20">
        <f>Table15[[#This Row],[Processing Fee]]-Table15[[#This Row],[Discount Applied]]</f>
        <v>468.67</v>
      </c>
      <c r="O470" s="7" t="str">
        <f>IF(Table15[[#This Row],[Revenue]]&gt;35000,"Achieved","Not Achieved")</f>
        <v>Achieved</v>
      </c>
      <c r="P470" s="8">
        <v>3</v>
      </c>
      <c r="Q470" s="7" t="str">
        <f>IF(AND(Table15[[#This Row],[CSAT Score]]&lt;=3,Table15[[#This Row],[Revenue]]&gt;=20000),"High-Risk","Stable")</f>
        <v>High-Risk</v>
      </c>
      <c r="R470" s="8" t="str" cm="1">
        <f t="array" ref="R470">_xlfn.IFS(Table15[[#This Row],[Revenue]]&gt;=35000,"Platinum",Table15[[#This Row],[Revenue]]&gt;=15000,"Gold",TRUE,"Standard")</f>
        <v>Platinum</v>
      </c>
      <c r="S470" s="8" t="str">
        <f>IF(OR(Table15[[#This Row],[Product]]="Wealth Management",Table15[[#This Row],[Revenue]]&gt;=40000),"Yes","No")</f>
        <v>No</v>
      </c>
    </row>
    <row r="471" spans="1:19" x14ac:dyDescent="0.3">
      <c r="A471" s="5" t="s">
        <v>529</v>
      </c>
      <c r="B471" s="6">
        <v>45931</v>
      </c>
      <c r="C471" s="7" t="s">
        <v>26</v>
      </c>
      <c r="D471" s="7" t="s">
        <v>34</v>
      </c>
      <c r="E471" s="7" t="s">
        <v>28</v>
      </c>
      <c r="F471" s="7" t="s">
        <v>69</v>
      </c>
      <c r="G471" s="7" t="s">
        <v>23</v>
      </c>
      <c r="H471" s="7" t="s">
        <v>57</v>
      </c>
      <c r="I471" s="7">
        <v>48</v>
      </c>
      <c r="J471" s="7">
        <v>2</v>
      </c>
      <c r="K471" s="20">
        <v>18253.740000000002</v>
      </c>
      <c r="L471" s="20">
        <v>269.04000000000002</v>
      </c>
      <c r="M471" s="7">
        <v>180.29</v>
      </c>
      <c r="N471" s="20">
        <f>Table15[[#This Row],[Processing Fee]]-Table15[[#This Row],[Discount Applied]]</f>
        <v>88.750000000000028</v>
      </c>
      <c r="O471" s="7" t="str">
        <f>IF(Table15[[#This Row],[Revenue]]&gt;35000,"Achieved","Not Achieved")</f>
        <v>Not Achieved</v>
      </c>
      <c r="P471" s="8">
        <v>3</v>
      </c>
      <c r="Q471" s="7" t="str">
        <f>IF(AND(Table15[[#This Row],[CSAT Score]]&lt;=3,Table15[[#This Row],[Revenue]]&gt;=20000),"High-Risk","Stable")</f>
        <v>Stable</v>
      </c>
      <c r="R471" s="8" t="str" cm="1">
        <f t="array" ref="R471">_xlfn.IFS(Table15[[#This Row],[Revenue]]&gt;=35000,"Platinum",Table15[[#This Row],[Revenue]]&gt;=15000,"Gold",TRUE,"Standard")</f>
        <v>Gold</v>
      </c>
      <c r="S471" s="8" t="str">
        <f>IF(OR(Table15[[#This Row],[Product]]="Wealth Management",Table15[[#This Row],[Revenue]]&gt;=40000),"Yes","No")</f>
        <v>No</v>
      </c>
    </row>
    <row r="472" spans="1:19" x14ac:dyDescent="0.3">
      <c r="A472" s="5" t="s">
        <v>530</v>
      </c>
      <c r="B472" s="6">
        <v>46194</v>
      </c>
      <c r="C472" s="7" t="s">
        <v>33</v>
      </c>
      <c r="D472" s="7" t="s">
        <v>34</v>
      </c>
      <c r="E472" s="7" t="s">
        <v>21</v>
      </c>
      <c r="F472" s="7" t="s">
        <v>22</v>
      </c>
      <c r="G472" s="7" t="s">
        <v>36</v>
      </c>
      <c r="H472" s="7" t="s">
        <v>53</v>
      </c>
      <c r="I472" s="7">
        <v>39</v>
      </c>
      <c r="J472" s="7">
        <v>4</v>
      </c>
      <c r="K472" s="20">
        <v>13755.73</v>
      </c>
      <c r="L472" s="20">
        <v>366.05</v>
      </c>
      <c r="M472" s="7">
        <v>111.49</v>
      </c>
      <c r="N472" s="20">
        <f>Table15[[#This Row],[Processing Fee]]-Table15[[#This Row],[Discount Applied]]</f>
        <v>254.56</v>
      </c>
      <c r="O472" s="7" t="str">
        <f>IF(Table15[[#This Row],[Revenue]]&gt;35000,"Achieved","Not Achieved")</f>
        <v>Not Achieved</v>
      </c>
      <c r="P472" s="8">
        <v>3</v>
      </c>
      <c r="Q472" s="7" t="str">
        <f>IF(AND(Table15[[#This Row],[CSAT Score]]&lt;=3,Table15[[#This Row],[Revenue]]&gt;=20000),"High-Risk","Stable")</f>
        <v>Stable</v>
      </c>
      <c r="R472" s="8" t="str" cm="1">
        <f t="array" ref="R472">_xlfn.IFS(Table15[[#This Row],[Revenue]]&gt;=35000,"Platinum",Table15[[#This Row],[Revenue]]&gt;=15000,"Gold",TRUE,"Standard")</f>
        <v>Standard</v>
      </c>
      <c r="S472" s="8" t="str">
        <f>IF(OR(Table15[[#This Row],[Product]]="Wealth Management",Table15[[#This Row],[Revenue]]&gt;=40000),"Yes","No")</f>
        <v>Yes</v>
      </c>
    </row>
    <row r="473" spans="1:19" x14ac:dyDescent="0.3">
      <c r="A473" s="5" t="s">
        <v>531</v>
      </c>
      <c r="B473" s="6">
        <v>46005</v>
      </c>
      <c r="C473" s="7" t="s">
        <v>44</v>
      </c>
      <c r="D473" s="7" t="s">
        <v>27</v>
      </c>
      <c r="E473" s="7" t="s">
        <v>28</v>
      </c>
      <c r="F473" s="7" t="s">
        <v>22</v>
      </c>
      <c r="G473" s="7" t="s">
        <v>56</v>
      </c>
      <c r="H473" s="7" t="s">
        <v>31</v>
      </c>
      <c r="I473" s="7">
        <v>66</v>
      </c>
      <c r="J473" s="7">
        <v>85</v>
      </c>
      <c r="K473" s="20">
        <v>21895.439999999999</v>
      </c>
      <c r="L473" s="20">
        <v>433.39</v>
      </c>
      <c r="M473" s="7">
        <v>260.55</v>
      </c>
      <c r="N473" s="20">
        <f>Table15[[#This Row],[Processing Fee]]-Table15[[#This Row],[Discount Applied]]</f>
        <v>172.83999999999997</v>
      </c>
      <c r="O473" s="7" t="str">
        <f>IF(Table15[[#This Row],[Revenue]]&gt;35000,"Achieved","Not Achieved")</f>
        <v>Not Achieved</v>
      </c>
      <c r="P473" s="8">
        <v>2</v>
      </c>
      <c r="Q473" s="7" t="str">
        <f>IF(AND(Table15[[#This Row],[CSAT Score]]&lt;=3,Table15[[#This Row],[Revenue]]&gt;=20000),"High-Risk","Stable")</f>
        <v>High-Risk</v>
      </c>
      <c r="R473" s="8" t="str" cm="1">
        <f t="array" ref="R473">_xlfn.IFS(Table15[[#This Row],[Revenue]]&gt;=35000,"Platinum",Table15[[#This Row],[Revenue]]&gt;=15000,"Gold",TRUE,"Standard")</f>
        <v>Gold</v>
      </c>
      <c r="S473" s="8" t="str">
        <f>IF(OR(Table15[[#This Row],[Product]]="Wealth Management",Table15[[#This Row],[Revenue]]&gt;=40000),"Yes","No")</f>
        <v>Yes</v>
      </c>
    </row>
    <row r="474" spans="1:19" x14ac:dyDescent="0.3">
      <c r="A474" s="5" t="s">
        <v>532</v>
      </c>
      <c r="B474" s="6">
        <v>45889</v>
      </c>
      <c r="C474" s="7" t="s">
        <v>42</v>
      </c>
      <c r="D474" s="7" t="s">
        <v>87</v>
      </c>
      <c r="E474" s="7" t="s">
        <v>39</v>
      </c>
      <c r="F474" s="7" t="s">
        <v>35</v>
      </c>
      <c r="G474" s="7" t="s">
        <v>56</v>
      </c>
      <c r="H474" s="7" t="s">
        <v>53</v>
      </c>
      <c r="I474" s="7">
        <v>74</v>
      </c>
      <c r="J474" s="7">
        <v>39</v>
      </c>
      <c r="K474" s="20">
        <v>5028.63</v>
      </c>
      <c r="L474" s="20">
        <v>210.47</v>
      </c>
      <c r="M474" s="7">
        <v>166.89</v>
      </c>
      <c r="N474" s="20">
        <f>Table15[[#This Row],[Processing Fee]]-Table15[[#This Row],[Discount Applied]]</f>
        <v>43.580000000000013</v>
      </c>
      <c r="O474" s="7" t="str">
        <f>IF(Table15[[#This Row],[Revenue]]&gt;35000,"Achieved","Not Achieved")</f>
        <v>Not Achieved</v>
      </c>
      <c r="P474" s="8">
        <v>5</v>
      </c>
      <c r="Q474" s="7" t="str">
        <f>IF(AND(Table15[[#This Row],[CSAT Score]]&lt;=3,Table15[[#This Row],[Revenue]]&gt;=20000),"High-Risk","Stable")</f>
        <v>Stable</v>
      </c>
      <c r="R474" s="8" t="str" cm="1">
        <f t="array" ref="R474">_xlfn.IFS(Table15[[#This Row],[Revenue]]&gt;=35000,"Platinum",Table15[[#This Row],[Revenue]]&gt;=15000,"Gold",TRUE,"Standard")</f>
        <v>Standard</v>
      </c>
      <c r="S474" s="8" t="str">
        <f>IF(OR(Table15[[#This Row],[Product]]="Wealth Management",Table15[[#This Row],[Revenue]]&gt;=40000),"Yes","No")</f>
        <v>No</v>
      </c>
    </row>
    <row r="475" spans="1:19" x14ac:dyDescent="0.3">
      <c r="A475" s="5" t="s">
        <v>533</v>
      </c>
      <c r="B475" s="6">
        <v>46005</v>
      </c>
      <c r="C475" s="7" t="s">
        <v>26</v>
      </c>
      <c r="D475" s="7" t="s">
        <v>68</v>
      </c>
      <c r="E475" s="7" t="s">
        <v>28</v>
      </c>
      <c r="F475" s="7" t="s">
        <v>35</v>
      </c>
      <c r="G475" s="7" t="s">
        <v>36</v>
      </c>
      <c r="H475" s="7" t="s">
        <v>31</v>
      </c>
      <c r="I475" s="7">
        <v>43</v>
      </c>
      <c r="J475" s="7">
        <v>98</v>
      </c>
      <c r="K475" s="20">
        <v>37456.86</v>
      </c>
      <c r="L475" s="20">
        <v>167.63</v>
      </c>
      <c r="M475" s="7">
        <v>249.9</v>
      </c>
      <c r="N475" s="20">
        <f>Table15[[#This Row],[Processing Fee]]-Table15[[#This Row],[Discount Applied]]</f>
        <v>-82.27000000000001</v>
      </c>
      <c r="O475" s="7" t="str">
        <f>IF(Table15[[#This Row],[Revenue]]&gt;35000,"Achieved","Not Achieved")</f>
        <v>Achieved</v>
      </c>
      <c r="P475" s="8">
        <v>4</v>
      </c>
      <c r="Q475" s="7" t="str">
        <f>IF(AND(Table15[[#This Row],[CSAT Score]]&lt;=3,Table15[[#This Row],[Revenue]]&gt;=20000),"High-Risk","Stable")</f>
        <v>Stable</v>
      </c>
      <c r="R475" s="8" t="str" cm="1">
        <f t="array" ref="R475">_xlfn.IFS(Table15[[#This Row],[Revenue]]&gt;=35000,"Platinum",Table15[[#This Row],[Revenue]]&gt;=15000,"Gold",TRUE,"Standard")</f>
        <v>Platinum</v>
      </c>
      <c r="S475" s="8" t="str">
        <f>IF(OR(Table15[[#This Row],[Product]]="Wealth Management",Table15[[#This Row],[Revenue]]&gt;=40000),"Yes","No")</f>
        <v>No</v>
      </c>
    </row>
    <row r="476" spans="1:19" x14ac:dyDescent="0.3">
      <c r="A476" s="5" t="s">
        <v>534</v>
      </c>
      <c r="B476" s="6">
        <v>46052</v>
      </c>
      <c r="C476" s="7" t="s">
        <v>42</v>
      </c>
      <c r="D476" s="7" t="s">
        <v>61</v>
      </c>
      <c r="E476" s="7" t="s">
        <v>46</v>
      </c>
      <c r="F476" s="7" t="s">
        <v>35</v>
      </c>
      <c r="G476" s="7" t="s">
        <v>65</v>
      </c>
      <c r="H476" s="7" t="s">
        <v>24</v>
      </c>
      <c r="I476" s="7">
        <v>52</v>
      </c>
      <c r="J476" s="7">
        <v>94</v>
      </c>
      <c r="K476" s="20">
        <v>1123.52</v>
      </c>
      <c r="L476" s="20">
        <v>475.97</v>
      </c>
      <c r="M476" s="7">
        <v>139.63</v>
      </c>
      <c r="N476" s="20">
        <f>Table15[[#This Row],[Processing Fee]]-Table15[[#This Row],[Discount Applied]]</f>
        <v>336.34000000000003</v>
      </c>
      <c r="O476" s="7" t="str">
        <f>IF(Table15[[#This Row],[Revenue]]&gt;35000,"Achieved","Not Achieved")</f>
        <v>Not Achieved</v>
      </c>
      <c r="P476" s="8">
        <v>1</v>
      </c>
      <c r="Q476" s="7" t="str">
        <f>IF(AND(Table15[[#This Row],[CSAT Score]]&lt;=3,Table15[[#This Row],[Revenue]]&gt;=20000),"High-Risk","Stable")</f>
        <v>Stable</v>
      </c>
      <c r="R476" s="8" t="str" cm="1">
        <f t="array" ref="R476">_xlfn.IFS(Table15[[#This Row],[Revenue]]&gt;=35000,"Platinum",Table15[[#This Row],[Revenue]]&gt;=15000,"Gold",TRUE,"Standard")</f>
        <v>Standard</v>
      </c>
      <c r="S476" s="8" t="str">
        <f>IF(OR(Table15[[#This Row],[Product]]="Wealth Management",Table15[[#This Row],[Revenue]]&gt;=40000),"Yes","No")</f>
        <v>No</v>
      </c>
    </row>
    <row r="477" spans="1:19" x14ac:dyDescent="0.3">
      <c r="A477" s="5" t="s">
        <v>535</v>
      </c>
      <c r="B477" s="6">
        <v>46163</v>
      </c>
      <c r="C477" s="7" t="s">
        <v>44</v>
      </c>
      <c r="D477" s="7" t="s">
        <v>45</v>
      </c>
      <c r="E477" s="7" t="s">
        <v>59</v>
      </c>
      <c r="F477" s="7" t="s">
        <v>69</v>
      </c>
      <c r="G477" s="7" t="s">
        <v>23</v>
      </c>
      <c r="H477" s="7" t="s">
        <v>53</v>
      </c>
      <c r="I477" s="7">
        <v>60</v>
      </c>
      <c r="J477" s="7">
        <v>6</v>
      </c>
      <c r="K477" s="20">
        <v>32402.01</v>
      </c>
      <c r="L477" s="20">
        <v>376.84</v>
      </c>
      <c r="M477" s="7">
        <v>58.28</v>
      </c>
      <c r="N477" s="20">
        <f>Table15[[#This Row],[Processing Fee]]-Table15[[#This Row],[Discount Applied]]</f>
        <v>318.55999999999995</v>
      </c>
      <c r="O477" s="7" t="str">
        <f>IF(Table15[[#This Row],[Revenue]]&gt;35000,"Achieved","Not Achieved")</f>
        <v>Not Achieved</v>
      </c>
      <c r="P477" s="8">
        <v>3</v>
      </c>
      <c r="Q477" s="7" t="str">
        <f>IF(AND(Table15[[#This Row],[CSAT Score]]&lt;=3,Table15[[#This Row],[Revenue]]&gt;=20000),"High-Risk","Stable")</f>
        <v>High-Risk</v>
      </c>
      <c r="R477" s="8" t="str" cm="1">
        <f t="array" ref="R477">_xlfn.IFS(Table15[[#This Row],[Revenue]]&gt;=35000,"Platinum",Table15[[#This Row],[Revenue]]&gt;=15000,"Gold",TRUE,"Standard")</f>
        <v>Gold</v>
      </c>
      <c r="S477" s="8" t="str">
        <f>IF(OR(Table15[[#This Row],[Product]]="Wealth Management",Table15[[#This Row],[Revenue]]&gt;=40000),"Yes","No")</f>
        <v>No</v>
      </c>
    </row>
    <row r="478" spans="1:19" x14ac:dyDescent="0.3">
      <c r="A478" s="5" t="s">
        <v>536</v>
      </c>
      <c r="B478" s="6">
        <v>46009</v>
      </c>
      <c r="C478" s="7" t="s">
        <v>91</v>
      </c>
      <c r="D478" s="7" t="s">
        <v>79</v>
      </c>
      <c r="E478" s="7" t="s">
        <v>59</v>
      </c>
      <c r="F478" s="7" t="s">
        <v>69</v>
      </c>
      <c r="G478" s="7" t="s">
        <v>23</v>
      </c>
      <c r="H478" s="7" t="s">
        <v>53</v>
      </c>
      <c r="I478" s="7">
        <v>33</v>
      </c>
      <c r="J478" s="7">
        <v>81</v>
      </c>
      <c r="K478" s="20">
        <v>9551.7900000000009</v>
      </c>
      <c r="L478" s="20">
        <v>148.86000000000001</v>
      </c>
      <c r="M478" s="7">
        <v>67.23</v>
      </c>
      <c r="N478" s="20">
        <f>Table15[[#This Row],[Processing Fee]]-Table15[[#This Row],[Discount Applied]]</f>
        <v>81.63000000000001</v>
      </c>
      <c r="O478" s="7" t="str">
        <f>IF(Table15[[#This Row],[Revenue]]&gt;35000,"Achieved","Not Achieved")</f>
        <v>Not Achieved</v>
      </c>
      <c r="P478" s="8">
        <v>3</v>
      </c>
      <c r="Q478" s="7" t="str">
        <f>IF(AND(Table15[[#This Row],[CSAT Score]]&lt;=3,Table15[[#This Row],[Revenue]]&gt;=20000),"High-Risk","Stable")</f>
        <v>Stable</v>
      </c>
      <c r="R478" s="8" t="str" cm="1">
        <f t="array" ref="R478">_xlfn.IFS(Table15[[#This Row],[Revenue]]&gt;=35000,"Platinum",Table15[[#This Row],[Revenue]]&gt;=15000,"Gold",TRUE,"Standard")</f>
        <v>Standard</v>
      </c>
      <c r="S478" s="8" t="str">
        <f>IF(OR(Table15[[#This Row],[Product]]="Wealth Management",Table15[[#This Row],[Revenue]]&gt;=40000),"Yes","No")</f>
        <v>No</v>
      </c>
    </row>
    <row r="479" spans="1:19" x14ac:dyDescent="0.3">
      <c r="A479" s="5" t="s">
        <v>537</v>
      </c>
      <c r="B479" s="6">
        <v>45923</v>
      </c>
      <c r="C479" s="7" t="s">
        <v>44</v>
      </c>
      <c r="D479" s="7" t="s">
        <v>79</v>
      </c>
      <c r="E479" s="7" t="s">
        <v>39</v>
      </c>
      <c r="F479" s="7" t="s">
        <v>40</v>
      </c>
      <c r="G479" s="7" t="s">
        <v>56</v>
      </c>
      <c r="H479" s="7" t="s">
        <v>24</v>
      </c>
      <c r="I479" s="7">
        <v>40</v>
      </c>
      <c r="J479" s="7">
        <v>103</v>
      </c>
      <c r="K479" s="20">
        <v>12004</v>
      </c>
      <c r="L479" s="20">
        <v>252.09</v>
      </c>
      <c r="M479" s="7">
        <v>61.69</v>
      </c>
      <c r="N479" s="20">
        <f>Table15[[#This Row],[Processing Fee]]-Table15[[#This Row],[Discount Applied]]</f>
        <v>190.4</v>
      </c>
      <c r="O479" s="7" t="str">
        <f>IF(Table15[[#This Row],[Revenue]]&gt;35000,"Achieved","Not Achieved")</f>
        <v>Not Achieved</v>
      </c>
      <c r="P479" s="8">
        <v>1</v>
      </c>
      <c r="Q479" s="7" t="str">
        <f>IF(AND(Table15[[#This Row],[CSAT Score]]&lt;=3,Table15[[#This Row],[Revenue]]&gt;=20000),"High-Risk","Stable")</f>
        <v>Stable</v>
      </c>
      <c r="R479" s="8" t="str" cm="1">
        <f t="array" ref="R479">_xlfn.IFS(Table15[[#This Row],[Revenue]]&gt;=35000,"Platinum",Table15[[#This Row],[Revenue]]&gt;=15000,"Gold",TRUE,"Standard")</f>
        <v>Standard</v>
      </c>
      <c r="S479" s="8" t="str">
        <f>IF(OR(Table15[[#This Row],[Product]]="Wealth Management",Table15[[#This Row],[Revenue]]&gt;=40000),"Yes","No")</f>
        <v>No</v>
      </c>
    </row>
    <row r="480" spans="1:19" x14ac:dyDescent="0.3">
      <c r="A480" s="5" t="s">
        <v>538</v>
      </c>
      <c r="B480" s="6">
        <v>46192</v>
      </c>
      <c r="C480" s="7" t="s">
        <v>91</v>
      </c>
      <c r="D480" s="7" t="s">
        <v>63</v>
      </c>
      <c r="E480" s="7" t="s">
        <v>46</v>
      </c>
      <c r="F480" s="7" t="s">
        <v>35</v>
      </c>
      <c r="G480" s="7" t="s">
        <v>36</v>
      </c>
      <c r="H480" s="7" t="s">
        <v>53</v>
      </c>
      <c r="I480" s="7">
        <v>55</v>
      </c>
      <c r="J480" s="7">
        <v>89</v>
      </c>
      <c r="K480" s="20">
        <v>31963.78</v>
      </c>
      <c r="L480" s="20">
        <v>408.4</v>
      </c>
      <c r="M480" s="7">
        <v>4.01</v>
      </c>
      <c r="N480" s="20">
        <f>Table15[[#This Row],[Processing Fee]]-Table15[[#This Row],[Discount Applied]]</f>
        <v>404.39</v>
      </c>
      <c r="O480" s="7" t="str">
        <f>IF(Table15[[#This Row],[Revenue]]&gt;35000,"Achieved","Not Achieved")</f>
        <v>Not Achieved</v>
      </c>
      <c r="P480" s="8">
        <v>1</v>
      </c>
      <c r="Q480" s="7" t="str">
        <f>IF(AND(Table15[[#This Row],[CSAT Score]]&lt;=3,Table15[[#This Row],[Revenue]]&gt;=20000),"High-Risk","Stable")</f>
        <v>High-Risk</v>
      </c>
      <c r="R480" s="8" t="str" cm="1">
        <f t="array" ref="R480">_xlfn.IFS(Table15[[#This Row],[Revenue]]&gt;=35000,"Platinum",Table15[[#This Row],[Revenue]]&gt;=15000,"Gold",TRUE,"Standard")</f>
        <v>Gold</v>
      </c>
      <c r="S480" s="8" t="str">
        <f>IF(OR(Table15[[#This Row],[Product]]="Wealth Management",Table15[[#This Row],[Revenue]]&gt;=40000),"Yes","No")</f>
        <v>No</v>
      </c>
    </row>
    <row r="481" spans="1:19" x14ac:dyDescent="0.3">
      <c r="A481" s="5" t="s">
        <v>539</v>
      </c>
      <c r="B481" s="6">
        <v>46153</v>
      </c>
      <c r="C481" s="7" t="s">
        <v>26</v>
      </c>
      <c r="D481" s="7" t="s">
        <v>87</v>
      </c>
      <c r="E481" s="7" t="s">
        <v>21</v>
      </c>
      <c r="F481" s="7" t="s">
        <v>22</v>
      </c>
      <c r="G481" s="7" t="s">
        <v>23</v>
      </c>
      <c r="H481" s="7" t="s">
        <v>24</v>
      </c>
      <c r="I481" s="7">
        <v>25</v>
      </c>
      <c r="J481" s="7">
        <v>69</v>
      </c>
      <c r="K481" s="20">
        <v>49650.7</v>
      </c>
      <c r="L481" s="20">
        <v>296.18</v>
      </c>
      <c r="M481" s="7">
        <v>116.51</v>
      </c>
      <c r="N481" s="20">
        <f>Table15[[#This Row],[Processing Fee]]-Table15[[#This Row],[Discount Applied]]</f>
        <v>179.67000000000002</v>
      </c>
      <c r="O481" s="7" t="str">
        <f>IF(Table15[[#This Row],[Revenue]]&gt;35000,"Achieved","Not Achieved")</f>
        <v>Achieved</v>
      </c>
      <c r="P481" s="8">
        <v>2</v>
      </c>
      <c r="Q481" s="7" t="str">
        <f>IF(AND(Table15[[#This Row],[CSAT Score]]&lt;=3,Table15[[#This Row],[Revenue]]&gt;=20000),"High-Risk","Stable")</f>
        <v>High-Risk</v>
      </c>
      <c r="R481" s="8" t="str" cm="1">
        <f t="array" ref="R481">_xlfn.IFS(Table15[[#This Row],[Revenue]]&gt;=35000,"Platinum",Table15[[#This Row],[Revenue]]&gt;=15000,"Gold",TRUE,"Standard")</f>
        <v>Platinum</v>
      </c>
      <c r="S481" s="8" t="str">
        <f>IF(OR(Table15[[#This Row],[Product]]="Wealth Management",Table15[[#This Row],[Revenue]]&gt;=40000),"Yes","No")</f>
        <v>Yes</v>
      </c>
    </row>
    <row r="482" spans="1:19" x14ac:dyDescent="0.3">
      <c r="A482" s="5" t="s">
        <v>540</v>
      </c>
      <c r="B482" s="6">
        <v>45910</v>
      </c>
      <c r="C482" s="7" t="s">
        <v>26</v>
      </c>
      <c r="D482" s="7" t="s">
        <v>63</v>
      </c>
      <c r="E482" s="7" t="s">
        <v>46</v>
      </c>
      <c r="F482" s="7" t="s">
        <v>29</v>
      </c>
      <c r="G482" s="7" t="s">
        <v>23</v>
      </c>
      <c r="H482" s="7" t="s">
        <v>57</v>
      </c>
      <c r="I482" s="7">
        <v>29</v>
      </c>
      <c r="J482" s="7">
        <v>69</v>
      </c>
      <c r="K482" s="20">
        <v>38997.019999999997</v>
      </c>
      <c r="L482" s="20">
        <v>342.48</v>
      </c>
      <c r="M482" s="7">
        <v>139.77000000000001</v>
      </c>
      <c r="N482" s="20">
        <f>Table15[[#This Row],[Processing Fee]]-Table15[[#This Row],[Discount Applied]]</f>
        <v>202.71</v>
      </c>
      <c r="O482" s="7" t="str">
        <f>IF(Table15[[#This Row],[Revenue]]&gt;35000,"Achieved","Not Achieved")</f>
        <v>Achieved</v>
      </c>
      <c r="P482" s="8">
        <v>4</v>
      </c>
      <c r="Q482" s="7" t="str">
        <f>IF(AND(Table15[[#This Row],[CSAT Score]]&lt;=3,Table15[[#This Row],[Revenue]]&gt;=20000),"High-Risk","Stable")</f>
        <v>Stable</v>
      </c>
      <c r="R482" s="8" t="str" cm="1">
        <f t="array" ref="R482">_xlfn.IFS(Table15[[#This Row],[Revenue]]&gt;=35000,"Platinum",Table15[[#This Row],[Revenue]]&gt;=15000,"Gold",TRUE,"Standard")</f>
        <v>Platinum</v>
      </c>
      <c r="S482" s="8" t="str">
        <f>IF(OR(Table15[[#This Row],[Product]]="Wealth Management",Table15[[#This Row],[Revenue]]&gt;=40000),"Yes","No")</f>
        <v>No</v>
      </c>
    </row>
    <row r="483" spans="1:19" x14ac:dyDescent="0.3">
      <c r="A483" s="5" t="s">
        <v>541</v>
      </c>
      <c r="B483" s="6">
        <v>45902</v>
      </c>
      <c r="C483" s="7" t="s">
        <v>75</v>
      </c>
      <c r="D483" s="7" t="s">
        <v>20</v>
      </c>
      <c r="E483" s="7" t="s">
        <v>59</v>
      </c>
      <c r="F483" s="7" t="s">
        <v>40</v>
      </c>
      <c r="G483" s="7" t="s">
        <v>65</v>
      </c>
      <c r="H483" s="7" t="s">
        <v>31</v>
      </c>
      <c r="I483" s="7">
        <v>49</v>
      </c>
      <c r="J483" s="7">
        <v>20</v>
      </c>
      <c r="K483" s="20">
        <v>11679.06</v>
      </c>
      <c r="L483" s="20">
        <v>389.2</v>
      </c>
      <c r="M483" s="7">
        <v>256.16000000000003</v>
      </c>
      <c r="N483" s="20">
        <f>Table15[[#This Row],[Processing Fee]]-Table15[[#This Row],[Discount Applied]]</f>
        <v>133.03999999999996</v>
      </c>
      <c r="O483" s="7" t="str">
        <f>IF(Table15[[#This Row],[Revenue]]&gt;35000,"Achieved","Not Achieved")</f>
        <v>Not Achieved</v>
      </c>
      <c r="P483" s="8">
        <v>3</v>
      </c>
      <c r="Q483" s="7" t="str">
        <f>IF(AND(Table15[[#This Row],[CSAT Score]]&lt;=3,Table15[[#This Row],[Revenue]]&gt;=20000),"High-Risk","Stable")</f>
        <v>Stable</v>
      </c>
      <c r="R483" s="8" t="str" cm="1">
        <f t="array" ref="R483">_xlfn.IFS(Table15[[#This Row],[Revenue]]&gt;=35000,"Platinum",Table15[[#This Row],[Revenue]]&gt;=15000,"Gold",TRUE,"Standard")</f>
        <v>Standard</v>
      </c>
      <c r="S483" s="8" t="str">
        <f>IF(OR(Table15[[#This Row],[Product]]="Wealth Management",Table15[[#This Row],[Revenue]]&gt;=40000),"Yes","No")</f>
        <v>No</v>
      </c>
    </row>
    <row r="484" spans="1:19" x14ac:dyDescent="0.3">
      <c r="A484" s="5" t="s">
        <v>542</v>
      </c>
      <c r="B484" s="6">
        <v>45993</v>
      </c>
      <c r="C484" s="7" t="s">
        <v>33</v>
      </c>
      <c r="D484" s="7" t="s">
        <v>20</v>
      </c>
      <c r="E484" s="7" t="s">
        <v>59</v>
      </c>
      <c r="F484" s="7" t="s">
        <v>69</v>
      </c>
      <c r="G484" s="7" t="s">
        <v>30</v>
      </c>
      <c r="H484" s="7" t="s">
        <v>24</v>
      </c>
      <c r="I484" s="7">
        <v>26</v>
      </c>
      <c r="J484" s="7">
        <v>64</v>
      </c>
      <c r="K484" s="20">
        <v>9213.23</v>
      </c>
      <c r="L484" s="20">
        <v>329.9</v>
      </c>
      <c r="M484" s="7">
        <v>28.03</v>
      </c>
      <c r="N484" s="20">
        <f>Table15[[#This Row],[Processing Fee]]-Table15[[#This Row],[Discount Applied]]</f>
        <v>301.87</v>
      </c>
      <c r="O484" s="7" t="str">
        <f>IF(Table15[[#This Row],[Revenue]]&gt;35000,"Achieved","Not Achieved")</f>
        <v>Not Achieved</v>
      </c>
      <c r="P484" s="8">
        <v>5</v>
      </c>
      <c r="Q484" s="7" t="str">
        <f>IF(AND(Table15[[#This Row],[CSAT Score]]&lt;=3,Table15[[#This Row],[Revenue]]&gt;=20000),"High-Risk","Stable")</f>
        <v>Stable</v>
      </c>
      <c r="R484" s="8" t="str" cm="1">
        <f t="array" ref="R484">_xlfn.IFS(Table15[[#This Row],[Revenue]]&gt;=35000,"Platinum",Table15[[#This Row],[Revenue]]&gt;=15000,"Gold",TRUE,"Standard")</f>
        <v>Standard</v>
      </c>
      <c r="S484" s="8" t="str">
        <f>IF(OR(Table15[[#This Row],[Product]]="Wealth Management",Table15[[#This Row],[Revenue]]&gt;=40000),"Yes","No")</f>
        <v>No</v>
      </c>
    </row>
    <row r="485" spans="1:19" x14ac:dyDescent="0.3">
      <c r="A485" s="5" t="s">
        <v>543</v>
      </c>
      <c r="B485" s="6">
        <v>45937</v>
      </c>
      <c r="C485" s="7" t="s">
        <v>75</v>
      </c>
      <c r="D485" s="7" t="s">
        <v>63</v>
      </c>
      <c r="E485" s="7" t="s">
        <v>46</v>
      </c>
      <c r="F485" s="7" t="s">
        <v>40</v>
      </c>
      <c r="G485" s="7" t="s">
        <v>56</v>
      </c>
      <c r="H485" s="7" t="s">
        <v>53</v>
      </c>
      <c r="I485" s="7">
        <v>45</v>
      </c>
      <c r="J485" s="7">
        <v>16</v>
      </c>
      <c r="K485" s="20">
        <v>43378.53</v>
      </c>
      <c r="L485" s="20">
        <v>293.04000000000002</v>
      </c>
      <c r="M485" s="7">
        <v>108.84</v>
      </c>
      <c r="N485" s="20">
        <f>Table15[[#This Row],[Processing Fee]]-Table15[[#This Row],[Discount Applied]]</f>
        <v>184.20000000000002</v>
      </c>
      <c r="O485" s="7" t="str">
        <f>IF(Table15[[#This Row],[Revenue]]&gt;35000,"Achieved","Not Achieved")</f>
        <v>Achieved</v>
      </c>
      <c r="P485" s="8">
        <v>2</v>
      </c>
      <c r="Q485" s="7" t="str">
        <f>IF(AND(Table15[[#This Row],[CSAT Score]]&lt;=3,Table15[[#This Row],[Revenue]]&gt;=20000),"High-Risk","Stable")</f>
        <v>High-Risk</v>
      </c>
      <c r="R485" s="8" t="str" cm="1">
        <f t="array" ref="R485">_xlfn.IFS(Table15[[#This Row],[Revenue]]&gt;=35000,"Platinum",Table15[[#This Row],[Revenue]]&gt;=15000,"Gold",TRUE,"Standard")</f>
        <v>Platinum</v>
      </c>
      <c r="S485" s="8" t="str">
        <f>IF(OR(Table15[[#This Row],[Product]]="Wealth Management",Table15[[#This Row],[Revenue]]&gt;=40000),"Yes","No")</f>
        <v>Yes</v>
      </c>
    </row>
    <row r="486" spans="1:19" x14ac:dyDescent="0.3">
      <c r="A486" s="5" t="s">
        <v>544</v>
      </c>
      <c r="B486" s="6">
        <v>46118</v>
      </c>
      <c r="C486" s="7" t="s">
        <v>33</v>
      </c>
      <c r="D486" s="7" t="s">
        <v>87</v>
      </c>
      <c r="E486" s="7" t="s">
        <v>46</v>
      </c>
      <c r="F486" s="7" t="s">
        <v>40</v>
      </c>
      <c r="G486" s="7" t="s">
        <v>56</v>
      </c>
      <c r="H486" s="7" t="s">
        <v>24</v>
      </c>
      <c r="I486" s="7">
        <v>51</v>
      </c>
      <c r="J486" s="7">
        <v>51</v>
      </c>
      <c r="K486" s="20">
        <v>22487.11</v>
      </c>
      <c r="L486" s="20">
        <v>387.33</v>
      </c>
      <c r="M486" s="7">
        <v>1.6</v>
      </c>
      <c r="N486" s="20">
        <f>Table15[[#This Row],[Processing Fee]]-Table15[[#This Row],[Discount Applied]]</f>
        <v>385.72999999999996</v>
      </c>
      <c r="O486" s="7" t="str">
        <f>IF(Table15[[#This Row],[Revenue]]&gt;35000,"Achieved","Not Achieved")</f>
        <v>Not Achieved</v>
      </c>
      <c r="P486" s="8">
        <v>2</v>
      </c>
      <c r="Q486" s="7" t="str">
        <f>IF(AND(Table15[[#This Row],[CSAT Score]]&lt;=3,Table15[[#This Row],[Revenue]]&gt;=20000),"High-Risk","Stable")</f>
        <v>High-Risk</v>
      </c>
      <c r="R486" s="8" t="str" cm="1">
        <f t="array" ref="R486">_xlfn.IFS(Table15[[#This Row],[Revenue]]&gt;=35000,"Platinum",Table15[[#This Row],[Revenue]]&gt;=15000,"Gold",TRUE,"Standard")</f>
        <v>Gold</v>
      </c>
      <c r="S486" s="8" t="str">
        <f>IF(OR(Table15[[#This Row],[Product]]="Wealth Management",Table15[[#This Row],[Revenue]]&gt;=40000),"Yes","No")</f>
        <v>No</v>
      </c>
    </row>
    <row r="487" spans="1:19" x14ac:dyDescent="0.3">
      <c r="A487" s="5" t="s">
        <v>545</v>
      </c>
      <c r="B487" s="6">
        <v>46209</v>
      </c>
      <c r="C487" s="7" t="s">
        <v>75</v>
      </c>
      <c r="D487" s="7" t="s">
        <v>63</v>
      </c>
      <c r="E487" s="7" t="s">
        <v>59</v>
      </c>
      <c r="F487" s="7" t="s">
        <v>40</v>
      </c>
      <c r="G487" s="7" t="s">
        <v>30</v>
      </c>
      <c r="H487" s="7" t="s">
        <v>53</v>
      </c>
      <c r="I487" s="7">
        <v>42</v>
      </c>
      <c r="J487" s="7">
        <v>105</v>
      </c>
      <c r="K487" s="20">
        <v>7284.11</v>
      </c>
      <c r="L487" s="20">
        <v>377.4</v>
      </c>
      <c r="M487" s="7">
        <v>19.02</v>
      </c>
      <c r="N487" s="20">
        <f>Table15[[#This Row],[Processing Fee]]-Table15[[#This Row],[Discount Applied]]</f>
        <v>358.38</v>
      </c>
      <c r="O487" s="7" t="str">
        <f>IF(Table15[[#This Row],[Revenue]]&gt;35000,"Achieved","Not Achieved")</f>
        <v>Not Achieved</v>
      </c>
      <c r="P487" s="8">
        <v>5</v>
      </c>
      <c r="Q487" s="7" t="str">
        <f>IF(AND(Table15[[#This Row],[CSAT Score]]&lt;=3,Table15[[#This Row],[Revenue]]&gt;=20000),"High-Risk","Stable")</f>
        <v>Stable</v>
      </c>
      <c r="R487" s="8" t="str" cm="1">
        <f t="array" ref="R487">_xlfn.IFS(Table15[[#This Row],[Revenue]]&gt;=35000,"Platinum",Table15[[#This Row],[Revenue]]&gt;=15000,"Gold",TRUE,"Standard")</f>
        <v>Standard</v>
      </c>
      <c r="S487" s="8" t="str">
        <f>IF(OR(Table15[[#This Row],[Product]]="Wealth Management",Table15[[#This Row],[Revenue]]&gt;=40000),"Yes","No")</f>
        <v>No</v>
      </c>
    </row>
    <row r="488" spans="1:19" x14ac:dyDescent="0.3">
      <c r="A488" s="5" t="s">
        <v>546</v>
      </c>
      <c r="B488" s="6">
        <v>46183</v>
      </c>
      <c r="C488" s="7" t="s">
        <v>42</v>
      </c>
      <c r="D488" s="7" t="s">
        <v>79</v>
      </c>
      <c r="E488" s="7" t="s">
        <v>21</v>
      </c>
      <c r="F488" s="7" t="s">
        <v>40</v>
      </c>
      <c r="G488" s="7" t="s">
        <v>23</v>
      </c>
      <c r="H488" s="7" t="s">
        <v>57</v>
      </c>
      <c r="I488" s="7">
        <v>22</v>
      </c>
      <c r="J488" s="7">
        <v>37</v>
      </c>
      <c r="K488" s="20">
        <v>43179.47</v>
      </c>
      <c r="L488" s="20">
        <v>333.44</v>
      </c>
      <c r="M488" s="7">
        <v>10.84</v>
      </c>
      <c r="N488" s="20">
        <f>Table15[[#This Row],[Processing Fee]]-Table15[[#This Row],[Discount Applied]]</f>
        <v>322.60000000000002</v>
      </c>
      <c r="O488" s="7" t="str">
        <f>IF(Table15[[#This Row],[Revenue]]&gt;35000,"Achieved","Not Achieved")</f>
        <v>Achieved</v>
      </c>
      <c r="P488" s="8">
        <v>5</v>
      </c>
      <c r="Q488" s="7" t="str">
        <f>IF(AND(Table15[[#This Row],[CSAT Score]]&lt;=3,Table15[[#This Row],[Revenue]]&gt;=20000),"High-Risk","Stable")</f>
        <v>Stable</v>
      </c>
      <c r="R488" s="8" t="str" cm="1">
        <f t="array" ref="R488">_xlfn.IFS(Table15[[#This Row],[Revenue]]&gt;=35000,"Platinum",Table15[[#This Row],[Revenue]]&gt;=15000,"Gold",TRUE,"Standard")</f>
        <v>Platinum</v>
      </c>
      <c r="S488" s="8" t="str">
        <f>IF(OR(Table15[[#This Row],[Product]]="Wealth Management",Table15[[#This Row],[Revenue]]&gt;=40000),"Yes","No")</f>
        <v>Yes</v>
      </c>
    </row>
    <row r="489" spans="1:19" x14ac:dyDescent="0.3">
      <c r="A489" s="5" t="s">
        <v>547</v>
      </c>
      <c r="B489" s="6">
        <v>45872</v>
      </c>
      <c r="C489" s="7" t="s">
        <v>26</v>
      </c>
      <c r="D489" s="7" t="s">
        <v>77</v>
      </c>
      <c r="E489" s="7" t="s">
        <v>39</v>
      </c>
      <c r="F489" s="7" t="s">
        <v>29</v>
      </c>
      <c r="G489" s="7" t="s">
        <v>65</v>
      </c>
      <c r="H489" s="7" t="s">
        <v>24</v>
      </c>
      <c r="I489" s="7">
        <v>65</v>
      </c>
      <c r="J489" s="7">
        <v>104</v>
      </c>
      <c r="K489" s="20">
        <v>40896.57</v>
      </c>
      <c r="L489" s="20">
        <v>211.91</v>
      </c>
      <c r="M489" s="7">
        <v>145.1</v>
      </c>
      <c r="N489" s="20">
        <f>Table15[[#This Row],[Processing Fee]]-Table15[[#This Row],[Discount Applied]]</f>
        <v>66.81</v>
      </c>
      <c r="O489" s="7" t="str">
        <f>IF(Table15[[#This Row],[Revenue]]&gt;35000,"Achieved","Not Achieved")</f>
        <v>Achieved</v>
      </c>
      <c r="P489" s="8">
        <v>5</v>
      </c>
      <c r="Q489" s="7" t="str">
        <f>IF(AND(Table15[[#This Row],[CSAT Score]]&lt;=3,Table15[[#This Row],[Revenue]]&gt;=20000),"High-Risk","Stable")</f>
        <v>Stable</v>
      </c>
      <c r="R489" s="8" t="str" cm="1">
        <f t="array" ref="R489">_xlfn.IFS(Table15[[#This Row],[Revenue]]&gt;=35000,"Platinum",Table15[[#This Row],[Revenue]]&gt;=15000,"Gold",TRUE,"Standard")</f>
        <v>Platinum</v>
      </c>
      <c r="S489" s="8" t="str">
        <f>IF(OR(Table15[[#This Row],[Product]]="Wealth Management",Table15[[#This Row],[Revenue]]&gt;=40000),"Yes","No")</f>
        <v>Yes</v>
      </c>
    </row>
    <row r="490" spans="1:19" x14ac:dyDescent="0.3">
      <c r="A490" s="5" t="s">
        <v>548</v>
      </c>
      <c r="B490" s="6">
        <v>46185</v>
      </c>
      <c r="C490" s="7" t="s">
        <v>91</v>
      </c>
      <c r="D490" s="7" t="s">
        <v>48</v>
      </c>
      <c r="E490" s="7" t="s">
        <v>39</v>
      </c>
      <c r="F490" s="7" t="s">
        <v>35</v>
      </c>
      <c r="G490" s="7" t="s">
        <v>65</v>
      </c>
      <c r="H490" s="7" t="s">
        <v>57</v>
      </c>
      <c r="I490" s="7">
        <v>25</v>
      </c>
      <c r="J490" s="7">
        <v>73</v>
      </c>
      <c r="K490" s="20">
        <v>49203.37</v>
      </c>
      <c r="L490" s="20">
        <v>232.62</v>
      </c>
      <c r="M490" s="7">
        <v>16.21</v>
      </c>
      <c r="N490" s="20">
        <f>Table15[[#This Row],[Processing Fee]]-Table15[[#This Row],[Discount Applied]]</f>
        <v>216.41</v>
      </c>
      <c r="O490" s="7" t="str">
        <f>IF(Table15[[#This Row],[Revenue]]&gt;35000,"Achieved","Not Achieved")</f>
        <v>Achieved</v>
      </c>
      <c r="P490" s="8">
        <v>1</v>
      </c>
      <c r="Q490" s="7" t="str">
        <f>IF(AND(Table15[[#This Row],[CSAT Score]]&lt;=3,Table15[[#This Row],[Revenue]]&gt;=20000),"High-Risk","Stable")</f>
        <v>High-Risk</v>
      </c>
      <c r="R490" s="8" t="str" cm="1">
        <f t="array" ref="R490">_xlfn.IFS(Table15[[#This Row],[Revenue]]&gt;=35000,"Platinum",Table15[[#This Row],[Revenue]]&gt;=15000,"Gold",TRUE,"Standard")</f>
        <v>Platinum</v>
      </c>
      <c r="S490" s="8" t="str">
        <f>IF(OR(Table15[[#This Row],[Product]]="Wealth Management",Table15[[#This Row],[Revenue]]&gt;=40000),"Yes","No")</f>
        <v>Yes</v>
      </c>
    </row>
    <row r="491" spans="1:19" x14ac:dyDescent="0.3">
      <c r="A491" s="5" t="s">
        <v>549</v>
      </c>
      <c r="B491" s="6">
        <v>46136</v>
      </c>
      <c r="C491" s="7" t="s">
        <v>33</v>
      </c>
      <c r="D491" s="7" t="s">
        <v>27</v>
      </c>
      <c r="E491" s="7" t="s">
        <v>46</v>
      </c>
      <c r="F491" s="7" t="s">
        <v>22</v>
      </c>
      <c r="G491" s="7" t="s">
        <v>56</v>
      </c>
      <c r="H491" s="7" t="s">
        <v>31</v>
      </c>
      <c r="I491" s="7">
        <v>47</v>
      </c>
      <c r="J491" s="7">
        <v>69</v>
      </c>
      <c r="K491" s="20">
        <v>45532.31</v>
      </c>
      <c r="L491" s="20">
        <v>486.7</v>
      </c>
      <c r="M491" s="7">
        <v>214.94</v>
      </c>
      <c r="N491" s="20">
        <f>Table15[[#This Row],[Processing Fee]]-Table15[[#This Row],[Discount Applied]]</f>
        <v>271.76</v>
      </c>
      <c r="O491" s="7" t="str">
        <f>IF(Table15[[#This Row],[Revenue]]&gt;35000,"Achieved","Not Achieved")</f>
        <v>Achieved</v>
      </c>
      <c r="P491" s="8">
        <v>3</v>
      </c>
      <c r="Q491" s="7" t="str">
        <f>IF(AND(Table15[[#This Row],[CSAT Score]]&lt;=3,Table15[[#This Row],[Revenue]]&gt;=20000),"High-Risk","Stable")</f>
        <v>High-Risk</v>
      </c>
      <c r="R491" s="8" t="str" cm="1">
        <f t="array" ref="R491">_xlfn.IFS(Table15[[#This Row],[Revenue]]&gt;=35000,"Platinum",Table15[[#This Row],[Revenue]]&gt;=15000,"Gold",TRUE,"Standard")</f>
        <v>Platinum</v>
      </c>
      <c r="S491" s="8" t="str">
        <f>IF(OR(Table15[[#This Row],[Product]]="Wealth Management",Table15[[#This Row],[Revenue]]&gt;=40000),"Yes","No")</f>
        <v>Yes</v>
      </c>
    </row>
    <row r="492" spans="1:19" x14ac:dyDescent="0.3">
      <c r="A492" s="5" t="s">
        <v>550</v>
      </c>
      <c r="B492" s="6">
        <v>46110</v>
      </c>
      <c r="C492" s="7" t="s">
        <v>44</v>
      </c>
      <c r="D492" s="7" t="s">
        <v>27</v>
      </c>
      <c r="E492" s="7" t="s">
        <v>39</v>
      </c>
      <c r="F492" s="7" t="s">
        <v>40</v>
      </c>
      <c r="G492" s="7" t="s">
        <v>65</v>
      </c>
      <c r="H492" s="7" t="s">
        <v>53</v>
      </c>
      <c r="I492" s="7">
        <v>45</v>
      </c>
      <c r="J492" s="7">
        <v>42</v>
      </c>
      <c r="K492" s="20">
        <v>42663.62</v>
      </c>
      <c r="L492" s="20">
        <v>100.57</v>
      </c>
      <c r="M492" s="7">
        <v>49.92</v>
      </c>
      <c r="N492" s="20">
        <f>Table15[[#This Row],[Processing Fee]]-Table15[[#This Row],[Discount Applied]]</f>
        <v>50.649999999999991</v>
      </c>
      <c r="O492" s="7" t="str">
        <f>IF(Table15[[#This Row],[Revenue]]&gt;35000,"Achieved","Not Achieved")</f>
        <v>Achieved</v>
      </c>
      <c r="P492" s="8">
        <v>1</v>
      </c>
      <c r="Q492" s="7" t="str">
        <f>IF(AND(Table15[[#This Row],[CSAT Score]]&lt;=3,Table15[[#This Row],[Revenue]]&gt;=20000),"High-Risk","Stable")</f>
        <v>High-Risk</v>
      </c>
      <c r="R492" s="8" t="str" cm="1">
        <f t="array" ref="R492">_xlfn.IFS(Table15[[#This Row],[Revenue]]&gt;=35000,"Platinum",Table15[[#This Row],[Revenue]]&gt;=15000,"Gold",TRUE,"Standard")</f>
        <v>Platinum</v>
      </c>
      <c r="S492" s="8" t="str">
        <f>IF(OR(Table15[[#This Row],[Product]]="Wealth Management",Table15[[#This Row],[Revenue]]&gt;=40000),"Yes","No")</f>
        <v>Yes</v>
      </c>
    </row>
    <row r="493" spans="1:19" x14ac:dyDescent="0.3">
      <c r="A493" s="5" t="s">
        <v>551</v>
      </c>
      <c r="B493" s="6">
        <v>46230</v>
      </c>
      <c r="C493" s="7" t="s">
        <v>33</v>
      </c>
      <c r="D493" s="7" t="s">
        <v>50</v>
      </c>
      <c r="E493" s="7" t="s">
        <v>59</v>
      </c>
      <c r="F493" s="7" t="s">
        <v>40</v>
      </c>
      <c r="G493" s="7" t="s">
        <v>30</v>
      </c>
      <c r="H493" s="7" t="s">
        <v>53</v>
      </c>
      <c r="I493" s="7">
        <v>28</v>
      </c>
      <c r="J493" s="7">
        <v>57</v>
      </c>
      <c r="K493" s="20">
        <v>3102.43</v>
      </c>
      <c r="L493" s="20">
        <v>170.83</v>
      </c>
      <c r="M493" s="7">
        <v>175.54</v>
      </c>
      <c r="N493" s="20">
        <f>Table15[[#This Row],[Processing Fee]]-Table15[[#This Row],[Discount Applied]]</f>
        <v>-4.7099999999999795</v>
      </c>
      <c r="O493" s="7" t="str">
        <f>IF(Table15[[#This Row],[Revenue]]&gt;35000,"Achieved","Not Achieved")</f>
        <v>Not Achieved</v>
      </c>
      <c r="P493" s="8">
        <v>3</v>
      </c>
      <c r="Q493" s="7" t="str">
        <f>IF(AND(Table15[[#This Row],[CSAT Score]]&lt;=3,Table15[[#This Row],[Revenue]]&gt;=20000),"High-Risk","Stable")</f>
        <v>Stable</v>
      </c>
      <c r="R493" s="8" t="str" cm="1">
        <f t="array" ref="R493">_xlfn.IFS(Table15[[#This Row],[Revenue]]&gt;=35000,"Platinum",Table15[[#This Row],[Revenue]]&gt;=15000,"Gold",TRUE,"Standard")</f>
        <v>Standard</v>
      </c>
      <c r="S493" s="8" t="str">
        <f>IF(OR(Table15[[#This Row],[Product]]="Wealth Management",Table15[[#This Row],[Revenue]]&gt;=40000),"Yes","No")</f>
        <v>No</v>
      </c>
    </row>
    <row r="494" spans="1:19" x14ac:dyDescent="0.3">
      <c r="A494" s="5" t="s">
        <v>552</v>
      </c>
      <c r="B494" s="6">
        <v>46205</v>
      </c>
      <c r="C494" s="7" t="s">
        <v>91</v>
      </c>
      <c r="D494" s="7" t="s">
        <v>34</v>
      </c>
      <c r="E494" s="7" t="s">
        <v>59</v>
      </c>
      <c r="F494" s="7" t="s">
        <v>40</v>
      </c>
      <c r="G494" s="7" t="s">
        <v>23</v>
      </c>
      <c r="H494" s="7" t="s">
        <v>57</v>
      </c>
      <c r="I494" s="7">
        <v>21</v>
      </c>
      <c r="J494" s="7">
        <v>66</v>
      </c>
      <c r="K494" s="20">
        <v>5668.56</v>
      </c>
      <c r="L494" s="20">
        <v>271.58</v>
      </c>
      <c r="M494" s="7">
        <v>162.63</v>
      </c>
      <c r="N494" s="20">
        <f>Table15[[#This Row],[Processing Fee]]-Table15[[#This Row],[Discount Applied]]</f>
        <v>108.94999999999999</v>
      </c>
      <c r="O494" s="7" t="str">
        <f>IF(Table15[[#This Row],[Revenue]]&gt;35000,"Achieved","Not Achieved")</f>
        <v>Not Achieved</v>
      </c>
      <c r="P494" s="8">
        <v>1</v>
      </c>
      <c r="Q494" s="7" t="str">
        <f>IF(AND(Table15[[#This Row],[CSAT Score]]&lt;=3,Table15[[#This Row],[Revenue]]&gt;=20000),"High-Risk","Stable")</f>
        <v>Stable</v>
      </c>
      <c r="R494" s="8" t="str" cm="1">
        <f t="array" ref="R494">_xlfn.IFS(Table15[[#This Row],[Revenue]]&gt;=35000,"Platinum",Table15[[#This Row],[Revenue]]&gt;=15000,"Gold",TRUE,"Standard")</f>
        <v>Standard</v>
      </c>
      <c r="S494" s="8" t="str">
        <f>IF(OR(Table15[[#This Row],[Product]]="Wealth Management",Table15[[#This Row],[Revenue]]&gt;=40000),"Yes","No")</f>
        <v>No</v>
      </c>
    </row>
    <row r="495" spans="1:19" x14ac:dyDescent="0.3">
      <c r="A495" s="5" t="s">
        <v>553</v>
      </c>
      <c r="B495" s="6">
        <v>46210</v>
      </c>
      <c r="C495" s="7" t="s">
        <v>75</v>
      </c>
      <c r="D495" s="7" t="s">
        <v>48</v>
      </c>
      <c r="E495" s="7" t="s">
        <v>46</v>
      </c>
      <c r="F495" s="7" t="s">
        <v>35</v>
      </c>
      <c r="G495" s="7" t="s">
        <v>30</v>
      </c>
      <c r="H495" s="7" t="s">
        <v>31</v>
      </c>
      <c r="I495" s="7">
        <v>40</v>
      </c>
      <c r="J495" s="7">
        <v>9</v>
      </c>
      <c r="K495" s="20">
        <v>28664.67</v>
      </c>
      <c r="L495" s="20">
        <v>426.53</v>
      </c>
      <c r="M495" s="7">
        <v>287.36</v>
      </c>
      <c r="N495" s="20">
        <f>Table15[[#This Row],[Processing Fee]]-Table15[[#This Row],[Discount Applied]]</f>
        <v>139.16999999999996</v>
      </c>
      <c r="O495" s="7" t="str">
        <f>IF(Table15[[#This Row],[Revenue]]&gt;35000,"Achieved","Not Achieved")</f>
        <v>Not Achieved</v>
      </c>
      <c r="P495" s="8">
        <v>4</v>
      </c>
      <c r="Q495" s="7" t="str">
        <f>IF(AND(Table15[[#This Row],[CSAT Score]]&lt;=3,Table15[[#This Row],[Revenue]]&gt;=20000),"High-Risk","Stable")</f>
        <v>Stable</v>
      </c>
      <c r="R495" s="8" t="str" cm="1">
        <f t="array" ref="R495">_xlfn.IFS(Table15[[#This Row],[Revenue]]&gt;=35000,"Platinum",Table15[[#This Row],[Revenue]]&gt;=15000,"Gold",TRUE,"Standard")</f>
        <v>Gold</v>
      </c>
      <c r="S495" s="8" t="str">
        <f>IF(OR(Table15[[#This Row],[Product]]="Wealth Management",Table15[[#This Row],[Revenue]]&gt;=40000),"Yes","No")</f>
        <v>No</v>
      </c>
    </row>
    <row r="496" spans="1:19" x14ac:dyDescent="0.3">
      <c r="A496" s="5" t="s">
        <v>554</v>
      </c>
      <c r="B496" s="6">
        <v>46039</v>
      </c>
      <c r="C496" s="7" t="s">
        <v>33</v>
      </c>
      <c r="D496" s="7" t="s">
        <v>61</v>
      </c>
      <c r="E496" s="7" t="s">
        <v>46</v>
      </c>
      <c r="F496" s="7" t="s">
        <v>69</v>
      </c>
      <c r="G496" s="7" t="s">
        <v>36</v>
      </c>
      <c r="H496" s="7" t="s">
        <v>24</v>
      </c>
      <c r="I496" s="7">
        <v>64</v>
      </c>
      <c r="J496" s="7">
        <v>107</v>
      </c>
      <c r="K496" s="20">
        <v>26808.22</v>
      </c>
      <c r="L496" s="20">
        <v>123.65</v>
      </c>
      <c r="M496" s="7">
        <v>176.75</v>
      </c>
      <c r="N496" s="20">
        <f>Table15[[#This Row],[Processing Fee]]-Table15[[#This Row],[Discount Applied]]</f>
        <v>-53.099999999999994</v>
      </c>
      <c r="O496" s="7" t="str">
        <f>IF(Table15[[#This Row],[Revenue]]&gt;35000,"Achieved","Not Achieved")</f>
        <v>Not Achieved</v>
      </c>
      <c r="P496" s="8">
        <v>3</v>
      </c>
      <c r="Q496" s="7" t="str">
        <f>IF(AND(Table15[[#This Row],[CSAT Score]]&lt;=3,Table15[[#This Row],[Revenue]]&gt;=20000),"High-Risk","Stable")</f>
        <v>High-Risk</v>
      </c>
      <c r="R496" s="8" t="str" cm="1">
        <f t="array" ref="R496">_xlfn.IFS(Table15[[#This Row],[Revenue]]&gt;=35000,"Platinum",Table15[[#This Row],[Revenue]]&gt;=15000,"Gold",TRUE,"Standard")</f>
        <v>Gold</v>
      </c>
      <c r="S496" s="8" t="str">
        <f>IF(OR(Table15[[#This Row],[Product]]="Wealth Management",Table15[[#This Row],[Revenue]]&gt;=40000),"Yes","No")</f>
        <v>No</v>
      </c>
    </row>
    <row r="497" spans="1:19" x14ac:dyDescent="0.3">
      <c r="A497" s="5" t="s">
        <v>555</v>
      </c>
      <c r="B497" s="6">
        <v>45951</v>
      </c>
      <c r="C497" s="7" t="s">
        <v>19</v>
      </c>
      <c r="D497" s="7" t="s">
        <v>87</v>
      </c>
      <c r="E497" s="7" t="s">
        <v>46</v>
      </c>
      <c r="F497" s="7" t="s">
        <v>69</v>
      </c>
      <c r="G497" s="7" t="s">
        <v>56</v>
      </c>
      <c r="H497" s="7" t="s">
        <v>24</v>
      </c>
      <c r="I497" s="7">
        <v>43</v>
      </c>
      <c r="J497" s="7">
        <v>100</v>
      </c>
      <c r="K497" s="20">
        <v>23169.18</v>
      </c>
      <c r="L497" s="20">
        <v>174.63</v>
      </c>
      <c r="M497" s="7">
        <v>186.67</v>
      </c>
      <c r="N497" s="20">
        <f>Table15[[#This Row],[Processing Fee]]-Table15[[#This Row],[Discount Applied]]</f>
        <v>-12.039999999999992</v>
      </c>
      <c r="O497" s="7" t="str">
        <f>IF(Table15[[#This Row],[Revenue]]&gt;35000,"Achieved","Not Achieved")</f>
        <v>Not Achieved</v>
      </c>
      <c r="P497" s="8">
        <v>2</v>
      </c>
      <c r="Q497" s="7" t="str">
        <f>IF(AND(Table15[[#This Row],[CSAT Score]]&lt;=3,Table15[[#This Row],[Revenue]]&gt;=20000),"High-Risk","Stable")</f>
        <v>High-Risk</v>
      </c>
      <c r="R497" s="8" t="str" cm="1">
        <f t="array" ref="R497">_xlfn.IFS(Table15[[#This Row],[Revenue]]&gt;=35000,"Platinum",Table15[[#This Row],[Revenue]]&gt;=15000,"Gold",TRUE,"Standard")</f>
        <v>Gold</v>
      </c>
      <c r="S497" s="8" t="str">
        <f>IF(OR(Table15[[#This Row],[Product]]="Wealth Management",Table15[[#This Row],[Revenue]]&gt;=40000),"Yes","No")</f>
        <v>No</v>
      </c>
    </row>
    <row r="498" spans="1:19" x14ac:dyDescent="0.3">
      <c r="A498" s="5" t="s">
        <v>556</v>
      </c>
      <c r="B498" s="6">
        <v>45932</v>
      </c>
      <c r="C498" s="7" t="s">
        <v>42</v>
      </c>
      <c r="D498" s="7" t="s">
        <v>83</v>
      </c>
      <c r="E498" s="7" t="s">
        <v>21</v>
      </c>
      <c r="F498" s="7" t="s">
        <v>29</v>
      </c>
      <c r="G498" s="7" t="s">
        <v>65</v>
      </c>
      <c r="H498" s="7" t="s">
        <v>53</v>
      </c>
      <c r="I498" s="7">
        <v>52</v>
      </c>
      <c r="J498" s="7">
        <v>86</v>
      </c>
      <c r="K498" s="20">
        <v>20141.07</v>
      </c>
      <c r="L498" s="20">
        <v>79.61</v>
      </c>
      <c r="M498" s="7">
        <v>171.75</v>
      </c>
      <c r="N498" s="20">
        <f>Table15[[#This Row],[Processing Fee]]-Table15[[#This Row],[Discount Applied]]</f>
        <v>-92.14</v>
      </c>
      <c r="O498" s="7" t="str">
        <f>IF(Table15[[#This Row],[Revenue]]&gt;35000,"Achieved","Not Achieved")</f>
        <v>Not Achieved</v>
      </c>
      <c r="P498" s="8">
        <v>3</v>
      </c>
      <c r="Q498" s="7" t="str">
        <f>IF(AND(Table15[[#This Row],[CSAT Score]]&lt;=3,Table15[[#This Row],[Revenue]]&gt;=20000),"High-Risk","Stable")</f>
        <v>High-Risk</v>
      </c>
      <c r="R498" s="8" t="str" cm="1">
        <f t="array" ref="R498">_xlfn.IFS(Table15[[#This Row],[Revenue]]&gt;=35000,"Platinum",Table15[[#This Row],[Revenue]]&gt;=15000,"Gold",TRUE,"Standard")</f>
        <v>Gold</v>
      </c>
      <c r="S498" s="8" t="str">
        <f>IF(OR(Table15[[#This Row],[Product]]="Wealth Management",Table15[[#This Row],[Revenue]]&gt;=40000),"Yes","No")</f>
        <v>No</v>
      </c>
    </row>
    <row r="499" spans="1:19" x14ac:dyDescent="0.3">
      <c r="A499" s="5" t="s">
        <v>557</v>
      </c>
      <c r="B499" s="6">
        <v>45953</v>
      </c>
      <c r="C499" s="7" t="s">
        <v>26</v>
      </c>
      <c r="D499" s="7" t="s">
        <v>48</v>
      </c>
      <c r="E499" s="7" t="s">
        <v>39</v>
      </c>
      <c r="F499" s="7" t="s">
        <v>69</v>
      </c>
      <c r="G499" s="7" t="s">
        <v>36</v>
      </c>
      <c r="H499" s="7" t="s">
        <v>57</v>
      </c>
      <c r="I499" s="7">
        <v>31</v>
      </c>
      <c r="J499" s="7">
        <v>64</v>
      </c>
      <c r="K499" s="20">
        <v>21844.92</v>
      </c>
      <c r="L499" s="20">
        <v>367.69</v>
      </c>
      <c r="M499" s="7">
        <v>138.68</v>
      </c>
      <c r="N499" s="20">
        <f>Table15[[#This Row],[Processing Fee]]-Table15[[#This Row],[Discount Applied]]</f>
        <v>229.01</v>
      </c>
      <c r="O499" s="7" t="str">
        <f>IF(Table15[[#This Row],[Revenue]]&gt;35000,"Achieved","Not Achieved")</f>
        <v>Not Achieved</v>
      </c>
      <c r="P499" s="8">
        <v>3</v>
      </c>
      <c r="Q499" s="7" t="str">
        <f>IF(AND(Table15[[#This Row],[CSAT Score]]&lt;=3,Table15[[#This Row],[Revenue]]&gt;=20000),"High-Risk","Stable")</f>
        <v>High-Risk</v>
      </c>
      <c r="R499" s="8" t="str" cm="1">
        <f t="array" ref="R499">_xlfn.IFS(Table15[[#This Row],[Revenue]]&gt;=35000,"Platinum",Table15[[#This Row],[Revenue]]&gt;=15000,"Gold",TRUE,"Standard")</f>
        <v>Gold</v>
      </c>
      <c r="S499" s="8" t="str">
        <f>IF(OR(Table15[[#This Row],[Product]]="Wealth Management",Table15[[#This Row],[Revenue]]&gt;=40000),"Yes","No")</f>
        <v>No</v>
      </c>
    </row>
    <row r="500" spans="1:19" x14ac:dyDescent="0.3">
      <c r="A500" s="5" t="s">
        <v>558</v>
      </c>
      <c r="B500" s="6">
        <v>46042</v>
      </c>
      <c r="C500" s="7" t="s">
        <v>91</v>
      </c>
      <c r="D500" s="7" t="s">
        <v>50</v>
      </c>
      <c r="E500" s="7" t="s">
        <v>46</v>
      </c>
      <c r="F500" s="7" t="s">
        <v>40</v>
      </c>
      <c r="G500" s="7" t="s">
        <v>65</v>
      </c>
      <c r="H500" s="7" t="s">
        <v>57</v>
      </c>
      <c r="I500" s="7">
        <v>59</v>
      </c>
      <c r="J500" s="7">
        <v>86</v>
      </c>
      <c r="K500" s="20">
        <v>28680.25</v>
      </c>
      <c r="L500" s="20">
        <v>157.19</v>
      </c>
      <c r="M500" s="7">
        <v>34.049999999999997</v>
      </c>
      <c r="N500" s="20">
        <f>Table15[[#This Row],[Processing Fee]]-Table15[[#This Row],[Discount Applied]]</f>
        <v>123.14</v>
      </c>
      <c r="O500" s="7" t="str">
        <f>IF(Table15[[#This Row],[Revenue]]&gt;35000,"Achieved","Not Achieved")</f>
        <v>Not Achieved</v>
      </c>
      <c r="P500" s="8">
        <v>3</v>
      </c>
      <c r="Q500" s="7" t="str">
        <f>IF(AND(Table15[[#This Row],[CSAT Score]]&lt;=3,Table15[[#This Row],[Revenue]]&gt;=20000),"High-Risk","Stable")</f>
        <v>High-Risk</v>
      </c>
      <c r="R500" s="8" t="str" cm="1">
        <f t="array" ref="R500">_xlfn.IFS(Table15[[#This Row],[Revenue]]&gt;=35000,"Platinum",Table15[[#This Row],[Revenue]]&gt;=15000,"Gold",TRUE,"Standard")</f>
        <v>Gold</v>
      </c>
      <c r="S500" s="8" t="str">
        <f>IF(OR(Table15[[#This Row],[Product]]="Wealth Management",Table15[[#This Row],[Revenue]]&gt;=40000),"Yes","No")</f>
        <v>No</v>
      </c>
    </row>
    <row r="501" spans="1:19" x14ac:dyDescent="0.3">
      <c r="A501" s="5" t="s">
        <v>559</v>
      </c>
      <c r="B501" s="6">
        <v>46234</v>
      </c>
      <c r="C501" s="7" t="s">
        <v>26</v>
      </c>
      <c r="D501" s="7" t="s">
        <v>20</v>
      </c>
      <c r="E501" s="7" t="s">
        <v>28</v>
      </c>
      <c r="F501" s="7" t="s">
        <v>40</v>
      </c>
      <c r="G501" s="7" t="s">
        <v>23</v>
      </c>
      <c r="H501" s="7" t="s">
        <v>24</v>
      </c>
      <c r="I501" s="7">
        <v>67</v>
      </c>
      <c r="J501" s="7">
        <v>22</v>
      </c>
      <c r="K501" s="20">
        <v>602.79</v>
      </c>
      <c r="L501" s="20">
        <v>224.9</v>
      </c>
      <c r="M501" s="7">
        <v>54.34</v>
      </c>
      <c r="N501" s="20">
        <f>Table15[[#This Row],[Processing Fee]]-Table15[[#This Row],[Discount Applied]]</f>
        <v>170.56</v>
      </c>
      <c r="O501" s="7" t="str">
        <f>IF(Table15[[#This Row],[Revenue]]&gt;35000,"Achieved","Not Achieved")</f>
        <v>Not Achieved</v>
      </c>
      <c r="P501" s="8">
        <v>4</v>
      </c>
      <c r="Q501" s="7" t="str">
        <f>IF(AND(Table15[[#This Row],[CSAT Score]]&lt;=3,Table15[[#This Row],[Revenue]]&gt;=20000),"High-Risk","Stable")</f>
        <v>Stable</v>
      </c>
      <c r="R501" s="8" t="str" cm="1">
        <f t="array" ref="R501">_xlfn.IFS(Table15[[#This Row],[Revenue]]&gt;=35000,"Platinum",Table15[[#This Row],[Revenue]]&gt;=15000,"Gold",TRUE,"Standard")</f>
        <v>Standard</v>
      </c>
      <c r="S501" s="8" t="str">
        <f>IF(OR(Table15[[#This Row],[Product]]="Wealth Management",Table15[[#This Row],[Revenue]]&gt;=40000),"Yes","No")</f>
        <v>No</v>
      </c>
    </row>
    <row r="502" spans="1:19" x14ac:dyDescent="0.3">
      <c r="A502" s="5" t="s">
        <v>560</v>
      </c>
      <c r="B502" s="6">
        <v>46162</v>
      </c>
      <c r="C502" s="7" t="s">
        <v>19</v>
      </c>
      <c r="D502" s="7" t="s">
        <v>38</v>
      </c>
      <c r="E502" s="7" t="s">
        <v>28</v>
      </c>
      <c r="F502" s="7" t="s">
        <v>40</v>
      </c>
      <c r="G502" s="7" t="s">
        <v>23</v>
      </c>
      <c r="H502" s="7" t="s">
        <v>31</v>
      </c>
      <c r="I502" s="7">
        <v>74</v>
      </c>
      <c r="J502" s="7">
        <v>34</v>
      </c>
      <c r="K502" s="20">
        <v>13405.08</v>
      </c>
      <c r="L502" s="20">
        <v>249.67</v>
      </c>
      <c r="M502" s="7">
        <v>63.82</v>
      </c>
      <c r="N502" s="20">
        <f>Table15[[#This Row],[Processing Fee]]-Table15[[#This Row],[Discount Applied]]</f>
        <v>185.85</v>
      </c>
      <c r="O502" s="7" t="str">
        <f>IF(Table15[[#This Row],[Revenue]]&gt;35000,"Achieved","Not Achieved")</f>
        <v>Not Achieved</v>
      </c>
      <c r="P502" s="8">
        <v>1</v>
      </c>
      <c r="Q502" s="7" t="str">
        <f>IF(AND(Table15[[#This Row],[CSAT Score]]&lt;=3,Table15[[#This Row],[Revenue]]&gt;=20000),"High-Risk","Stable")</f>
        <v>Stable</v>
      </c>
      <c r="R502" s="8" t="str" cm="1">
        <f t="array" ref="R502">_xlfn.IFS(Table15[[#This Row],[Revenue]]&gt;=35000,"Platinum",Table15[[#This Row],[Revenue]]&gt;=15000,"Gold",TRUE,"Standard")</f>
        <v>Standard</v>
      </c>
      <c r="S502" s="8" t="str">
        <f>IF(OR(Table15[[#This Row],[Product]]="Wealth Management",Table15[[#This Row],[Revenue]]&gt;=40000),"Yes","No")</f>
        <v>No</v>
      </c>
    </row>
    <row r="503" spans="1:19" x14ac:dyDescent="0.3">
      <c r="A503" s="5" t="s">
        <v>561</v>
      </c>
      <c r="B503" s="6">
        <v>45911</v>
      </c>
      <c r="C503" s="7" t="s">
        <v>33</v>
      </c>
      <c r="D503" s="7" t="s">
        <v>34</v>
      </c>
      <c r="E503" s="7" t="s">
        <v>59</v>
      </c>
      <c r="F503" s="7" t="s">
        <v>29</v>
      </c>
      <c r="G503" s="7" t="s">
        <v>23</v>
      </c>
      <c r="H503" s="7" t="s">
        <v>31</v>
      </c>
      <c r="I503" s="7">
        <v>44</v>
      </c>
      <c r="J503" s="7">
        <v>55</v>
      </c>
      <c r="K503" s="20">
        <v>26154.85</v>
      </c>
      <c r="L503" s="20">
        <v>451.09</v>
      </c>
      <c r="M503" s="7">
        <v>181.08</v>
      </c>
      <c r="N503" s="20">
        <f>Table15[[#This Row],[Processing Fee]]-Table15[[#This Row],[Discount Applied]]</f>
        <v>270.01</v>
      </c>
      <c r="O503" s="7" t="str">
        <f>IF(Table15[[#This Row],[Revenue]]&gt;35000,"Achieved","Not Achieved")</f>
        <v>Not Achieved</v>
      </c>
      <c r="P503" s="8">
        <v>2</v>
      </c>
      <c r="Q503" s="7" t="str">
        <f>IF(AND(Table15[[#This Row],[CSAT Score]]&lt;=3,Table15[[#This Row],[Revenue]]&gt;=20000),"High-Risk","Stable")</f>
        <v>High-Risk</v>
      </c>
      <c r="R503" s="8" t="str" cm="1">
        <f t="array" ref="R503">_xlfn.IFS(Table15[[#This Row],[Revenue]]&gt;=35000,"Platinum",Table15[[#This Row],[Revenue]]&gt;=15000,"Gold",TRUE,"Standard")</f>
        <v>Gold</v>
      </c>
      <c r="S503" s="8" t="str">
        <f>IF(OR(Table15[[#This Row],[Product]]="Wealth Management",Table15[[#This Row],[Revenue]]&gt;=40000),"Yes","No")</f>
        <v>No</v>
      </c>
    </row>
    <row r="504" spans="1:19" x14ac:dyDescent="0.3">
      <c r="A504" s="5" t="s">
        <v>562</v>
      </c>
      <c r="B504" s="6">
        <v>45960</v>
      </c>
      <c r="C504" s="7" t="s">
        <v>33</v>
      </c>
      <c r="D504" s="7" t="s">
        <v>50</v>
      </c>
      <c r="E504" s="7" t="s">
        <v>39</v>
      </c>
      <c r="F504" s="7" t="s">
        <v>40</v>
      </c>
      <c r="G504" s="7" t="s">
        <v>65</v>
      </c>
      <c r="H504" s="7" t="s">
        <v>24</v>
      </c>
      <c r="I504" s="7">
        <v>31</v>
      </c>
      <c r="J504" s="7">
        <v>29</v>
      </c>
      <c r="K504" s="20">
        <v>36249.699999999997</v>
      </c>
      <c r="L504" s="20">
        <v>235.1</v>
      </c>
      <c r="M504" s="7">
        <v>100.72</v>
      </c>
      <c r="N504" s="20">
        <f>Table15[[#This Row],[Processing Fee]]-Table15[[#This Row],[Discount Applied]]</f>
        <v>134.38</v>
      </c>
      <c r="O504" s="7" t="str">
        <f>IF(Table15[[#This Row],[Revenue]]&gt;35000,"Achieved","Not Achieved")</f>
        <v>Achieved</v>
      </c>
      <c r="P504" s="8">
        <v>1</v>
      </c>
      <c r="Q504" s="7" t="str">
        <f>IF(AND(Table15[[#This Row],[CSAT Score]]&lt;=3,Table15[[#This Row],[Revenue]]&gt;=20000),"High-Risk","Stable")</f>
        <v>High-Risk</v>
      </c>
      <c r="R504" s="8" t="str" cm="1">
        <f t="array" ref="R504">_xlfn.IFS(Table15[[#This Row],[Revenue]]&gt;=35000,"Platinum",Table15[[#This Row],[Revenue]]&gt;=15000,"Gold",TRUE,"Standard")</f>
        <v>Platinum</v>
      </c>
      <c r="S504" s="8" t="str">
        <f>IF(OR(Table15[[#This Row],[Product]]="Wealth Management",Table15[[#This Row],[Revenue]]&gt;=40000),"Yes","No")</f>
        <v>No</v>
      </c>
    </row>
    <row r="505" spans="1:19" x14ac:dyDescent="0.3">
      <c r="A505" s="5" t="s">
        <v>563</v>
      </c>
      <c r="B505" s="6">
        <v>45910</v>
      </c>
      <c r="C505" s="7" t="s">
        <v>44</v>
      </c>
      <c r="D505" s="7" t="s">
        <v>45</v>
      </c>
      <c r="E505" s="7" t="s">
        <v>46</v>
      </c>
      <c r="F505" s="7" t="s">
        <v>69</v>
      </c>
      <c r="G505" s="7" t="s">
        <v>36</v>
      </c>
      <c r="H505" s="7" t="s">
        <v>24</v>
      </c>
      <c r="I505" s="7">
        <v>49</v>
      </c>
      <c r="J505" s="7">
        <v>38</v>
      </c>
      <c r="K505" s="20">
        <v>9120.76</v>
      </c>
      <c r="L505" s="20">
        <v>115.35</v>
      </c>
      <c r="M505" s="7">
        <v>173.42</v>
      </c>
      <c r="N505" s="20">
        <f>Table15[[#This Row],[Processing Fee]]-Table15[[#This Row],[Discount Applied]]</f>
        <v>-58.069999999999993</v>
      </c>
      <c r="O505" s="7" t="str">
        <f>IF(Table15[[#This Row],[Revenue]]&gt;35000,"Achieved","Not Achieved")</f>
        <v>Not Achieved</v>
      </c>
      <c r="P505" s="8">
        <v>1</v>
      </c>
      <c r="Q505" s="7" t="str">
        <f>IF(AND(Table15[[#This Row],[CSAT Score]]&lt;=3,Table15[[#This Row],[Revenue]]&gt;=20000),"High-Risk","Stable")</f>
        <v>Stable</v>
      </c>
      <c r="R505" s="8" t="str" cm="1">
        <f t="array" ref="R505">_xlfn.IFS(Table15[[#This Row],[Revenue]]&gt;=35000,"Platinum",Table15[[#This Row],[Revenue]]&gt;=15000,"Gold",TRUE,"Standard")</f>
        <v>Standard</v>
      </c>
      <c r="S505" s="8" t="str">
        <f>IF(OR(Table15[[#This Row],[Product]]="Wealth Management",Table15[[#This Row],[Revenue]]&gt;=40000),"Yes","No")</f>
        <v>No</v>
      </c>
    </row>
    <row r="506" spans="1:19" x14ac:dyDescent="0.3">
      <c r="A506" s="5" t="s">
        <v>564</v>
      </c>
      <c r="B506" s="6">
        <v>45925</v>
      </c>
      <c r="C506" s="7" t="s">
        <v>19</v>
      </c>
      <c r="D506" s="7" t="s">
        <v>83</v>
      </c>
      <c r="E506" s="7" t="s">
        <v>28</v>
      </c>
      <c r="F506" s="7" t="s">
        <v>35</v>
      </c>
      <c r="G506" s="7" t="s">
        <v>23</v>
      </c>
      <c r="H506" s="7" t="s">
        <v>57</v>
      </c>
      <c r="I506" s="7">
        <v>74</v>
      </c>
      <c r="J506" s="7">
        <v>110</v>
      </c>
      <c r="K506" s="20">
        <v>27570.62</v>
      </c>
      <c r="L506" s="20">
        <v>285.94</v>
      </c>
      <c r="M506" s="7">
        <v>190.53</v>
      </c>
      <c r="N506" s="20">
        <f>Table15[[#This Row],[Processing Fee]]-Table15[[#This Row],[Discount Applied]]</f>
        <v>95.41</v>
      </c>
      <c r="O506" s="7" t="str">
        <f>IF(Table15[[#This Row],[Revenue]]&gt;35000,"Achieved","Not Achieved")</f>
        <v>Not Achieved</v>
      </c>
      <c r="P506" s="8">
        <v>5</v>
      </c>
      <c r="Q506" s="7" t="str">
        <f>IF(AND(Table15[[#This Row],[CSAT Score]]&lt;=3,Table15[[#This Row],[Revenue]]&gt;=20000),"High-Risk","Stable")</f>
        <v>Stable</v>
      </c>
      <c r="R506" s="8" t="str" cm="1">
        <f t="array" ref="R506">_xlfn.IFS(Table15[[#This Row],[Revenue]]&gt;=35000,"Platinum",Table15[[#This Row],[Revenue]]&gt;=15000,"Gold",TRUE,"Standard")</f>
        <v>Gold</v>
      </c>
      <c r="S506" s="8" t="str">
        <f>IF(OR(Table15[[#This Row],[Product]]="Wealth Management",Table15[[#This Row],[Revenue]]&gt;=40000),"Yes","No")</f>
        <v>No</v>
      </c>
    </row>
    <row r="507" spans="1:19" x14ac:dyDescent="0.3">
      <c r="A507" s="5" t="s">
        <v>565</v>
      </c>
      <c r="B507" s="6">
        <v>46215</v>
      </c>
      <c r="C507" s="7" t="s">
        <v>91</v>
      </c>
      <c r="D507" s="7" t="s">
        <v>87</v>
      </c>
      <c r="E507" s="7" t="s">
        <v>39</v>
      </c>
      <c r="F507" s="7" t="s">
        <v>35</v>
      </c>
      <c r="G507" s="7" t="s">
        <v>36</v>
      </c>
      <c r="H507" s="7" t="s">
        <v>31</v>
      </c>
      <c r="I507" s="7">
        <v>46</v>
      </c>
      <c r="J507" s="7">
        <v>97</v>
      </c>
      <c r="K507" s="20">
        <v>35865.75</v>
      </c>
      <c r="L507" s="20">
        <v>483.33</v>
      </c>
      <c r="M507" s="7">
        <v>121.46</v>
      </c>
      <c r="N507" s="20">
        <f>Table15[[#This Row],[Processing Fee]]-Table15[[#This Row],[Discount Applied]]</f>
        <v>361.87</v>
      </c>
      <c r="O507" s="7" t="str">
        <f>IF(Table15[[#This Row],[Revenue]]&gt;35000,"Achieved","Not Achieved")</f>
        <v>Achieved</v>
      </c>
      <c r="P507" s="8">
        <v>4</v>
      </c>
      <c r="Q507" s="7" t="str">
        <f>IF(AND(Table15[[#This Row],[CSAT Score]]&lt;=3,Table15[[#This Row],[Revenue]]&gt;=20000),"High-Risk","Stable")</f>
        <v>Stable</v>
      </c>
      <c r="R507" s="8" t="str" cm="1">
        <f t="array" ref="R507">_xlfn.IFS(Table15[[#This Row],[Revenue]]&gt;=35000,"Platinum",Table15[[#This Row],[Revenue]]&gt;=15000,"Gold",TRUE,"Standard")</f>
        <v>Platinum</v>
      </c>
      <c r="S507" s="8" t="str">
        <f>IF(OR(Table15[[#This Row],[Product]]="Wealth Management",Table15[[#This Row],[Revenue]]&gt;=40000),"Yes","No")</f>
        <v>No</v>
      </c>
    </row>
    <row r="508" spans="1:19" x14ac:dyDescent="0.3">
      <c r="A508" s="5" t="s">
        <v>566</v>
      </c>
      <c r="B508" s="6">
        <v>46084</v>
      </c>
      <c r="C508" s="7" t="s">
        <v>44</v>
      </c>
      <c r="D508" s="7" t="s">
        <v>34</v>
      </c>
      <c r="E508" s="7" t="s">
        <v>59</v>
      </c>
      <c r="F508" s="7" t="s">
        <v>22</v>
      </c>
      <c r="G508" s="7" t="s">
        <v>65</v>
      </c>
      <c r="H508" s="7" t="s">
        <v>24</v>
      </c>
      <c r="I508" s="7">
        <v>36</v>
      </c>
      <c r="J508" s="7">
        <v>18</v>
      </c>
      <c r="K508" s="20">
        <v>22509.07</v>
      </c>
      <c r="L508" s="20">
        <v>323.45999999999998</v>
      </c>
      <c r="M508" s="7">
        <v>101.27</v>
      </c>
      <c r="N508" s="20">
        <f>Table15[[#This Row],[Processing Fee]]-Table15[[#This Row],[Discount Applied]]</f>
        <v>222.19</v>
      </c>
      <c r="O508" s="7" t="str">
        <f>IF(Table15[[#This Row],[Revenue]]&gt;35000,"Achieved","Not Achieved")</f>
        <v>Not Achieved</v>
      </c>
      <c r="P508" s="8">
        <v>5</v>
      </c>
      <c r="Q508" s="7" t="str">
        <f>IF(AND(Table15[[#This Row],[CSAT Score]]&lt;=3,Table15[[#This Row],[Revenue]]&gt;=20000),"High-Risk","Stable")</f>
        <v>Stable</v>
      </c>
      <c r="R508" s="8" t="str" cm="1">
        <f t="array" ref="R508">_xlfn.IFS(Table15[[#This Row],[Revenue]]&gt;=35000,"Platinum",Table15[[#This Row],[Revenue]]&gt;=15000,"Gold",TRUE,"Standard")</f>
        <v>Gold</v>
      </c>
      <c r="S508" s="8" t="str">
        <f>IF(OR(Table15[[#This Row],[Product]]="Wealth Management",Table15[[#This Row],[Revenue]]&gt;=40000),"Yes","No")</f>
        <v>Yes</v>
      </c>
    </row>
    <row r="509" spans="1:19" x14ac:dyDescent="0.3">
      <c r="A509" s="5" t="s">
        <v>567</v>
      </c>
      <c r="B509" s="6">
        <v>46235</v>
      </c>
      <c r="C509" s="7" t="s">
        <v>42</v>
      </c>
      <c r="D509" s="7" t="s">
        <v>61</v>
      </c>
      <c r="E509" s="7" t="s">
        <v>21</v>
      </c>
      <c r="F509" s="7" t="s">
        <v>69</v>
      </c>
      <c r="G509" s="7" t="s">
        <v>36</v>
      </c>
      <c r="H509" s="7" t="s">
        <v>24</v>
      </c>
      <c r="I509" s="7">
        <v>55</v>
      </c>
      <c r="J509" s="7">
        <v>71</v>
      </c>
      <c r="K509" s="20">
        <v>1840.52</v>
      </c>
      <c r="L509" s="20">
        <v>492.52</v>
      </c>
      <c r="M509" s="7">
        <v>194.3</v>
      </c>
      <c r="N509" s="20">
        <f>Table15[[#This Row],[Processing Fee]]-Table15[[#This Row],[Discount Applied]]</f>
        <v>298.21999999999997</v>
      </c>
      <c r="O509" s="7" t="str">
        <f>IF(Table15[[#This Row],[Revenue]]&gt;35000,"Achieved","Not Achieved")</f>
        <v>Not Achieved</v>
      </c>
      <c r="P509" s="8">
        <v>4</v>
      </c>
      <c r="Q509" s="7" t="str">
        <f>IF(AND(Table15[[#This Row],[CSAT Score]]&lt;=3,Table15[[#This Row],[Revenue]]&gt;=20000),"High-Risk","Stable")</f>
        <v>Stable</v>
      </c>
      <c r="R509" s="8" t="str" cm="1">
        <f t="array" ref="R509">_xlfn.IFS(Table15[[#This Row],[Revenue]]&gt;=35000,"Platinum",Table15[[#This Row],[Revenue]]&gt;=15000,"Gold",TRUE,"Standard")</f>
        <v>Standard</v>
      </c>
      <c r="S509" s="8" t="str">
        <f>IF(OR(Table15[[#This Row],[Product]]="Wealth Management",Table15[[#This Row],[Revenue]]&gt;=40000),"Yes","No")</f>
        <v>No</v>
      </c>
    </row>
    <row r="510" spans="1:19" x14ac:dyDescent="0.3">
      <c r="A510" s="5" t="s">
        <v>568</v>
      </c>
      <c r="B510" s="6">
        <v>45939</v>
      </c>
      <c r="C510" s="7" t="s">
        <v>44</v>
      </c>
      <c r="D510" s="7" t="s">
        <v>48</v>
      </c>
      <c r="E510" s="7" t="s">
        <v>39</v>
      </c>
      <c r="F510" s="7" t="s">
        <v>40</v>
      </c>
      <c r="G510" s="7" t="s">
        <v>65</v>
      </c>
      <c r="H510" s="7" t="s">
        <v>53</v>
      </c>
      <c r="I510" s="7">
        <v>40</v>
      </c>
      <c r="J510" s="7">
        <v>65</v>
      </c>
      <c r="K510" s="20">
        <v>22738.77</v>
      </c>
      <c r="L510" s="20">
        <v>428.5</v>
      </c>
      <c r="M510" s="7">
        <v>55.25</v>
      </c>
      <c r="N510" s="20">
        <f>Table15[[#This Row],[Processing Fee]]-Table15[[#This Row],[Discount Applied]]</f>
        <v>373.25</v>
      </c>
      <c r="O510" s="7" t="str">
        <f>IF(Table15[[#This Row],[Revenue]]&gt;35000,"Achieved","Not Achieved")</f>
        <v>Not Achieved</v>
      </c>
      <c r="P510" s="8">
        <v>1</v>
      </c>
      <c r="Q510" s="7" t="str">
        <f>IF(AND(Table15[[#This Row],[CSAT Score]]&lt;=3,Table15[[#This Row],[Revenue]]&gt;=20000),"High-Risk","Stable")</f>
        <v>High-Risk</v>
      </c>
      <c r="R510" s="8" t="str" cm="1">
        <f t="array" ref="R510">_xlfn.IFS(Table15[[#This Row],[Revenue]]&gt;=35000,"Platinum",Table15[[#This Row],[Revenue]]&gt;=15000,"Gold",TRUE,"Standard")</f>
        <v>Gold</v>
      </c>
      <c r="S510" s="8" t="str">
        <f>IF(OR(Table15[[#This Row],[Product]]="Wealth Management",Table15[[#This Row],[Revenue]]&gt;=40000),"Yes","No")</f>
        <v>No</v>
      </c>
    </row>
    <row r="511" spans="1:19" x14ac:dyDescent="0.3">
      <c r="A511" s="5" t="s">
        <v>569</v>
      </c>
      <c r="B511" s="6">
        <v>46024</v>
      </c>
      <c r="C511" s="7" t="s">
        <v>55</v>
      </c>
      <c r="D511" s="7" t="s">
        <v>20</v>
      </c>
      <c r="E511" s="7" t="s">
        <v>39</v>
      </c>
      <c r="F511" s="7" t="s">
        <v>35</v>
      </c>
      <c r="G511" s="7" t="s">
        <v>65</v>
      </c>
      <c r="H511" s="7" t="s">
        <v>24</v>
      </c>
      <c r="I511" s="7">
        <v>66</v>
      </c>
      <c r="J511" s="7">
        <v>97</v>
      </c>
      <c r="K511" s="20">
        <v>15174.02</v>
      </c>
      <c r="L511" s="20">
        <v>66.180000000000007</v>
      </c>
      <c r="M511" s="7">
        <v>158.47999999999999</v>
      </c>
      <c r="N511" s="20">
        <f>Table15[[#This Row],[Processing Fee]]-Table15[[#This Row],[Discount Applied]]</f>
        <v>-92.299999999999983</v>
      </c>
      <c r="O511" s="7" t="str">
        <f>IF(Table15[[#This Row],[Revenue]]&gt;35000,"Achieved","Not Achieved")</f>
        <v>Not Achieved</v>
      </c>
      <c r="P511" s="8">
        <v>1</v>
      </c>
      <c r="Q511" s="7" t="str">
        <f>IF(AND(Table15[[#This Row],[CSAT Score]]&lt;=3,Table15[[#This Row],[Revenue]]&gt;=20000),"High-Risk","Stable")</f>
        <v>Stable</v>
      </c>
      <c r="R511" s="8" t="str" cm="1">
        <f t="array" ref="R511">_xlfn.IFS(Table15[[#This Row],[Revenue]]&gt;=35000,"Platinum",Table15[[#This Row],[Revenue]]&gt;=15000,"Gold",TRUE,"Standard")</f>
        <v>Gold</v>
      </c>
      <c r="S511" s="8" t="str">
        <f>IF(OR(Table15[[#This Row],[Product]]="Wealth Management",Table15[[#This Row],[Revenue]]&gt;=40000),"Yes","No")</f>
        <v>No</v>
      </c>
    </row>
    <row r="512" spans="1:19" x14ac:dyDescent="0.3">
      <c r="A512" s="5" t="s">
        <v>570</v>
      </c>
      <c r="B512" s="6">
        <v>46000</v>
      </c>
      <c r="C512" s="7" t="s">
        <v>91</v>
      </c>
      <c r="D512" s="7" t="s">
        <v>68</v>
      </c>
      <c r="E512" s="7" t="s">
        <v>21</v>
      </c>
      <c r="F512" s="7" t="s">
        <v>69</v>
      </c>
      <c r="G512" s="7" t="s">
        <v>56</v>
      </c>
      <c r="H512" s="7" t="s">
        <v>24</v>
      </c>
      <c r="I512" s="7">
        <v>23</v>
      </c>
      <c r="J512" s="7">
        <v>1</v>
      </c>
      <c r="K512" s="20">
        <v>46517.66</v>
      </c>
      <c r="L512" s="20">
        <v>346.28</v>
      </c>
      <c r="M512" s="7">
        <v>45.05</v>
      </c>
      <c r="N512" s="20">
        <f>Table15[[#This Row],[Processing Fee]]-Table15[[#This Row],[Discount Applied]]</f>
        <v>301.22999999999996</v>
      </c>
      <c r="O512" s="7" t="str">
        <f>IF(Table15[[#This Row],[Revenue]]&gt;35000,"Achieved","Not Achieved")</f>
        <v>Achieved</v>
      </c>
      <c r="P512" s="8">
        <v>4</v>
      </c>
      <c r="Q512" s="7" t="str">
        <f>IF(AND(Table15[[#This Row],[CSAT Score]]&lt;=3,Table15[[#This Row],[Revenue]]&gt;=20000),"High-Risk","Stable")</f>
        <v>Stable</v>
      </c>
      <c r="R512" s="8" t="str" cm="1">
        <f t="array" ref="R512">_xlfn.IFS(Table15[[#This Row],[Revenue]]&gt;=35000,"Platinum",Table15[[#This Row],[Revenue]]&gt;=15000,"Gold",TRUE,"Standard")</f>
        <v>Platinum</v>
      </c>
      <c r="S512" s="8" t="str">
        <f>IF(OR(Table15[[#This Row],[Product]]="Wealth Management",Table15[[#This Row],[Revenue]]&gt;=40000),"Yes","No")</f>
        <v>Yes</v>
      </c>
    </row>
    <row r="513" spans="1:19" x14ac:dyDescent="0.3">
      <c r="A513" s="5" t="s">
        <v>571</v>
      </c>
      <c r="B513" s="6">
        <v>46139</v>
      </c>
      <c r="C513" s="7" t="s">
        <v>55</v>
      </c>
      <c r="D513" s="7" t="s">
        <v>77</v>
      </c>
      <c r="E513" s="7" t="s">
        <v>39</v>
      </c>
      <c r="F513" s="7" t="s">
        <v>35</v>
      </c>
      <c r="G513" s="7" t="s">
        <v>65</v>
      </c>
      <c r="H513" s="7" t="s">
        <v>31</v>
      </c>
      <c r="I513" s="7">
        <v>21</v>
      </c>
      <c r="J513" s="7">
        <v>88</v>
      </c>
      <c r="K513" s="20">
        <v>6668.36</v>
      </c>
      <c r="L513" s="20">
        <v>179.05</v>
      </c>
      <c r="M513" s="7">
        <v>204.44</v>
      </c>
      <c r="N513" s="20">
        <f>Table15[[#This Row],[Processing Fee]]-Table15[[#This Row],[Discount Applied]]</f>
        <v>-25.389999999999986</v>
      </c>
      <c r="O513" s="7" t="str">
        <f>IF(Table15[[#This Row],[Revenue]]&gt;35000,"Achieved","Not Achieved")</f>
        <v>Not Achieved</v>
      </c>
      <c r="P513" s="8">
        <v>1</v>
      </c>
      <c r="Q513" s="7" t="str">
        <f>IF(AND(Table15[[#This Row],[CSAT Score]]&lt;=3,Table15[[#This Row],[Revenue]]&gt;=20000),"High-Risk","Stable")</f>
        <v>Stable</v>
      </c>
      <c r="R513" s="8" t="str" cm="1">
        <f t="array" ref="R513">_xlfn.IFS(Table15[[#This Row],[Revenue]]&gt;=35000,"Platinum",Table15[[#This Row],[Revenue]]&gt;=15000,"Gold",TRUE,"Standard")</f>
        <v>Standard</v>
      </c>
      <c r="S513" s="8" t="str">
        <f>IF(OR(Table15[[#This Row],[Product]]="Wealth Management",Table15[[#This Row],[Revenue]]&gt;=40000),"Yes","No")</f>
        <v>No</v>
      </c>
    </row>
    <row r="514" spans="1:19" x14ac:dyDescent="0.3">
      <c r="A514" s="5" t="s">
        <v>572</v>
      </c>
      <c r="B514" s="6">
        <v>46046</v>
      </c>
      <c r="C514" s="7" t="s">
        <v>19</v>
      </c>
      <c r="D514" s="7" t="s">
        <v>45</v>
      </c>
      <c r="E514" s="7" t="s">
        <v>59</v>
      </c>
      <c r="F514" s="7" t="s">
        <v>40</v>
      </c>
      <c r="G514" s="7" t="s">
        <v>65</v>
      </c>
      <c r="H514" s="7" t="s">
        <v>57</v>
      </c>
      <c r="I514" s="7">
        <v>73</v>
      </c>
      <c r="J514" s="7">
        <v>4</v>
      </c>
      <c r="K514" s="20">
        <v>32797.56</v>
      </c>
      <c r="L514" s="20">
        <v>301.83</v>
      </c>
      <c r="M514" s="7">
        <v>50.72</v>
      </c>
      <c r="N514" s="20">
        <f>Table15[[#This Row],[Processing Fee]]-Table15[[#This Row],[Discount Applied]]</f>
        <v>251.10999999999999</v>
      </c>
      <c r="O514" s="7" t="str">
        <f>IF(Table15[[#This Row],[Revenue]]&gt;35000,"Achieved","Not Achieved")</f>
        <v>Not Achieved</v>
      </c>
      <c r="P514" s="8">
        <v>1</v>
      </c>
      <c r="Q514" s="7" t="str">
        <f>IF(AND(Table15[[#This Row],[CSAT Score]]&lt;=3,Table15[[#This Row],[Revenue]]&gt;=20000),"High-Risk","Stable")</f>
        <v>High-Risk</v>
      </c>
      <c r="R514" s="8" t="str" cm="1">
        <f t="array" ref="R514">_xlfn.IFS(Table15[[#This Row],[Revenue]]&gt;=35000,"Platinum",Table15[[#This Row],[Revenue]]&gt;=15000,"Gold",TRUE,"Standard")</f>
        <v>Gold</v>
      </c>
      <c r="S514" s="8" t="str">
        <f>IF(OR(Table15[[#This Row],[Product]]="Wealth Management",Table15[[#This Row],[Revenue]]&gt;=40000),"Yes","No")</f>
        <v>No</v>
      </c>
    </row>
    <row r="515" spans="1:19" x14ac:dyDescent="0.3">
      <c r="A515" s="5" t="s">
        <v>573</v>
      </c>
      <c r="B515" s="6">
        <v>46184</v>
      </c>
      <c r="C515" s="7" t="s">
        <v>75</v>
      </c>
      <c r="D515" s="7" t="s">
        <v>83</v>
      </c>
      <c r="E515" s="7" t="s">
        <v>59</v>
      </c>
      <c r="F515" s="7" t="s">
        <v>35</v>
      </c>
      <c r="G515" s="7" t="s">
        <v>30</v>
      </c>
      <c r="H515" s="7" t="s">
        <v>31</v>
      </c>
      <c r="I515" s="7">
        <v>67</v>
      </c>
      <c r="J515" s="7">
        <v>4</v>
      </c>
      <c r="K515" s="20">
        <v>3109.63</v>
      </c>
      <c r="L515" s="20">
        <v>175.71</v>
      </c>
      <c r="M515" s="7">
        <v>265.12</v>
      </c>
      <c r="N515" s="20">
        <f>Table15[[#This Row],[Processing Fee]]-Table15[[#This Row],[Discount Applied]]</f>
        <v>-89.41</v>
      </c>
      <c r="O515" s="7" t="str">
        <f>IF(Table15[[#This Row],[Revenue]]&gt;35000,"Achieved","Not Achieved")</f>
        <v>Not Achieved</v>
      </c>
      <c r="P515" s="8">
        <v>2</v>
      </c>
      <c r="Q515" s="7" t="str">
        <f>IF(AND(Table15[[#This Row],[CSAT Score]]&lt;=3,Table15[[#This Row],[Revenue]]&gt;=20000),"High-Risk","Stable")</f>
        <v>Stable</v>
      </c>
      <c r="R515" s="8" t="str" cm="1">
        <f t="array" ref="R515">_xlfn.IFS(Table15[[#This Row],[Revenue]]&gt;=35000,"Platinum",Table15[[#This Row],[Revenue]]&gt;=15000,"Gold",TRUE,"Standard")</f>
        <v>Standard</v>
      </c>
      <c r="S515" s="8" t="str">
        <f>IF(OR(Table15[[#This Row],[Product]]="Wealth Management",Table15[[#This Row],[Revenue]]&gt;=40000),"Yes","No")</f>
        <v>No</v>
      </c>
    </row>
    <row r="516" spans="1:19" x14ac:dyDescent="0.3">
      <c r="A516" s="5" t="s">
        <v>574</v>
      </c>
      <c r="B516" s="6">
        <v>46212</v>
      </c>
      <c r="C516" s="7" t="s">
        <v>55</v>
      </c>
      <c r="D516" s="7" t="s">
        <v>77</v>
      </c>
      <c r="E516" s="7" t="s">
        <v>21</v>
      </c>
      <c r="F516" s="7" t="s">
        <v>22</v>
      </c>
      <c r="G516" s="7" t="s">
        <v>23</v>
      </c>
      <c r="H516" s="7" t="s">
        <v>57</v>
      </c>
      <c r="I516" s="7">
        <v>21</v>
      </c>
      <c r="J516" s="7">
        <v>82</v>
      </c>
      <c r="K516" s="20">
        <v>22585.439999999999</v>
      </c>
      <c r="L516" s="20">
        <v>206.99</v>
      </c>
      <c r="M516" s="7">
        <v>112.3</v>
      </c>
      <c r="N516" s="20">
        <f>Table15[[#This Row],[Processing Fee]]-Table15[[#This Row],[Discount Applied]]</f>
        <v>94.690000000000012</v>
      </c>
      <c r="O516" s="7" t="str">
        <f>IF(Table15[[#This Row],[Revenue]]&gt;35000,"Achieved","Not Achieved")</f>
        <v>Not Achieved</v>
      </c>
      <c r="P516" s="8">
        <v>5</v>
      </c>
      <c r="Q516" s="7" t="str">
        <f>IF(AND(Table15[[#This Row],[CSAT Score]]&lt;=3,Table15[[#This Row],[Revenue]]&gt;=20000),"High-Risk","Stable")</f>
        <v>Stable</v>
      </c>
      <c r="R516" s="8" t="str" cm="1">
        <f t="array" ref="R516">_xlfn.IFS(Table15[[#This Row],[Revenue]]&gt;=35000,"Platinum",Table15[[#This Row],[Revenue]]&gt;=15000,"Gold",TRUE,"Standard")</f>
        <v>Gold</v>
      </c>
      <c r="S516" s="8" t="str">
        <f>IF(OR(Table15[[#This Row],[Product]]="Wealth Management",Table15[[#This Row],[Revenue]]&gt;=40000),"Yes","No")</f>
        <v>Yes</v>
      </c>
    </row>
    <row r="517" spans="1:19" x14ac:dyDescent="0.3">
      <c r="A517" s="5" t="s">
        <v>575</v>
      </c>
      <c r="B517" s="6">
        <v>46053</v>
      </c>
      <c r="C517" s="7" t="s">
        <v>42</v>
      </c>
      <c r="D517" s="7" t="s">
        <v>34</v>
      </c>
      <c r="E517" s="7" t="s">
        <v>46</v>
      </c>
      <c r="F517" s="7" t="s">
        <v>22</v>
      </c>
      <c r="G517" s="7" t="s">
        <v>56</v>
      </c>
      <c r="H517" s="7" t="s">
        <v>53</v>
      </c>
      <c r="I517" s="7">
        <v>37</v>
      </c>
      <c r="J517" s="7">
        <v>27</v>
      </c>
      <c r="K517" s="20">
        <v>27921.98</v>
      </c>
      <c r="L517" s="20">
        <v>465.43</v>
      </c>
      <c r="M517" s="7">
        <v>37.19</v>
      </c>
      <c r="N517" s="20">
        <f>Table15[[#This Row],[Processing Fee]]-Table15[[#This Row],[Discount Applied]]</f>
        <v>428.24</v>
      </c>
      <c r="O517" s="7" t="str">
        <f>IF(Table15[[#This Row],[Revenue]]&gt;35000,"Achieved","Not Achieved")</f>
        <v>Not Achieved</v>
      </c>
      <c r="P517" s="8">
        <v>5</v>
      </c>
      <c r="Q517" s="7" t="str">
        <f>IF(AND(Table15[[#This Row],[CSAT Score]]&lt;=3,Table15[[#This Row],[Revenue]]&gt;=20000),"High-Risk","Stable")</f>
        <v>Stable</v>
      </c>
      <c r="R517" s="8" t="str" cm="1">
        <f t="array" ref="R517">_xlfn.IFS(Table15[[#This Row],[Revenue]]&gt;=35000,"Platinum",Table15[[#This Row],[Revenue]]&gt;=15000,"Gold",TRUE,"Standard")</f>
        <v>Gold</v>
      </c>
      <c r="S517" s="8" t="str">
        <f>IF(OR(Table15[[#This Row],[Product]]="Wealth Management",Table15[[#This Row],[Revenue]]&gt;=40000),"Yes","No")</f>
        <v>Yes</v>
      </c>
    </row>
    <row r="518" spans="1:19" x14ac:dyDescent="0.3">
      <c r="A518" s="5" t="s">
        <v>576</v>
      </c>
      <c r="B518" s="6">
        <v>46007</v>
      </c>
      <c r="C518" s="7" t="s">
        <v>44</v>
      </c>
      <c r="D518" s="7" t="s">
        <v>20</v>
      </c>
      <c r="E518" s="7" t="s">
        <v>28</v>
      </c>
      <c r="F518" s="7" t="s">
        <v>35</v>
      </c>
      <c r="G518" s="7" t="s">
        <v>56</v>
      </c>
      <c r="H518" s="7" t="s">
        <v>24</v>
      </c>
      <c r="I518" s="7">
        <v>22</v>
      </c>
      <c r="J518" s="7">
        <v>43</v>
      </c>
      <c r="K518" s="20">
        <v>15248.77</v>
      </c>
      <c r="L518" s="20">
        <v>142.99</v>
      </c>
      <c r="M518" s="7">
        <v>44.87</v>
      </c>
      <c r="N518" s="20">
        <f>Table15[[#This Row],[Processing Fee]]-Table15[[#This Row],[Discount Applied]]</f>
        <v>98.12</v>
      </c>
      <c r="O518" s="7" t="str">
        <f>IF(Table15[[#This Row],[Revenue]]&gt;35000,"Achieved","Not Achieved")</f>
        <v>Not Achieved</v>
      </c>
      <c r="P518" s="8">
        <v>5</v>
      </c>
      <c r="Q518" s="7" t="str">
        <f>IF(AND(Table15[[#This Row],[CSAT Score]]&lt;=3,Table15[[#This Row],[Revenue]]&gt;=20000),"High-Risk","Stable")</f>
        <v>Stable</v>
      </c>
      <c r="R518" s="8" t="str" cm="1">
        <f t="array" ref="R518">_xlfn.IFS(Table15[[#This Row],[Revenue]]&gt;=35000,"Platinum",Table15[[#This Row],[Revenue]]&gt;=15000,"Gold",TRUE,"Standard")</f>
        <v>Gold</v>
      </c>
      <c r="S518" s="8" t="str">
        <f>IF(OR(Table15[[#This Row],[Product]]="Wealth Management",Table15[[#This Row],[Revenue]]&gt;=40000),"Yes","No")</f>
        <v>No</v>
      </c>
    </row>
    <row r="519" spans="1:19" x14ac:dyDescent="0.3">
      <c r="A519" s="5" t="s">
        <v>577</v>
      </c>
      <c r="B519" s="6">
        <v>46062</v>
      </c>
      <c r="C519" s="7" t="s">
        <v>75</v>
      </c>
      <c r="D519" s="7" t="s">
        <v>20</v>
      </c>
      <c r="E519" s="7" t="s">
        <v>46</v>
      </c>
      <c r="F519" s="7" t="s">
        <v>69</v>
      </c>
      <c r="G519" s="7" t="s">
        <v>56</v>
      </c>
      <c r="H519" s="7" t="s">
        <v>53</v>
      </c>
      <c r="I519" s="7">
        <v>49</v>
      </c>
      <c r="J519" s="7">
        <v>59</v>
      </c>
      <c r="K519" s="20">
        <v>23026.240000000002</v>
      </c>
      <c r="L519" s="20">
        <v>443.35</v>
      </c>
      <c r="M519" s="7">
        <v>98.77</v>
      </c>
      <c r="N519" s="20">
        <f>Table15[[#This Row],[Processing Fee]]-Table15[[#This Row],[Discount Applied]]</f>
        <v>344.58000000000004</v>
      </c>
      <c r="O519" s="7" t="str">
        <f>IF(Table15[[#This Row],[Revenue]]&gt;35000,"Achieved","Not Achieved")</f>
        <v>Not Achieved</v>
      </c>
      <c r="P519" s="8">
        <v>3</v>
      </c>
      <c r="Q519" s="7" t="str">
        <f>IF(AND(Table15[[#This Row],[CSAT Score]]&lt;=3,Table15[[#This Row],[Revenue]]&gt;=20000),"High-Risk","Stable")</f>
        <v>High-Risk</v>
      </c>
      <c r="R519" s="8" t="str" cm="1">
        <f t="array" ref="R519">_xlfn.IFS(Table15[[#This Row],[Revenue]]&gt;=35000,"Platinum",Table15[[#This Row],[Revenue]]&gt;=15000,"Gold",TRUE,"Standard")</f>
        <v>Gold</v>
      </c>
      <c r="S519" s="8" t="str">
        <f>IF(OR(Table15[[#This Row],[Product]]="Wealth Management",Table15[[#This Row],[Revenue]]&gt;=40000),"Yes","No")</f>
        <v>No</v>
      </c>
    </row>
    <row r="520" spans="1:19" x14ac:dyDescent="0.3">
      <c r="A520" s="5" t="s">
        <v>578</v>
      </c>
      <c r="B520" s="6">
        <v>46130</v>
      </c>
      <c r="C520" s="7" t="s">
        <v>44</v>
      </c>
      <c r="D520" s="7" t="s">
        <v>50</v>
      </c>
      <c r="E520" s="7" t="s">
        <v>39</v>
      </c>
      <c r="F520" s="7" t="s">
        <v>69</v>
      </c>
      <c r="G520" s="7" t="s">
        <v>30</v>
      </c>
      <c r="H520" s="7" t="s">
        <v>57</v>
      </c>
      <c r="I520" s="7">
        <v>40</v>
      </c>
      <c r="J520" s="7">
        <v>32</v>
      </c>
      <c r="K520" s="20">
        <v>8595.91</v>
      </c>
      <c r="L520" s="20">
        <v>63.71</v>
      </c>
      <c r="M520" s="7">
        <v>192.32</v>
      </c>
      <c r="N520" s="20">
        <f>Table15[[#This Row],[Processing Fee]]-Table15[[#This Row],[Discount Applied]]</f>
        <v>-128.60999999999999</v>
      </c>
      <c r="O520" s="7" t="str">
        <f>IF(Table15[[#This Row],[Revenue]]&gt;35000,"Achieved","Not Achieved")</f>
        <v>Not Achieved</v>
      </c>
      <c r="P520" s="8">
        <v>2</v>
      </c>
      <c r="Q520" s="7" t="str">
        <f>IF(AND(Table15[[#This Row],[CSAT Score]]&lt;=3,Table15[[#This Row],[Revenue]]&gt;=20000),"High-Risk","Stable")</f>
        <v>Stable</v>
      </c>
      <c r="R520" s="8" t="str" cm="1">
        <f t="array" ref="R520">_xlfn.IFS(Table15[[#This Row],[Revenue]]&gt;=35000,"Platinum",Table15[[#This Row],[Revenue]]&gt;=15000,"Gold",TRUE,"Standard")</f>
        <v>Standard</v>
      </c>
      <c r="S520" s="8" t="str">
        <f>IF(OR(Table15[[#This Row],[Product]]="Wealth Management",Table15[[#This Row],[Revenue]]&gt;=40000),"Yes","No")</f>
        <v>No</v>
      </c>
    </row>
    <row r="521" spans="1:19" x14ac:dyDescent="0.3">
      <c r="A521" s="5" t="s">
        <v>579</v>
      </c>
      <c r="B521" s="6">
        <v>45998</v>
      </c>
      <c r="C521" s="7" t="s">
        <v>55</v>
      </c>
      <c r="D521" s="7" t="s">
        <v>27</v>
      </c>
      <c r="E521" s="7" t="s">
        <v>28</v>
      </c>
      <c r="F521" s="7" t="s">
        <v>69</v>
      </c>
      <c r="G521" s="7" t="s">
        <v>65</v>
      </c>
      <c r="H521" s="7" t="s">
        <v>31</v>
      </c>
      <c r="I521" s="7">
        <v>26</v>
      </c>
      <c r="J521" s="7">
        <v>33</v>
      </c>
      <c r="K521" s="20">
        <v>15554.13</v>
      </c>
      <c r="L521" s="20">
        <v>90.89</v>
      </c>
      <c r="M521" s="7">
        <v>230.9</v>
      </c>
      <c r="N521" s="20">
        <f>Table15[[#This Row],[Processing Fee]]-Table15[[#This Row],[Discount Applied]]</f>
        <v>-140.01</v>
      </c>
      <c r="O521" s="7" t="str">
        <f>IF(Table15[[#This Row],[Revenue]]&gt;35000,"Achieved","Not Achieved")</f>
        <v>Not Achieved</v>
      </c>
      <c r="P521" s="8">
        <v>5</v>
      </c>
      <c r="Q521" s="7" t="str">
        <f>IF(AND(Table15[[#This Row],[CSAT Score]]&lt;=3,Table15[[#This Row],[Revenue]]&gt;=20000),"High-Risk","Stable")</f>
        <v>Stable</v>
      </c>
      <c r="R521" s="8" t="str" cm="1">
        <f t="array" ref="R521">_xlfn.IFS(Table15[[#This Row],[Revenue]]&gt;=35000,"Platinum",Table15[[#This Row],[Revenue]]&gt;=15000,"Gold",TRUE,"Standard")</f>
        <v>Gold</v>
      </c>
      <c r="S521" s="8" t="str">
        <f>IF(OR(Table15[[#This Row],[Product]]="Wealth Management",Table15[[#This Row],[Revenue]]&gt;=40000),"Yes","No")</f>
        <v>No</v>
      </c>
    </row>
    <row r="522" spans="1:19" x14ac:dyDescent="0.3">
      <c r="A522" s="5" t="s">
        <v>580</v>
      </c>
      <c r="B522" s="6">
        <v>46174</v>
      </c>
      <c r="C522" s="7" t="s">
        <v>44</v>
      </c>
      <c r="D522" s="7" t="s">
        <v>27</v>
      </c>
      <c r="E522" s="7" t="s">
        <v>21</v>
      </c>
      <c r="F522" s="7" t="s">
        <v>35</v>
      </c>
      <c r="G522" s="7" t="s">
        <v>23</v>
      </c>
      <c r="H522" s="7" t="s">
        <v>31</v>
      </c>
      <c r="I522" s="7">
        <v>28</v>
      </c>
      <c r="J522" s="7">
        <v>28</v>
      </c>
      <c r="K522" s="20">
        <v>31244.76</v>
      </c>
      <c r="L522" s="20">
        <v>434.6</v>
      </c>
      <c r="M522" s="7">
        <v>146.49</v>
      </c>
      <c r="N522" s="20">
        <f>Table15[[#This Row],[Processing Fee]]-Table15[[#This Row],[Discount Applied]]</f>
        <v>288.11</v>
      </c>
      <c r="O522" s="7" t="str">
        <f>IF(Table15[[#This Row],[Revenue]]&gt;35000,"Achieved","Not Achieved")</f>
        <v>Not Achieved</v>
      </c>
      <c r="P522" s="8">
        <v>5</v>
      </c>
      <c r="Q522" s="7" t="str">
        <f>IF(AND(Table15[[#This Row],[CSAT Score]]&lt;=3,Table15[[#This Row],[Revenue]]&gt;=20000),"High-Risk","Stable")</f>
        <v>Stable</v>
      </c>
      <c r="R522" s="8" t="str" cm="1">
        <f t="array" ref="R522">_xlfn.IFS(Table15[[#This Row],[Revenue]]&gt;=35000,"Platinum",Table15[[#This Row],[Revenue]]&gt;=15000,"Gold",TRUE,"Standard")</f>
        <v>Gold</v>
      </c>
      <c r="S522" s="8" t="str">
        <f>IF(OR(Table15[[#This Row],[Product]]="Wealth Management",Table15[[#This Row],[Revenue]]&gt;=40000),"Yes","No")</f>
        <v>No</v>
      </c>
    </row>
    <row r="523" spans="1:19" x14ac:dyDescent="0.3">
      <c r="A523" s="5" t="s">
        <v>581</v>
      </c>
      <c r="B523" s="6">
        <v>46081</v>
      </c>
      <c r="C523" s="7" t="s">
        <v>19</v>
      </c>
      <c r="D523" s="7" t="s">
        <v>48</v>
      </c>
      <c r="E523" s="7" t="s">
        <v>21</v>
      </c>
      <c r="F523" s="7" t="s">
        <v>69</v>
      </c>
      <c r="G523" s="7" t="s">
        <v>36</v>
      </c>
      <c r="H523" s="7" t="s">
        <v>53</v>
      </c>
      <c r="I523" s="7">
        <v>49</v>
      </c>
      <c r="J523" s="7">
        <v>106</v>
      </c>
      <c r="K523" s="20">
        <v>15439.1</v>
      </c>
      <c r="L523" s="20">
        <v>333.75</v>
      </c>
      <c r="M523" s="7">
        <v>67.540000000000006</v>
      </c>
      <c r="N523" s="20">
        <f>Table15[[#This Row],[Processing Fee]]-Table15[[#This Row],[Discount Applied]]</f>
        <v>266.20999999999998</v>
      </c>
      <c r="O523" s="7" t="str">
        <f>IF(Table15[[#This Row],[Revenue]]&gt;35000,"Achieved","Not Achieved")</f>
        <v>Not Achieved</v>
      </c>
      <c r="P523" s="8">
        <v>2</v>
      </c>
      <c r="Q523" s="7" t="str">
        <f>IF(AND(Table15[[#This Row],[CSAT Score]]&lt;=3,Table15[[#This Row],[Revenue]]&gt;=20000),"High-Risk","Stable")</f>
        <v>Stable</v>
      </c>
      <c r="R523" s="8" t="str" cm="1">
        <f t="array" ref="R523">_xlfn.IFS(Table15[[#This Row],[Revenue]]&gt;=35000,"Platinum",Table15[[#This Row],[Revenue]]&gt;=15000,"Gold",TRUE,"Standard")</f>
        <v>Gold</v>
      </c>
      <c r="S523" s="8" t="str">
        <f>IF(OR(Table15[[#This Row],[Product]]="Wealth Management",Table15[[#This Row],[Revenue]]&gt;=40000),"Yes","No")</f>
        <v>No</v>
      </c>
    </row>
    <row r="524" spans="1:19" x14ac:dyDescent="0.3">
      <c r="A524" s="5" t="s">
        <v>582</v>
      </c>
      <c r="B524" s="6">
        <v>46092</v>
      </c>
      <c r="C524" s="7" t="s">
        <v>75</v>
      </c>
      <c r="D524" s="7" t="s">
        <v>50</v>
      </c>
      <c r="E524" s="7" t="s">
        <v>28</v>
      </c>
      <c r="F524" s="7" t="s">
        <v>40</v>
      </c>
      <c r="G524" s="7" t="s">
        <v>65</v>
      </c>
      <c r="H524" s="7" t="s">
        <v>57</v>
      </c>
      <c r="I524" s="7">
        <v>68</v>
      </c>
      <c r="J524" s="7">
        <v>105</v>
      </c>
      <c r="K524" s="20">
        <v>45037.279999999999</v>
      </c>
      <c r="L524" s="20">
        <v>386.26</v>
      </c>
      <c r="M524" s="7">
        <v>109.85</v>
      </c>
      <c r="N524" s="20">
        <f>Table15[[#This Row],[Processing Fee]]-Table15[[#This Row],[Discount Applied]]</f>
        <v>276.40999999999997</v>
      </c>
      <c r="O524" s="7" t="str">
        <f>IF(Table15[[#This Row],[Revenue]]&gt;35000,"Achieved","Not Achieved")</f>
        <v>Achieved</v>
      </c>
      <c r="P524" s="8">
        <v>1</v>
      </c>
      <c r="Q524" s="7" t="str">
        <f>IF(AND(Table15[[#This Row],[CSAT Score]]&lt;=3,Table15[[#This Row],[Revenue]]&gt;=20000),"High-Risk","Stable")</f>
        <v>High-Risk</v>
      </c>
      <c r="R524" s="8" t="str" cm="1">
        <f t="array" ref="R524">_xlfn.IFS(Table15[[#This Row],[Revenue]]&gt;=35000,"Platinum",Table15[[#This Row],[Revenue]]&gt;=15000,"Gold",TRUE,"Standard")</f>
        <v>Platinum</v>
      </c>
      <c r="S524" s="8" t="str">
        <f>IF(OR(Table15[[#This Row],[Product]]="Wealth Management",Table15[[#This Row],[Revenue]]&gt;=40000),"Yes","No")</f>
        <v>Yes</v>
      </c>
    </row>
    <row r="525" spans="1:19" x14ac:dyDescent="0.3">
      <c r="A525" s="5" t="s">
        <v>583</v>
      </c>
      <c r="B525" s="6">
        <v>46211</v>
      </c>
      <c r="C525" s="7" t="s">
        <v>19</v>
      </c>
      <c r="D525" s="7" t="s">
        <v>79</v>
      </c>
      <c r="E525" s="7" t="s">
        <v>59</v>
      </c>
      <c r="F525" s="7" t="s">
        <v>22</v>
      </c>
      <c r="G525" s="7" t="s">
        <v>30</v>
      </c>
      <c r="H525" s="7" t="s">
        <v>53</v>
      </c>
      <c r="I525" s="7">
        <v>71</v>
      </c>
      <c r="J525" s="7">
        <v>55</v>
      </c>
      <c r="K525" s="20">
        <v>31606.14</v>
      </c>
      <c r="L525" s="20">
        <v>144.24</v>
      </c>
      <c r="M525" s="7">
        <v>149.66999999999999</v>
      </c>
      <c r="N525" s="20">
        <f>Table15[[#This Row],[Processing Fee]]-Table15[[#This Row],[Discount Applied]]</f>
        <v>-5.4299999999999784</v>
      </c>
      <c r="O525" s="7" t="str">
        <f>IF(Table15[[#This Row],[Revenue]]&gt;35000,"Achieved","Not Achieved")</f>
        <v>Not Achieved</v>
      </c>
      <c r="P525" s="8">
        <v>5</v>
      </c>
      <c r="Q525" s="7" t="str">
        <f>IF(AND(Table15[[#This Row],[CSAT Score]]&lt;=3,Table15[[#This Row],[Revenue]]&gt;=20000),"High-Risk","Stable")</f>
        <v>Stable</v>
      </c>
      <c r="R525" s="8" t="str" cm="1">
        <f t="array" ref="R525">_xlfn.IFS(Table15[[#This Row],[Revenue]]&gt;=35000,"Platinum",Table15[[#This Row],[Revenue]]&gt;=15000,"Gold",TRUE,"Standard")</f>
        <v>Gold</v>
      </c>
      <c r="S525" s="8" t="str">
        <f>IF(OR(Table15[[#This Row],[Product]]="Wealth Management",Table15[[#This Row],[Revenue]]&gt;=40000),"Yes","No")</f>
        <v>Yes</v>
      </c>
    </row>
    <row r="526" spans="1:19" x14ac:dyDescent="0.3">
      <c r="A526" s="5" t="s">
        <v>584</v>
      </c>
      <c r="B526" s="6">
        <v>46078</v>
      </c>
      <c r="C526" s="7" t="s">
        <v>55</v>
      </c>
      <c r="D526" s="7" t="s">
        <v>48</v>
      </c>
      <c r="E526" s="7" t="s">
        <v>28</v>
      </c>
      <c r="F526" s="7" t="s">
        <v>40</v>
      </c>
      <c r="G526" s="7" t="s">
        <v>65</v>
      </c>
      <c r="H526" s="7" t="s">
        <v>53</v>
      </c>
      <c r="I526" s="7">
        <v>53</v>
      </c>
      <c r="J526" s="7">
        <v>100</v>
      </c>
      <c r="K526" s="20">
        <v>22213.13</v>
      </c>
      <c r="L526" s="20">
        <v>291.69</v>
      </c>
      <c r="M526" s="7">
        <v>156.79</v>
      </c>
      <c r="N526" s="20">
        <f>Table15[[#This Row],[Processing Fee]]-Table15[[#This Row],[Discount Applied]]</f>
        <v>134.9</v>
      </c>
      <c r="O526" s="7" t="str">
        <f>IF(Table15[[#This Row],[Revenue]]&gt;35000,"Achieved","Not Achieved")</f>
        <v>Not Achieved</v>
      </c>
      <c r="P526" s="8">
        <v>1</v>
      </c>
      <c r="Q526" s="7" t="str">
        <f>IF(AND(Table15[[#This Row],[CSAT Score]]&lt;=3,Table15[[#This Row],[Revenue]]&gt;=20000),"High-Risk","Stable")</f>
        <v>High-Risk</v>
      </c>
      <c r="R526" s="8" t="str" cm="1">
        <f t="array" ref="R526">_xlfn.IFS(Table15[[#This Row],[Revenue]]&gt;=35000,"Platinum",Table15[[#This Row],[Revenue]]&gt;=15000,"Gold",TRUE,"Standard")</f>
        <v>Gold</v>
      </c>
      <c r="S526" s="8" t="str">
        <f>IF(OR(Table15[[#This Row],[Product]]="Wealth Management",Table15[[#This Row],[Revenue]]&gt;=40000),"Yes","No")</f>
        <v>No</v>
      </c>
    </row>
    <row r="527" spans="1:19" x14ac:dyDescent="0.3">
      <c r="A527" s="5" t="s">
        <v>585</v>
      </c>
      <c r="B527" s="6">
        <v>46097</v>
      </c>
      <c r="C527" s="7" t="s">
        <v>19</v>
      </c>
      <c r="D527" s="7" t="s">
        <v>79</v>
      </c>
      <c r="E527" s="7" t="s">
        <v>39</v>
      </c>
      <c r="F527" s="7" t="s">
        <v>69</v>
      </c>
      <c r="G527" s="7" t="s">
        <v>65</v>
      </c>
      <c r="H527" s="7" t="s">
        <v>24</v>
      </c>
      <c r="I527" s="7">
        <v>23</v>
      </c>
      <c r="J527" s="7">
        <v>60</v>
      </c>
      <c r="K527" s="20">
        <v>2418.4699999999998</v>
      </c>
      <c r="L527" s="20">
        <v>381.75</v>
      </c>
      <c r="M527" s="7">
        <v>64.92</v>
      </c>
      <c r="N527" s="20">
        <f>Table15[[#This Row],[Processing Fee]]-Table15[[#This Row],[Discount Applied]]</f>
        <v>316.83</v>
      </c>
      <c r="O527" s="7" t="str">
        <f>IF(Table15[[#This Row],[Revenue]]&gt;35000,"Achieved","Not Achieved")</f>
        <v>Not Achieved</v>
      </c>
      <c r="P527" s="8">
        <v>5</v>
      </c>
      <c r="Q527" s="7" t="str">
        <f>IF(AND(Table15[[#This Row],[CSAT Score]]&lt;=3,Table15[[#This Row],[Revenue]]&gt;=20000),"High-Risk","Stable")</f>
        <v>Stable</v>
      </c>
      <c r="R527" s="8" t="str" cm="1">
        <f t="array" ref="R527">_xlfn.IFS(Table15[[#This Row],[Revenue]]&gt;=35000,"Platinum",Table15[[#This Row],[Revenue]]&gt;=15000,"Gold",TRUE,"Standard")</f>
        <v>Standard</v>
      </c>
      <c r="S527" s="8" t="str">
        <f>IF(OR(Table15[[#This Row],[Product]]="Wealth Management",Table15[[#This Row],[Revenue]]&gt;=40000),"Yes","No")</f>
        <v>No</v>
      </c>
    </row>
    <row r="528" spans="1:19" x14ac:dyDescent="0.3">
      <c r="A528" s="5" t="s">
        <v>586</v>
      </c>
      <c r="B528" s="6">
        <v>45912</v>
      </c>
      <c r="C528" s="7" t="s">
        <v>42</v>
      </c>
      <c r="D528" s="7" t="s">
        <v>27</v>
      </c>
      <c r="E528" s="7" t="s">
        <v>59</v>
      </c>
      <c r="F528" s="7" t="s">
        <v>40</v>
      </c>
      <c r="G528" s="7" t="s">
        <v>30</v>
      </c>
      <c r="H528" s="7" t="s">
        <v>53</v>
      </c>
      <c r="I528" s="7">
        <v>55</v>
      </c>
      <c r="J528" s="7">
        <v>70</v>
      </c>
      <c r="K528" s="20">
        <v>25227.64</v>
      </c>
      <c r="L528" s="20">
        <v>332.29</v>
      </c>
      <c r="M528" s="7">
        <v>144.22999999999999</v>
      </c>
      <c r="N528" s="20">
        <f>Table15[[#This Row],[Processing Fee]]-Table15[[#This Row],[Discount Applied]]</f>
        <v>188.06000000000003</v>
      </c>
      <c r="O528" s="7" t="str">
        <f>IF(Table15[[#This Row],[Revenue]]&gt;35000,"Achieved","Not Achieved")</f>
        <v>Not Achieved</v>
      </c>
      <c r="P528" s="8">
        <v>4</v>
      </c>
      <c r="Q528" s="7" t="str">
        <f>IF(AND(Table15[[#This Row],[CSAT Score]]&lt;=3,Table15[[#This Row],[Revenue]]&gt;=20000),"High-Risk","Stable")</f>
        <v>Stable</v>
      </c>
      <c r="R528" s="8" t="str" cm="1">
        <f t="array" ref="R528">_xlfn.IFS(Table15[[#This Row],[Revenue]]&gt;=35000,"Platinum",Table15[[#This Row],[Revenue]]&gt;=15000,"Gold",TRUE,"Standard")</f>
        <v>Gold</v>
      </c>
      <c r="S528" s="8" t="str">
        <f>IF(OR(Table15[[#This Row],[Product]]="Wealth Management",Table15[[#This Row],[Revenue]]&gt;=40000),"Yes","No")</f>
        <v>No</v>
      </c>
    </row>
    <row r="529" spans="1:19" x14ac:dyDescent="0.3">
      <c r="A529" s="5" t="s">
        <v>587</v>
      </c>
      <c r="B529" s="6">
        <v>46153</v>
      </c>
      <c r="C529" s="7" t="s">
        <v>55</v>
      </c>
      <c r="D529" s="7" t="s">
        <v>50</v>
      </c>
      <c r="E529" s="7" t="s">
        <v>21</v>
      </c>
      <c r="F529" s="7" t="s">
        <v>69</v>
      </c>
      <c r="G529" s="7" t="s">
        <v>56</v>
      </c>
      <c r="H529" s="7" t="s">
        <v>24</v>
      </c>
      <c r="I529" s="7">
        <v>25</v>
      </c>
      <c r="J529" s="7">
        <v>62</v>
      </c>
      <c r="K529" s="20">
        <v>38356.42</v>
      </c>
      <c r="L529" s="20">
        <v>262.26</v>
      </c>
      <c r="M529" s="7">
        <v>131.56</v>
      </c>
      <c r="N529" s="20">
        <f>Table15[[#This Row],[Processing Fee]]-Table15[[#This Row],[Discount Applied]]</f>
        <v>130.69999999999999</v>
      </c>
      <c r="O529" s="7" t="str">
        <f>IF(Table15[[#This Row],[Revenue]]&gt;35000,"Achieved","Not Achieved")</f>
        <v>Achieved</v>
      </c>
      <c r="P529" s="8">
        <v>3</v>
      </c>
      <c r="Q529" s="7" t="str">
        <f>IF(AND(Table15[[#This Row],[CSAT Score]]&lt;=3,Table15[[#This Row],[Revenue]]&gt;=20000),"High-Risk","Stable")</f>
        <v>High-Risk</v>
      </c>
      <c r="R529" s="8" t="str" cm="1">
        <f t="array" ref="R529">_xlfn.IFS(Table15[[#This Row],[Revenue]]&gt;=35000,"Platinum",Table15[[#This Row],[Revenue]]&gt;=15000,"Gold",TRUE,"Standard")</f>
        <v>Platinum</v>
      </c>
      <c r="S529" s="8" t="str">
        <f>IF(OR(Table15[[#This Row],[Product]]="Wealth Management",Table15[[#This Row],[Revenue]]&gt;=40000),"Yes","No")</f>
        <v>No</v>
      </c>
    </row>
    <row r="530" spans="1:19" x14ac:dyDescent="0.3">
      <c r="A530" s="5" t="s">
        <v>588</v>
      </c>
      <c r="B530" s="6">
        <v>46134</v>
      </c>
      <c r="C530" s="7" t="s">
        <v>55</v>
      </c>
      <c r="D530" s="7" t="s">
        <v>79</v>
      </c>
      <c r="E530" s="7" t="s">
        <v>28</v>
      </c>
      <c r="F530" s="7" t="s">
        <v>35</v>
      </c>
      <c r="G530" s="7" t="s">
        <v>56</v>
      </c>
      <c r="H530" s="7" t="s">
        <v>24</v>
      </c>
      <c r="I530" s="7">
        <v>47</v>
      </c>
      <c r="J530" s="7">
        <v>80</v>
      </c>
      <c r="K530" s="20">
        <v>13645.1</v>
      </c>
      <c r="L530" s="20">
        <v>481.9</v>
      </c>
      <c r="M530" s="7">
        <v>191.82</v>
      </c>
      <c r="N530" s="20">
        <f>Table15[[#This Row],[Processing Fee]]-Table15[[#This Row],[Discount Applied]]</f>
        <v>290.08</v>
      </c>
      <c r="O530" s="7" t="str">
        <f>IF(Table15[[#This Row],[Revenue]]&gt;35000,"Achieved","Not Achieved")</f>
        <v>Not Achieved</v>
      </c>
      <c r="P530" s="8">
        <v>5</v>
      </c>
      <c r="Q530" s="7" t="str">
        <f>IF(AND(Table15[[#This Row],[CSAT Score]]&lt;=3,Table15[[#This Row],[Revenue]]&gt;=20000),"High-Risk","Stable")</f>
        <v>Stable</v>
      </c>
      <c r="R530" s="8" t="str" cm="1">
        <f t="array" ref="R530">_xlfn.IFS(Table15[[#This Row],[Revenue]]&gt;=35000,"Platinum",Table15[[#This Row],[Revenue]]&gt;=15000,"Gold",TRUE,"Standard")</f>
        <v>Standard</v>
      </c>
      <c r="S530" s="8" t="str">
        <f>IF(OR(Table15[[#This Row],[Product]]="Wealth Management",Table15[[#This Row],[Revenue]]&gt;=40000),"Yes","No")</f>
        <v>No</v>
      </c>
    </row>
    <row r="531" spans="1:19" x14ac:dyDescent="0.3">
      <c r="A531" s="5" t="s">
        <v>589</v>
      </c>
      <c r="B531" s="6">
        <v>46009</v>
      </c>
      <c r="C531" s="7" t="s">
        <v>55</v>
      </c>
      <c r="D531" s="7" t="s">
        <v>45</v>
      </c>
      <c r="E531" s="7" t="s">
        <v>46</v>
      </c>
      <c r="F531" s="7" t="s">
        <v>40</v>
      </c>
      <c r="G531" s="7" t="s">
        <v>23</v>
      </c>
      <c r="H531" s="7" t="s">
        <v>31</v>
      </c>
      <c r="I531" s="7">
        <v>64</v>
      </c>
      <c r="J531" s="7">
        <v>34</v>
      </c>
      <c r="K531" s="20">
        <v>40435.29</v>
      </c>
      <c r="L531" s="20">
        <v>354.27</v>
      </c>
      <c r="M531" s="7">
        <v>279.33</v>
      </c>
      <c r="N531" s="20">
        <f>Table15[[#This Row],[Processing Fee]]-Table15[[#This Row],[Discount Applied]]</f>
        <v>74.94</v>
      </c>
      <c r="O531" s="7" t="str">
        <f>IF(Table15[[#This Row],[Revenue]]&gt;35000,"Achieved","Not Achieved")</f>
        <v>Achieved</v>
      </c>
      <c r="P531" s="8">
        <v>4</v>
      </c>
      <c r="Q531" s="7" t="str">
        <f>IF(AND(Table15[[#This Row],[CSAT Score]]&lt;=3,Table15[[#This Row],[Revenue]]&gt;=20000),"High-Risk","Stable")</f>
        <v>Stable</v>
      </c>
      <c r="R531" s="8" t="str" cm="1">
        <f t="array" ref="R531">_xlfn.IFS(Table15[[#This Row],[Revenue]]&gt;=35000,"Platinum",Table15[[#This Row],[Revenue]]&gt;=15000,"Gold",TRUE,"Standard")</f>
        <v>Platinum</v>
      </c>
      <c r="S531" s="8" t="str">
        <f>IF(OR(Table15[[#This Row],[Product]]="Wealth Management",Table15[[#This Row],[Revenue]]&gt;=40000),"Yes","No")</f>
        <v>Yes</v>
      </c>
    </row>
    <row r="532" spans="1:19" x14ac:dyDescent="0.3">
      <c r="A532" s="5" t="s">
        <v>590</v>
      </c>
      <c r="B532" s="6">
        <v>46081</v>
      </c>
      <c r="C532" s="7" t="s">
        <v>91</v>
      </c>
      <c r="D532" s="7" t="s">
        <v>50</v>
      </c>
      <c r="E532" s="7" t="s">
        <v>46</v>
      </c>
      <c r="F532" s="7" t="s">
        <v>35</v>
      </c>
      <c r="G532" s="7" t="s">
        <v>23</v>
      </c>
      <c r="H532" s="7" t="s">
        <v>24</v>
      </c>
      <c r="I532" s="7">
        <v>32</v>
      </c>
      <c r="J532" s="7">
        <v>87</v>
      </c>
      <c r="K532" s="20">
        <v>12964.43</v>
      </c>
      <c r="L532" s="20">
        <v>458.49</v>
      </c>
      <c r="M532" s="7">
        <v>157.88</v>
      </c>
      <c r="N532" s="20">
        <f>Table15[[#This Row],[Processing Fee]]-Table15[[#This Row],[Discount Applied]]</f>
        <v>300.61</v>
      </c>
      <c r="O532" s="7" t="str">
        <f>IF(Table15[[#This Row],[Revenue]]&gt;35000,"Achieved","Not Achieved")</f>
        <v>Not Achieved</v>
      </c>
      <c r="P532" s="8">
        <v>2</v>
      </c>
      <c r="Q532" s="7" t="str">
        <f>IF(AND(Table15[[#This Row],[CSAT Score]]&lt;=3,Table15[[#This Row],[Revenue]]&gt;=20000),"High-Risk","Stable")</f>
        <v>Stable</v>
      </c>
      <c r="R532" s="8" t="str" cm="1">
        <f t="array" ref="R532">_xlfn.IFS(Table15[[#This Row],[Revenue]]&gt;=35000,"Platinum",Table15[[#This Row],[Revenue]]&gt;=15000,"Gold",TRUE,"Standard")</f>
        <v>Standard</v>
      </c>
      <c r="S532" s="8" t="str">
        <f>IF(OR(Table15[[#This Row],[Product]]="Wealth Management",Table15[[#This Row],[Revenue]]&gt;=40000),"Yes","No")</f>
        <v>No</v>
      </c>
    </row>
    <row r="533" spans="1:19" x14ac:dyDescent="0.3">
      <c r="A533" s="5" t="s">
        <v>591</v>
      </c>
      <c r="B533" s="6">
        <v>46230</v>
      </c>
      <c r="C533" s="7" t="s">
        <v>44</v>
      </c>
      <c r="D533" s="7" t="s">
        <v>27</v>
      </c>
      <c r="E533" s="7" t="s">
        <v>39</v>
      </c>
      <c r="F533" s="7" t="s">
        <v>35</v>
      </c>
      <c r="G533" s="7" t="s">
        <v>56</v>
      </c>
      <c r="H533" s="7" t="s">
        <v>24</v>
      </c>
      <c r="I533" s="7">
        <v>40</v>
      </c>
      <c r="J533" s="7">
        <v>114</v>
      </c>
      <c r="K533" s="20">
        <v>41275.449999999997</v>
      </c>
      <c r="L533" s="20">
        <v>378.4</v>
      </c>
      <c r="M533" s="7">
        <v>144.68</v>
      </c>
      <c r="N533" s="20">
        <f>Table15[[#This Row],[Processing Fee]]-Table15[[#This Row],[Discount Applied]]</f>
        <v>233.71999999999997</v>
      </c>
      <c r="O533" s="7" t="str">
        <f>IF(Table15[[#This Row],[Revenue]]&gt;35000,"Achieved","Not Achieved")</f>
        <v>Achieved</v>
      </c>
      <c r="P533" s="8">
        <v>4</v>
      </c>
      <c r="Q533" s="7" t="str">
        <f>IF(AND(Table15[[#This Row],[CSAT Score]]&lt;=3,Table15[[#This Row],[Revenue]]&gt;=20000),"High-Risk","Stable")</f>
        <v>Stable</v>
      </c>
      <c r="R533" s="8" t="str" cm="1">
        <f t="array" ref="R533">_xlfn.IFS(Table15[[#This Row],[Revenue]]&gt;=35000,"Platinum",Table15[[#This Row],[Revenue]]&gt;=15000,"Gold",TRUE,"Standard")</f>
        <v>Platinum</v>
      </c>
      <c r="S533" s="8" t="str">
        <f>IF(OR(Table15[[#This Row],[Product]]="Wealth Management",Table15[[#This Row],[Revenue]]&gt;=40000),"Yes","No")</f>
        <v>Yes</v>
      </c>
    </row>
    <row r="534" spans="1:19" x14ac:dyDescent="0.3">
      <c r="A534" s="5" t="s">
        <v>592</v>
      </c>
      <c r="B534" s="6">
        <v>46155</v>
      </c>
      <c r="C534" s="7" t="s">
        <v>91</v>
      </c>
      <c r="D534" s="7" t="s">
        <v>48</v>
      </c>
      <c r="E534" s="7" t="s">
        <v>46</v>
      </c>
      <c r="F534" s="7" t="s">
        <v>29</v>
      </c>
      <c r="G534" s="7" t="s">
        <v>36</v>
      </c>
      <c r="H534" s="7" t="s">
        <v>31</v>
      </c>
      <c r="I534" s="7">
        <v>65</v>
      </c>
      <c r="J534" s="7">
        <v>106</v>
      </c>
      <c r="K534" s="20">
        <v>4720.78</v>
      </c>
      <c r="L534" s="20">
        <v>380.96</v>
      </c>
      <c r="M534" s="7">
        <v>82.22</v>
      </c>
      <c r="N534" s="20">
        <f>Table15[[#This Row],[Processing Fee]]-Table15[[#This Row],[Discount Applied]]</f>
        <v>298.74</v>
      </c>
      <c r="O534" s="7" t="str">
        <f>IF(Table15[[#This Row],[Revenue]]&gt;35000,"Achieved","Not Achieved")</f>
        <v>Not Achieved</v>
      </c>
      <c r="P534" s="8">
        <v>2</v>
      </c>
      <c r="Q534" s="7" t="str">
        <f>IF(AND(Table15[[#This Row],[CSAT Score]]&lt;=3,Table15[[#This Row],[Revenue]]&gt;=20000),"High-Risk","Stable")</f>
        <v>Stable</v>
      </c>
      <c r="R534" s="8" t="str" cm="1">
        <f t="array" ref="R534">_xlfn.IFS(Table15[[#This Row],[Revenue]]&gt;=35000,"Platinum",Table15[[#This Row],[Revenue]]&gt;=15000,"Gold",TRUE,"Standard")</f>
        <v>Standard</v>
      </c>
      <c r="S534" s="8" t="str">
        <f>IF(OR(Table15[[#This Row],[Product]]="Wealth Management",Table15[[#This Row],[Revenue]]&gt;=40000),"Yes","No")</f>
        <v>No</v>
      </c>
    </row>
    <row r="535" spans="1:19" x14ac:dyDescent="0.3">
      <c r="A535" s="5" t="s">
        <v>593</v>
      </c>
      <c r="B535" s="6">
        <v>46069</v>
      </c>
      <c r="C535" s="7" t="s">
        <v>91</v>
      </c>
      <c r="D535" s="7" t="s">
        <v>52</v>
      </c>
      <c r="E535" s="7" t="s">
        <v>28</v>
      </c>
      <c r="F535" s="7" t="s">
        <v>69</v>
      </c>
      <c r="G535" s="7" t="s">
        <v>65</v>
      </c>
      <c r="H535" s="7" t="s">
        <v>53</v>
      </c>
      <c r="I535" s="7">
        <v>40</v>
      </c>
      <c r="J535" s="7">
        <v>88</v>
      </c>
      <c r="K535" s="20">
        <v>43376.09</v>
      </c>
      <c r="L535" s="20">
        <v>86.01</v>
      </c>
      <c r="M535" s="7">
        <v>169.19</v>
      </c>
      <c r="N535" s="20">
        <f>Table15[[#This Row],[Processing Fee]]-Table15[[#This Row],[Discount Applied]]</f>
        <v>-83.179999999999993</v>
      </c>
      <c r="O535" s="7" t="str">
        <f>IF(Table15[[#This Row],[Revenue]]&gt;35000,"Achieved","Not Achieved")</f>
        <v>Achieved</v>
      </c>
      <c r="P535" s="8">
        <v>5</v>
      </c>
      <c r="Q535" s="7" t="str">
        <f>IF(AND(Table15[[#This Row],[CSAT Score]]&lt;=3,Table15[[#This Row],[Revenue]]&gt;=20000),"High-Risk","Stable")</f>
        <v>Stable</v>
      </c>
      <c r="R535" s="8" t="str" cm="1">
        <f t="array" ref="R535">_xlfn.IFS(Table15[[#This Row],[Revenue]]&gt;=35000,"Platinum",Table15[[#This Row],[Revenue]]&gt;=15000,"Gold",TRUE,"Standard")</f>
        <v>Platinum</v>
      </c>
      <c r="S535" s="8" t="str">
        <f>IF(OR(Table15[[#This Row],[Product]]="Wealth Management",Table15[[#This Row],[Revenue]]&gt;=40000),"Yes","No")</f>
        <v>Yes</v>
      </c>
    </row>
    <row r="536" spans="1:19" x14ac:dyDescent="0.3">
      <c r="A536" s="5" t="s">
        <v>594</v>
      </c>
      <c r="B536" s="6">
        <v>46007</v>
      </c>
      <c r="C536" s="7" t="s">
        <v>42</v>
      </c>
      <c r="D536" s="7" t="s">
        <v>50</v>
      </c>
      <c r="E536" s="7" t="s">
        <v>28</v>
      </c>
      <c r="F536" s="7" t="s">
        <v>22</v>
      </c>
      <c r="G536" s="7" t="s">
        <v>36</v>
      </c>
      <c r="H536" s="7" t="s">
        <v>57</v>
      </c>
      <c r="I536" s="7">
        <v>29</v>
      </c>
      <c r="J536" s="7">
        <v>56</v>
      </c>
      <c r="K536" s="20">
        <v>25209.73</v>
      </c>
      <c r="L536" s="20">
        <v>211.76</v>
      </c>
      <c r="M536" s="7">
        <v>85.5</v>
      </c>
      <c r="N536" s="20">
        <f>Table15[[#This Row],[Processing Fee]]-Table15[[#This Row],[Discount Applied]]</f>
        <v>126.25999999999999</v>
      </c>
      <c r="O536" s="7" t="str">
        <f>IF(Table15[[#This Row],[Revenue]]&gt;35000,"Achieved","Not Achieved")</f>
        <v>Not Achieved</v>
      </c>
      <c r="P536" s="8">
        <v>2</v>
      </c>
      <c r="Q536" s="7" t="str">
        <f>IF(AND(Table15[[#This Row],[CSAT Score]]&lt;=3,Table15[[#This Row],[Revenue]]&gt;=20000),"High-Risk","Stable")</f>
        <v>High-Risk</v>
      </c>
      <c r="R536" s="8" t="str" cm="1">
        <f t="array" ref="R536">_xlfn.IFS(Table15[[#This Row],[Revenue]]&gt;=35000,"Platinum",Table15[[#This Row],[Revenue]]&gt;=15000,"Gold",TRUE,"Standard")</f>
        <v>Gold</v>
      </c>
      <c r="S536" s="8" t="str">
        <f>IF(OR(Table15[[#This Row],[Product]]="Wealth Management",Table15[[#This Row],[Revenue]]&gt;=40000),"Yes","No")</f>
        <v>Yes</v>
      </c>
    </row>
    <row r="537" spans="1:19" x14ac:dyDescent="0.3">
      <c r="A537" s="5" t="s">
        <v>595</v>
      </c>
      <c r="B537" s="6">
        <v>46209</v>
      </c>
      <c r="C537" s="7" t="s">
        <v>75</v>
      </c>
      <c r="D537" s="7" t="s">
        <v>68</v>
      </c>
      <c r="E537" s="7" t="s">
        <v>46</v>
      </c>
      <c r="F537" s="7" t="s">
        <v>69</v>
      </c>
      <c r="G537" s="7" t="s">
        <v>65</v>
      </c>
      <c r="H537" s="7" t="s">
        <v>57</v>
      </c>
      <c r="I537" s="7">
        <v>59</v>
      </c>
      <c r="J537" s="7">
        <v>113</v>
      </c>
      <c r="K537" s="20">
        <v>15178.61</v>
      </c>
      <c r="L537" s="20">
        <v>436.27</v>
      </c>
      <c r="M537" s="7">
        <v>54.45</v>
      </c>
      <c r="N537" s="20">
        <f>Table15[[#This Row],[Processing Fee]]-Table15[[#This Row],[Discount Applied]]</f>
        <v>381.82</v>
      </c>
      <c r="O537" s="7" t="str">
        <f>IF(Table15[[#This Row],[Revenue]]&gt;35000,"Achieved","Not Achieved")</f>
        <v>Not Achieved</v>
      </c>
      <c r="P537" s="8">
        <v>4</v>
      </c>
      <c r="Q537" s="7" t="str">
        <f>IF(AND(Table15[[#This Row],[CSAT Score]]&lt;=3,Table15[[#This Row],[Revenue]]&gt;=20000),"High-Risk","Stable")</f>
        <v>Stable</v>
      </c>
      <c r="R537" s="8" t="str" cm="1">
        <f t="array" ref="R537">_xlfn.IFS(Table15[[#This Row],[Revenue]]&gt;=35000,"Platinum",Table15[[#This Row],[Revenue]]&gt;=15000,"Gold",TRUE,"Standard")</f>
        <v>Gold</v>
      </c>
      <c r="S537" s="8" t="str">
        <f>IF(OR(Table15[[#This Row],[Product]]="Wealth Management",Table15[[#This Row],[Revenue]]&gt;=40000),"Yes","No")</f>
        <v>No</v>
      </c>
    </row>
    <row r="538" spans="1:19" x14ac:dyDescent="0.3">
      <c r="A538" s="5" t="s">
        <v>596</v>
      </c>
      <c r="B538" s="6">
        <v>46107</v>
      </c>
      <c r="C538" s="7" t="s">
        <v>44</v>
      </c>
      <c r="D538" s="7" t="s">
        <v>83</v>
      </c>
      <c r="E538" s="7" t="s">
        <v>28</v>
      </c>
      <c r="F538" s="7" t="s">
        <v>22</v>
      </c>
      <c r="G538" s="7" t="s">
        <v>56</v>
      </c>
      <c r="H538" s="7" t="s">
        <v>57</v>
      </c>
      <c r="I538" s="7">
        <v>24</v>
      </c>
      <c r="J538" s="7">
        <v>13</v>
      </c>
      <c r="K538" s="20">
        <v>13623.11</v>
      </c>
      <c r="L538" s="20">
        <v>154.66999999999999</v>
      </c>
      <c r="M538" s="7">
        <v>76.83</v>
      </c>
      <c r="N538" s="20">
        <f>Table15[[#This Row],[Processing Fee]]-Table15[[#This Row],[Discount Applied]]</f>
        <v>77.839999999999989</v>
      </c>
      <c r="O538" s="7" t="str">
        <f>IF(Table15[[#This Row],[Revenue]]&gt;35000,"Achieved","Not Achieved")</f>
        <v>Not Achieved</v>
      </c>
      <c r="P538" s="8">
        <v>3</v>
      </c>
      <c r="Q538" s="7" t="str">
        <f>IF(AND(Table15[[#This Row],[CSAT Score]]&lt;=3,Table15[[#This Row],[Revenue]]&gt;=20000),"High-Risk","Stable")</f>
        <v>Stable</v>
      </c>
      <c r="R538" s="8" t="str" cm="1">
        <f t="array" ref="R538">_xlfn.IFS(Table15[[#This Row],[Revenue]]&gt;=35000,"Platinum",Table15[[#This Row],[Revenue]]&gt;=15000,"Gold",TRUE,"Standard")</f>
        <v>Standard</v>
      </c>
      <c r="S538" s="8" t="str">
        <f>IF(OR(Table15[[#This Row],[Product]]="Wealth Management",Table15[[#This Row],[Revenue]]&gt;=40000),"Yes","No")</f>
        <v>Yes</v>
      </c>
    </row>
    <row r="539" spans="1:19" x14ac:dyDescent="0.3">
      <c r="A539" s="5" t="s">
        <v>597</v>
      </c>
      <c r="B539" s="6">
        <v>46063</v>
      </c>
      <c r="C539" s="7" t="s">
        <v>19</v>
      </c>
      <c r="D539" s="7" t="s">
        <v>27</v>
      </c>
      <c r="E539" s="7" t="s">
        <v>39</v>
      </c>
      <c r="F539" s="7" t="s">
        <v>69</v>
      </c>
      <c r="G539" s="7" t="s">
        <v>23</v>
      </c>
      <c r="H539" s="7" t="s">
        <v>53</v>
      </c>
      <c r="I539" s="7">
        <v>71</v>
      </c>
      <c r="J539" s="7">
        <v>56</v>
      </c>
      <c r="K539" s="20">
        <v>21884.52</v>
      </c>
      <c r="L539" s="20">
        <v>101.98</v>
      </c>
      <c r="M539" s="7">
        <v>167.19</v>
      </c>
      <c r="N539" s="20">
        <f>Table15[[#This Row],[Processing Fee]]-Table15[[#This Row],[Discount Applied]]</f>
        <v>-65.209999999999994</v>
      </c>
      <c r="O539" s="7" t="str">
        <f>IF(Table15[[#This Row],[Revenue]]&gt;35000,"Achieved","Not Achieved")</f>
        <v>Not Achieved</v>
      </c>
      <c r="P539" s="8">
        <v>1</v>
      </c>
      <c r="Q539" s="7" t="str">
        <f>IF(AND(Table15[[#This Row],[CSAT Score]]&lt;=3,Table15[[#This Row],[Revenue]]&gt;=20000),"High-Risk","Stable")</f>
        <v>High-Risk</v>
      </c>
      <c r="R539" s="8" t="str" cm="1">
        <f t="array" ref="R539">_xlfn.IFS(Table15[[#This Row],[Revenue]]&gt;=35000,"Platinum",Table15[[#This Row],[Revenue]]&gt;=15000,"Gold",TRUE,"Standard")</f>
        <v>Gold</v>
      </c>
      <c r="S539" s="8" t="str">
        <f>IF(OR(Table15[[#This Row],[Product]]="Wealth Management",Table15[[#This Row],[Revenue]]&gt;=40000),"Yes","No")</f>
        <v>No</v>
      </c>
    </row>
    <row r="540" spans="1:19" x14ac:dyDescent="0.3">
      <c r="A540" s="5" t="s">
        <v>598</v>
      </c>
      <c r="B540" s="6">
        <v>46090</v>
      </c>
      <c r="C540" s="7" t="s">
        <v>33</v>
      </c>
      <c r="D540" s="7" t="s">
        <v>63</v>
      </c>
      <c r="E540" s="7" t="s">
        <v>59</v>
      </c>
      <c r="F540" s="7" t="s">
        <v>35</v>
      </c>
      <c r="G540" s="7" t="s">
        <v>23</v>
      </c>
      <c r="H540" s="7" t="s">
        <v>24</v>
      </c>
      <c r="I540" s="7">
        <v>74</v>
      </c>
      <c r="J540" s="7">
        <v>18</v>
      </c>
      <c r="K540" s="20">
        <v>49952.95</v>
      </c>
      <c r="L540" s="20">
        <v>196.75</v>
      </c>
      <c r="M540" s="7">
        <v>29.73</v>
      </c>
      <c r="N540" s="20">
        <f>Table15[[#This Row],[Processing Fee]]-Table15[[#This Row],[Discount Applied]]</f>
        <v>167.02</v>
      </c>
      <c r="O540" s="7" t="str">
        <f>IF(Table15[[#This Row],[Revenue]]&gt;35000,"Achieved","Not Achieved")</f>
        <v>Achieved</v>
      </c>
      <c r="P540" s="8">
        <v>1</v>
      </c>
      <c r="Q540" s="7" t="str">
        <f>IF(AND(Table15[[#This Row],[CSAT Score]]&lt;=3,Table15[[#This Row],[Revenue]]&gt;=20000),"High-Risk","Stable")</f>
        <v>High-Risk</v>
      </c>
      <c r="R540" s="8" t="str" cm="1">
        <f t="array" ref="R540">_xlfn.IFS(Table15[[#This Row],[Revenue]]&gt;=35000,"Platinum",Table15[[#This Row],[Revenue]]&gt;=15000,"Gold",TRUE,"Standard")</f>
        <v>Platinum</v>
      </c>
      <c r="S540" s="8" t="str">
        <f>IF(OR(Table15[[#This Row],[Product]]="Wealth Management",Table15[[#This Row],[Revenue]]&gt;=40000),"Yes","No")</f>
        <v>Yes</v>
      </c>
    </row>
    <row r="541" spans="1:19" x14ac:dyDescent="0.3">
      <c r="A541" s="5" t="s">
        <v>599</v>
      </c>
      <c r="B541" s="6">
        <v>45905</v>
      </c>
      <c r="C541" s="7" t="s">
        <v>55</v>
      </c>
      <c r="D541" s="7" t="s">
        <v>63</v>
      </c>
      <c r="E541" s="7" t="s">
        <v>39</v>
      </c>
      <c r="F541" s="7" t="s">
        <v>40</v>
      </c>
      <c r="G541" s="7" t="s">
        <v>36</v>
      </c>
      <c r="H541" s="7" t="s">
        <v>57</v>
      </c>
      <c r="I541" s="7">
        <v>39</v>
      </c>
      <c r="J541" s="7">
        <v>54</v>
      </c>
      <c r="K541" s="20">
        <v>11406.21</v>
      </c>
      <c r="L541" s="20">
        <v>149.19999999999999</v>
      </c>
      <c r="M541" s="7">
        <v>91.23</v>
      </c>
      <c r="N541" s="20">
        <f>Table15[[#This Row],[Processing Fee]]-Table15[[#This Row],[Discount Applied]]</f>
        <v>57.969999999999985</v>
      </c>
      <c r="O541" s="7" t="str">
        <f>IF(Table15[[#This Row],[Revenue]]&gt;35000,"Achieved","Not Achieved")</f>
        <v>Not Achieved</v>
      </c>
      <c r="P541" s="8">
        <v>3</v>
      </c>
      <c r="Q541" s="7" t="str">
        <f>IF(AND(Table15[[#This Row],[CSAT Score]]&lt;=3,Table15[[#This Row],[Revenue]]&gt;=20000),"High-Risk","Stable")</f>
        <v>Stable</v>
      </c>
      <c r="R541" s="8" t="str" cm="1">
        <f t="array" ref="R541">_xlfn.IFS(Table15[[#This Row],[Revenue]]&gt;=35000,"Platinum",Table15[[#This Row],[Revenue]]&gt;=15000,"Gold",TRUE,"Standard")</f>
        <v>Standard</v>
      </c>
      <c r="S541" s="8" t="str">
        <f>IF(OR(Table15[[#This Row],[Product]]="Wealth Management",Table15[[#This Row],[Revenue]]&gt;=40000),"Yes","No")</f>
        <v>No</v>
      </c>
    </row>
    <row r="542" spans="1:19" x14ac:dyDescent="0.3">
      <c r="A542" s="5" t="s">
        <v>600</v>
      </c>
      <c r="B542" s="6">
        <v>46019</v>
      </c>
      <c r="C542" s="7" t="s">
        <v>19</v>
      </c>
      <c r="D542" s="7" t="s">
        <v>48</v>
      </c>
      <c r="E542" s="7" t="s">
        <v>39</v>
      </c>
      <c r="F542" s="7" t="s">
        <v>40</v>
      </c>
      <c r="G542" s="7" t="s">
        <v>23</v>
      </c>
      <c r="H542" s="7" t="s">
        <v>53</v>
      </c>
      <c r="I542" s="7">
        <v>58</v>
      </c>
      <c r="J542" s="7">
        <v>77</v>
      </c>
      <c r="K542" s="20">
        <v>5609.22</v>
      </c>
      <c r="L542" s="20">
        <v>466.38</v>
      </c>
      <c r="M542" s="7">
        <v>98.47</v>
      </c>
      <c r="N542" s="20">
        <f>Table15[[#This Row],[Processing Fee]]-Table15[[#This Row],[Discount Applied]]</f>
        <v>367.90999999999997</v>
      </c>
      <c r="O542" s="7" t="str">
        <f>IF(Table15[[#This Row],[Revenue]]&gt;35000,"Achieved","Not Achieved")</f>
        <v>Not Achieved</v>
      </c>
      <c r="P542" s="8">
        <v>1</v>
      </c>
      <c r="Q542" s="7" t="str">
        <f>IF(AND(Table15[[#This Row],[CSAT Score]]&lt;=3,Table15[[#This Row],[Revenue]]&gt;=20000),"High-Risk","Stable")</f>
        <v>Stable</v>
      </c>
      <c r="R542" s="8" t="str" cm="1">
        <f t="array" ref="R542">_xlfn.IFS(Table15[[#This Row],[Revenue]]&gt;=35000,"Platinum",Table15[[#This Row],[Revenue]]&gt;=15000,"Gold",TRUE,"Standard")</f>
        <v>Standard</v>
      </c>
      <c r="S542" s="8" t="str">
        <f>IF(OR(Table15[[#This Row],[Product]]="Wealth Management",Table15[[#This Row],[Revenue]]&gt;=40000),"Yes","No")</f>
        <v>No</v>
      </c>
    </row>
    <row r="543" spans="1:19" x14ac:dyDescent="0.3">
      <c r="A543" s="5" t="s">
        <v>601</v>
      </c>
      <c r="B543" s="6">
        <v>45929</v>
      </c>
      <c r="C543" s="7" t="s">
        <v>55</v>
      </c>
      <c r="D543" s="7" t="s">
        <v>48</v>
      </c>
      <c r="E543" s="7" t="s">
        <v>28</v>
      </c>
      <c r="F543" s="7" t="s">
        <v>29</v>
      </c>
      <c r="G543" s="7" t="s">
        <v>56</v>
      </c>
      <c r="H543" s="7" t="s">
        <v>24</v>
      </c>
      <c r="I543" s="7">
        <v>47</v>
      </c>
      <c r="J543" s="7">
        <v>113</v>
      </c>
      <c r="K543" s="20">
        <v>29459.24</v>
      </c>
      <c r="L543" s="20">
        <v>440.58</v>
      </c>
      <c r="M543" s="7">
        <v>7.33</v>
      </c>
      <c r="N543" s="20">
        <f>Table15[[#This Row],[Processing Fee]]-Table15[[#This Row],[Discount Applied]]</f>
        <v>433.25</v>
      </c>
      <c r="O543" s="7" t="str">
        <f>IF(Table15[[#This Row],[Revenue]]&gt;35000,"Achieved","Not Achieved")</f>
        <v>Not Achieved</v>
      </c>
      <c r="P543" s="8">
        <v>5</v>
      </c>
      <c r="Q543" s="7" t="str">
        <f>IF(AND(Table15[[#This Row],[CSAT Score]]&lt;=3,Table15[[#This Row],[Revenue]]&gt;=20000),"High-Risk","Stable")</f>
        <v>Stable</v>
      </c>
      <c r="R543" s="8" t="str" cm="1">
        <f t="array" ref="R543">_xlfn.IFS(Table15[[#This Row],[Revenue]]&gt;=35000,"Platinum",Table15[[#This Row],[Revenue]]&gt;=15000,"Gold",TRUE,"Standard")</f>
        <v>Gold</v>
      </c>
      <c r="S543" s="8" t="str">
        <f>IF(OR(Table15[[#This Row],[Product]]="Wealth Management",Table15[[#This Row],[Revenue]]&gt;=40000),"Yes","No")</f>
        <v>No</v>
      </c>
    </row>
    <row r="544" spans="1:19" x14ac:dyDescent="0.3">
      <c r="A544" s="5" t="s">
        <v>602</v>
      </c>
      <c r="B544" s="6">
        <v>45905</v>
      </c>
      <c r="C544" s="7" t="s">
        <v>42</v>
      </c>
      <c r="D544" s="7" t="s">
        <v>77</v>
      </c>
      <c r="E544" s="7" t="s">
        <v>59</v>
      </c>
      <c r="F544" s="7" t="s">
        <v>22</v>
      </c>
      <c r="G544" s="7" t="s">
        <v>36</v>
      </c>
      <c r="H544" s="7" t="s">
        <v>31</v>
      </c>
      <c r="I544" s="7">
        <v>65</v>
      </c>
      <c r="J544" s="7">
        <v>101</v>
      </c>
      <c r="K544" s="20">
        <v>24682.85</v>
      </c>
      <c r="L544" s="20">
        <v>274.86</v>
      </c>
      <c r="M544" s="7">
        <v>58.72</v>
      </c>
      <c r="N544" s="20">
        <f>Table15[[#This Row],[Processing Fee]]-Table15[[#This Row],[Discount Applied]]</f>
        <v>216.14000000000001</v>
      </c>
      <c r="O544" s="7" t="str">
        <f>IF(Table15[[#This Row],[Revenue]]&gt;35000,"Achieved","Not Achieved")</f>
        <v>Not Achieved</v>
      </c>
      <c r="P544" s="8">
        <v>5</v>
      </c>
      <c r="Q544" s="7" t="str">
        <f>IF(AND(Table15[[#This Row],[CSAT Score]]&lt;=3,Table15[[#This Row],[Revenue]]&gt;=20000),"High-Risk","Stable")</f>
        <v>Stable</v>
      </c>
      <c r="R544" s="8" t="str" cm="1">
        <f t="array" ref="R544">_xlfn.IFS(Table15[[#This Row],[Revenue]]&gt;=35000,"Platinum",Table15[[#This Row],[Revenue]]&gt;=15000,"Gold",TRUE,"Standard")</f>
        <v>Gold</v>
      </c>
      <c r="S544" s="8" t="str">
        <f>IF(OR(Table15[[#This Row],[Product]]="Wealth Management",Table15[[#This Row],[Revenue]]&gt;=40000),"Yes","No")</f>
        <v>Yes</v>
      </c>
    </row>
    <row r="545" spans="1:19" x14ac:dyDescent="0.3">
      <c r="A545" s="5" t="s">
        <v>603</v>
      </c>
      <c r="B545" s="6">
        <v>45973</v>
      </c>
      <c r="C545" s="7" t="s">
        <v>55</v>
      </c>
      <c r="D545" s="7" t="s">
        <v>83</v>
      </c>
      <c r="E545" s="7" t="s">
        <v>28</v>
      </c>
      <c r="F545" s="7" t="s">
        <v>22</v>
      </c>
      <c r="G545" s="7" t="s">
        <v>65</v>
      </c>
      <c r="H545" s="7" t="s">
        <v>57</v>
      </c>
      <c r="I545" s="7">
        <v>63</v>
      </c>
      <c r="J545" s="7">
        <v>43</v>
      </c>
      <c r="K545" s="20">
        <v>26447.72</v>
      </c>
      <c r="L545" s="20">
        <v>77.599999999999994</v>
      </c>
      <c r="M545" s="7">
        <v>165.35</v>
      </c>
      <c r="N545" s="20">
        <f>Table15[[#This Row],[Processing Fee]]-Table15[[#This Row],[Discount Applied]]</f>
        <v>-87.75</v>
      </c>
      <c r="O545" s="7" t="str">
        <f>IF(Table15[[#This Row],[Revenue]]&gt;35000,"Achieved","Not Achieved")</f>
        <v>Not Achieved</v>
      </c>
      <c r="P545" s="8">
        <v>4</v>
      </c>
      <c r="Q545" s="7" t="str">
        <f>IF(AND(Table15[[#This Row],[CSAT Score]]&lt;=3,Table15[[#This Row],[Revenue]]&gt;=20000),"High-Risk","Stable")</f>
        <v>Stable</v>
      </c>
      <c r="R545" s="8" t="str" cm="1">
        <f t="array" ref="R545">_xlfn.IFS(Table15[[#This Row],[Revenue]]&gt;=35000,"Platinum",Table15[[#This Row],[Revenue]]&gt;=15000,"Gold",TRUE,"Standard")</f>
        <v>Gold</v>
      </c>
      <c r="S545" s="8" t="str">
        <f>IF(OR(Table15[[#This Row],[Product]]="Wealth Management",Table15[[#This Row],[Revenue]]&gt;=40000),"Yes","No")</f>
        <v>Yes</v>
      </c>
    </row>
    <row r="546" spans="1:19" x14ac:dyDescent="0.3">
      <c r="A546" s="5" t="s">
        <v>604</v>
      </c>
      <c r="B546" s="6">
        <v>46183</v>
      </c>
      <c r="C546" s="7" t="s">
        <v>91</v>
      </c>
      <c r="D546" s="7" t="s">
        <v>83</v>
      </c>
      <c r="E546" s="7" t="s">
        <v>21</v>
      </c>
      <c r="F546" s="7" t="s">
        <v>22</v>
      </c>
      <c r="G546" s="7" t="s">
        <v>23</v>
      </c>
      <c r="H546" s="7" t="s">
        <v>24</v>
      </c>
      <c r="I546" s="7">
        <v>33</v>
      </c>
      <c r="J546" s="7">
        <v>39</v>
      </c>
      <c r="K546" s="20">
        <v>33513.300000000003</v>
      </c>
      <c r="L546" s="20">
        <v>371.55</v>
      </c>
      <c r="M546" s="7">
        <v>166.15</v>
      </c>
      <c r="N546" s="20">
        <f>Table15[[#This Row],[Processing Fee]]-Table15[[#This Row],[Discount Applied]]</f>
        <v>205.4</v>
      </c>
      <c r="O546" s="7" t="str">
        <f>IF(Table15[[#This Row],[Revenue]]&gt;35000,"Achieved","Not Achieved")</f>
        <v>Not Achieved</v>
      </c>
      <c r="P546" s="8">
        <v>4</v>
      </c>
      <c r="Q546" s="7" t="str">
        <f>IF(AND(Table15[[#This Row],[CSAT Score]]&lt;=3,Table15[[#This Row],[Revenue]]&gt;=20000),"High-Risk","Stable")</f>
        <v>Stable</v>
      </c>
      <c r="R546" s="8" t="str" cm="1">
        <f t="array" ref="R546">_xlfn.IFS(Table15[[#This Row],[Revenue]]&gt;=35000,"Platinum",Table15[[#This Row],[Revenue]]&gt;=15000,"Gold",TRUE,"Standard")</f>
        <v>Gold</v>
      </c>
      <c r="S546" s="8" t="str">
        <f>IF(OR(Table15[[#This Row],[Product]]="Wealth Management",Table15[[#This Row],[Revenue]]&gt;=40000),"Yes","No")</f>
        <v>Yes</v>
      </c>
    </row>
    <row r="547" spans="1:19" x14ac:dyDescent="0.3">
      <c r="A547" s="5" t="s">
        <v>605</v>
      </c>
      <c r="B547" s="6">
        <v>45921</v>
      </c>
      <c r="C547" s="7" t="s">
        <v>44</v>
      </c>
      <c r="D547" s="7" t="s">
        <v>45</v>
      </c>
      <c r="E547" s="7" t="s">
        <v>28</v>
      </c>
      <c r="F547" s="7" t="s">
        <v>35</v>
      </c>
      <c r="G547" s="7" t="s">
        <v>30</v>
      </c>
      <c r="H547" s="7" t="s">
        <v>57</v>
      </c>
      <c r="I547" s="7">
        <v>33</v>
      </c>
      <c r="J547" s="7">
        <v>61</v>
      </c>
      <c r="K547" s="20">
        <v>13723.63</v>
      </c>
      <c r="L547" s="20">
        <v>330.54</v>
      </c>
      <c r="M547" s="7">
        <v>58.48</v>
      </c>
      <c r="N547" s="20">
        <f>Table15[[#This Row],[Processing Fee]]-Table15[[#This Row],[Discount Applied]]</f>
        <v>272.06</v>
      </c>
      <c r="O547" s="7" t="str">
        <f>IF(Table15[[#This Row],[Revenue]]&gt;35000,"Achieved","Not Achieved")</f>
        <v>Not Achieved</v>
      </c>
      <c r="P547" s="8">
        <v>2</v>
      </c>
      <c r="Q547" s="7" t="str">
        <f>IF(AND(Table15[[#This Row],[CSAT Score]]&lt;=3,Table15[[#This Row],[Revenue]]&gt;=20000),"High-Risk","Stable")</f>
        <v>Stable</v>
      </c>
      <c r="R547" s="8" t="str" cm="1">
        <f t="array" ref="R547">_xlfn.IFS(Table15[[#This Row],[Revenue]]&gt;=35000,"Platinum",Table15[[#This Row],[Revenue]]&gt;=15000,"Gold",TRUE,"Standard")</f>
        <v>Standard</v>
      </c>
      <c r="S547" s="8" t="str">
        <f>IF(OR(Table15[[#This Row],[Product]]="Wealth Management",Table15[[#This Row],[Revenue]]&gt;=40000),"Yes","No")</f>
        <v>No</v>
      </c>
    </row>
    <row r="548" spans="1:19" x14ac:dyDescent="0.3">
      <c r="A548" s="5" t="s">
        <v>606</v>
      </c>
      <c r="B548" s="6">
        <v>45963</v>
      </c>
      <c r="C548" s="7" t="s">
        <v>33</v>
      </c>
      <c r="D548" s="7" t="s">
        <v>48</v>
      </c>
      <c r="E548" s="7" t="s">
        <v>28</v>
      </c>
      <c r="F548" s="7" t="s">
        <v>22</v>
      </c>
      <c r="G548" s="7" t="s">
        <v>23</v>
      </c>
      <c r="H548" s="7" t="s">
        <v>57</v>
      </c>
      <c r="I548" s="7">
        <v>42</v>
      </c>
      <c r="J548" s="7">
        <v>42</v>
      </c>
      <c r="K548" s="20">
        <v>45577.919999999998</v>
      </c>
      <c r="L548" s="20">
        <v>486.75</v>
      </c>
      <c r="M548" s="7">
        <v>174.98</v>
      </c>
      <c r="N548" s="20">
        <f>Table15[[#This Row],[Processing Fee]]-Table15[[#This Row],[Discount Applied]]</f>
        <v>311.77</v>
      </c>
      <c r="O548" s="7" t="str">
        <f>IF(Table15[[#This Row],[Revenue]]&gt;35000,"Achieved","Not Achieved")</f>
        <v>Achieved</v>
      </c>
      <c r="P548" s="8">
        <v>4</v>
      </c>
      <c r="Q548" s="7" t="str">
        <f>IF(AND(Table15[[#This Row],[CSAT Score]]&lt;=3,Table15[[#This Row],[Revenue]]&gt;=20000),"High-Risk","Stable")</f>
        <v>Stable</v>
      </c>
      <c r="R548" s="8" t="str" cm="1">
        <f t="array" ref="R548">_xlfn.IFS(Table15[[#This Row],[Revenue]]&gt;=35000,"Platinum",Table15[[#This Row],[Revenue]]&gt;=15000,"Gold",TRUE,"Standard")</f>
        <v>Platinum</v>
      </c>
      <c r="S548" s="8" t="str">
        <f>IF(OR(Table15[[#This Row],[Product]]="Wealth Management",Table15[[#This Row],[Revenue]]&gt;=40000),"Yes","No")</f>
        <v>Yes</v>
      </c>
    </row>
    <row r="549" spans="1:19" x14ac:dyDescent="0.3">
      <c r="A549" s="5" t="s">
        <v>607</v>
      </c>
      <c r="B549" s="6">
        <v>46095</v>
      </c>
      <c r="C549" s="7" t="s">
        <v>26</v>
      </c>
      <c r="D549" s="7" t="s">
        <v>83</v>
      </c>
      <c r="E549" s="7" t="s">
        <v>28</v>
      </c>
      <c r="F549" s="7" t="s">
        <v>40</v>
      </c>
      <c r="G549" s="7" t="s">
        <v>65</v>
      </c>
      <c r="H549" s="7" t="s">
        <v>57</v>
      </c>
      <c r="I549" s="7">
        <v>48</v>
      </c>
      <c r="J549" s="7">
        <v>81</v>
      </c>
      <c r="K549" s="20">
        <v>22065.77</v>
      </c>
      <c r="L549" s="20">
        <v>301.52999999999997</v>
      </c>
      <c r="M549" s="7">
        <v>154.36000000000001</v>
      </c>
      <c r="N549" s="20">
        <f>Table15[[#This Row],[Processing Fee]]-Table15[[#This Row],[Discount Applied]]</f>
        <v>147.16999999999996</v>
      </c>
      <c r="O549" s="7" t="str">
        <f>IF(Table15[[#This Row],[Revenue]]&gt;35000,"Achieved","Not Achieved")</f>
        <v>Not Achieved</v>
      </c>
      <c r="P549" s="8">
        <v>5</v>
      </c>
      <c r="Q549" s="7" t="str">
        <f>IF(AND(Table15[[#This Row],[CSAT Score]]&lt;=3,Table15[[#This Row],[Revenue]]&gt;=20000),"High-Risk","Stable")</f>
        <v>Stable</v>
      </c>
      <c r="R549" s="8" t="str" cm="1">
        <f t="array" ref="R549">_xlfn.IFS(Table15[[#This Row],[Revenue]]&gt;=35000,"Platinum",Table15[[#This Row],[Revenue]]&gt;=15000,"Gold",TRUE,"Standard")</f>
        <v>Gold</v>
      </c>
      <c r="S549" s="8" t="str">
        <f>IF(OR(Table15[[#This Row],[Product]]="Wealth Management",Table15[[#This Row],[Revenue]]&gt;=40000),"Yes","No")</f>
        <v>No</v>
      </c>
    </row>
    <row r="550" spans="1:19" x14ac:dyDescent="0.3">
      <c r="A550" s="5" t="s">
        <v>608</v>
      </c>
      <c r="B550" s="6">
        <v>46016</v>
      </c>
      <c r="C550" s="7" t="s">
        <v>55</v>
      </c>
      <c r="D550" s="7" t="s">
        <v>61</v>
      </c>
      <c r="E550" s="7" t="s">
        <v>59</v>
      </c>
      <c r="F550" s="7" t="s">
        <v>35</v>
      </c>
      <c r="G550" s="7" t="s">
        <v>36</v>
      </c>
      <c r="H550" s="7" t="s">
        <v>24</v>
      </c>
      <c r="I550" s="7">
        <v>72</v>
      </c>
      <c r="J550" s="7">
        <v>79</v>
      </c>
      <c r="K550" s="20">
        <v>6889.77</v>
      </c>
      <c r="L550" s="20">
        <v>201.38</v>
      </c>
      <c r="M550" s="7">
        <v>83.58</v>
      </c>
      <c r="N550" s="20">
        <f>Table15[[#This Row],[Processing Fee]]-Table15[[#This Row],[Discount Applied]]</f>
        <v>117.8</v>
      </c>
      <c r="O550" s="7" t="str">
        <f>IF(Table15[[#This Row],[Revenue]]&gt;35000,"Achieved","Not Achieved")</f>
        <v>Not Achieved</v>
      </c>
      <c r="P550" s="8">
        <v>4</v>
      </c>
      <c r="Q550" s="7" t="str">
        <f>IF(AND(Table15[[#This Row],[CSAT Score]]&lt;=3,Table15[[#This Row],[Revenue]]&gt;=20000),"High-Risk","Stable")</f>
        <v>Stable</v>
      </c>
      <c r="R550" s="8" t="str" cm="1">
        <f t="array" ref="R550">_xlfn.IFS(Table15[[#This Row],[Revenue]]&gt;=35000,"Platinum",Table15[[#This Row],[Revenue]]&gt;=15000,"Gold",TRUE,"Standard")</f>
        <v>Standard</v>
      </c>
      <c r="S550" s="8" t="str">
        <f>IF(OR(Table15[[#This Row],[Product]]="Wealth Management",Table15[[#This Row],[Revenue]]&gt;=40000),"Yes","No")</f>
        <v>No</v>
      </c>
    </row>
    <row r="551" spans="1:19" x14ac:dyDescent="0.3">
      <c r="A551" s="5" t="s">
        <v>609</v>
      </c>
      <c r="B551" s="6">
        <v>46233</v>
      </c>
      <c r="C551" s="7" t="s">
        <v>19</v>
      </c>
      <c r="D551" s="7" t="s">
        <v>77</v>
      </c>
      <c r="E551" s="7" t="s">
        <v>28</v>
      </c>
      <c r="F551" s="7" t="s">
        <v>69</v>
      </c>
      <c r="G551" s="7" t="s">
        <v>65</v>
      </c>
      <c r="H551" s="7" t="s">
        <v>53</v>
      </c>
      <c r="I551" s="7">
        <v>67</v>
      </c>
      <c r="J551" s="7">
        <v>18</v>
      </c>
      <c r="K551" s="20">
        <v>37243.79</v>
      </c>
      <c r="L551" s="20">
        <v>283.56</v>
      </c>
      <c r="M551" s="7">
        <v>149.68</v>
      </c>
      <c r="N551" s="20">
        <f>Table15[[#This Row],[Processing Fee]]-Table15[[#This Row],[Discount Applied]]</f>
        <v>133.88</v>
      </c>
      <c r="O551" s="7" t="str">
        <f>IF(Table15[[#This Row],[Revenue]]&gt;35000,"Achieved","Not Achieved")</f>
        <v>Achieved</v>
      </c>
      <c r="P551" s="8">
        <v>1</v>
      </c>
      <c r="Q551" s="7" t="str">
        <f>IF(AND(Table15[[#This Row],[CSAT Score]]&lt;=3,Table15[[#This Row],[Revenue]]&gt;=20000),"High-Risk","Stable")</f>
        <v>High-Risk</v>
      </c>
      <c r="R551" s="8" t="str" cm="1">
        <f t="array" ref="R551">_xlfn.IFS(Table15[[#This Row],[Revenue]]&gt;=35000,"Platinum",Table15[[#This Row],[Revenue]]&gt;=15000,"Gold",TRUE,"Standard")</f>
        <v>Platinum</v>
      </c>
      <c r="S551" s="8" t="str">
        <f>IF(OR(Table15[[#This Row],[Product]]="Wealth Management",Table15[[#This Row],[Revenue]]&gt;=40000),"Yes","No")</f>
        <v>No</v>
      </c>
    </row>
    <row r="552" spans="1:19" x14ac:dyDescent="0.3">
      <c r="A552" s="5" t="s">
        <v>610</v>
      </c>
      <c r="B552" s="6">
        <v>45960</v>
      </c>
      <c r="C552" s="7" t="s">
        <v>91</v>
      </c>
      <c r="D552" s="7" t="s">
        <v>79</v>
      </c>
      <c r="E552" s="7" t="s">
        <v>59</v>
      </c>
      <c r="F552" s="7" t="s">
        <v>22</v>
      </c>
      <c r="G552" s="7" t="s">
        <v>30</v>
      </c>
      <c r="H552" s="7" t="s">
        <v>24</v>
      </c>
      <c r="I552" s="7">
        <v>73</v>
      </c>
      <c r="J552" s="7">
        <v>23</v>
      </c>
      <c r="K552" s="20">
        <v>32333.67</v>
      </c>
      <c r="L552" s="20">
        <v>490.67</v>
      </c>
      <c r="M552" s="7">
        <v>192.27</v>
      </c>
      <c r="N552" s="20">
        <f>Table15[[#This Row],[Processing Fee]]-Table15[[#This Row],[Discount Applied]]</f>
        <v>298.39999999999998</v>
      </c>
      <c r="O552" s="7" t="str">
        <f>IF(Table15[[#This Row],[Revenue]]&gt;35000,"Achieved","Not Achieved")</f>
        <v>Not Achieved</v>
      </c>
      <c r="P552" s="8">
        <v>2</v>
      </c>
      <c r="Q552" s="7" t="str">
        <f>IF(AND(Table15[[#This Row],[CSAT Score]]&lt;=3,Table15[[#This Row],[Revenue]]&gt;=20000),"High-Risk","Stable")</f>
        <v>High-Risk</v>
      </c>
      <c r="R552" s="8" t="str" cm="1">
        <f t="array" ref="R552">_xlfn.IFS(Table15[[#This Row],[Revenue]]&gt;=35000,"Platinum",Table15[[#This Row],[Revenue]]&gt;=15000,"Gold",TRUE,"Standard")</f>
        <v>Gold</v>
      </c>
      <c r="S552" s="8" t="str">
        <f>IF(OR(Table15[[#This Row],[Product]]="Wealth Management",Table15[[#This Row],[Revenue]]&gt;=40000),"Yes","No")</f>
        <v>Yes</v>
      </c>
    </row>
    <row r="553" spans="1:19" x14ac:dyDescent="0.3">
      <c r="A553" s="5" t="s">
        <v>611</v>
      </c>
      <c r="B553" s="6">
        <v>45875</v>
      </c>
      <c r="C553" s="7" t="s">
        <v>26</v>
      </c>
      <c r="D553" s="7" t="s">
        <v>20</v>
      </c>
      <c r="E553" s="7" t="s">
        <v>46</v>
      </c>
      <c r="F553" s="7" t="s">
        <v>22</v>
      </c>
      <c r="G553" s="7" t="s">
        <v>56</v>
      </c>
      <c r="H553" s="7" t="s">
        <v>57</v>
      </c>
      <c r="I553" s="7">
        <v>65</v>
      </c>
      <c r="J553" s="7">
        <v>54</v>
      </c>
      <c r="K553" s="20">
        <v>16129.3</v>
      </c>
      <c r="L553" s="20">
        <v>363.36</v>
      </c>
      <c r="M553" s="7">
        <v>91.79</v>
      </c>
      <c r="N553" s="20">
        <f>Table15[[#This Row],[Processing Fee]]-Table15[[#This Row],[Discount Applied]]</f>
        <v>271.57</v>
      </c>
      <c r="O553" s="7" t="str">
        <f>IF(Table15[[#This Row],[Revenue]]&gt;35000,"Achieved","Not Achieved")</f>
        <v>Not Achieved</v>
      </c>
      <c r="P553" s="8">
        <v>2</v>
      </c>
      <c r="Q553" s="7" t="str">
        <f>IF(AND(Table15[[#This Row],[CSAT Score]]&lt;=3,Table15[[#This Row],[Revenue]]&gt;=20000),"High-Risk","Stable")</f>
        <v>Stable</v>
      </c>
      <c r="R553" s="8" t="str" cm="1">
        <f t="array" ref="R553">_xlfn.IFS(Table15[[#This Row],[Revenue]]&gt;=35000,"Platinum",Table15[[#This Row],[Revenue]]&gt;=15000,"Gold",TRUE,"Standard")</f>
        <v>Gold</v>
      </c>
      <c r="S553" s="8" t="str">
        <f>IF(OR(Table15[[#This Row],[Product]]="Wealth Management",Table15[[#This Row],[Revenue]]&gt;=40000),"Yes","No")</f>
        <v>Yes</v>
      </c>
    </row>
    <row r="554" spans="1:19" x14ac:dyDescent="0.3">
      <c r="A554" s="5" t="s">
        <v>612</v>
      </c>
      <c r="B554" s="6">
        <v>45926</v>
      </c>
      <c r="C554" s="7" t="s">
        <v>33</v>
      </c>
      <c r="D554" s="7" t="s">
        <v>20</v>
      </c>
      <c r="E554" s="7" t="s">
        <v>21</v>
      </c>
      <c r="F554" s="7" t="s">
        <v>69</v>
      </c>
      <c r="G554" s="7" t="s">
        <v>23</v>
      </c>
      <c r="H554" s="7" t="s">
        <v>24</v>
      </c>
      <c r="I554" s="7">
        <v>42</v>
      </c>
      <c r="J554" s="7">
        <v>115</v>
      </c>
      <c r="K554" s="20">
        <v>31265.18</v>
      </c>
      <c r="L554" s="20">
        <v>352.39</v>
      </c>
      <c r="M554" s="7">
        <v>47.69</v>
      </c>
      <c r="N554" s="20">
        <f>Table15[[#This Row],[Processing Fee]]-Table15[[#This Row],[Discount Applied]]</f>
        <v>304.7</v>
      </c>
      <c r="O554" s="7" t="str">
        <f>IF(Table15[[#This Row],[Revenue]]&gt;35000,"Achieved","Not Achieved")</f>
        <v>Not Achieved</v>
      </c>
      <c r="P554" s="8">
        <v>5</v>
      </c>
      <c r="Q554" s="7" t="str">
        <f>IF(AND(Table15[[#This Row],[CSAT Score]]&lt;=3,Table15[[#This Row],[Revenue]]&gt;=20000),"High-Risk","Stable")</f>
        <v>Stable</v>
      </c>
      <c r="R554" s="8" t="str" cm="1">
        <f t="array" ref="R554">_xlfn.IFS(Table15[[#This Row],[Revenue]]&gt;=35000,"Platinum",Table15[[#This Row],[Revenue]]&gt;=15000,"Gold",TRUE,"Standard")</f>
        <v>Gold</v>
      </c>
      <c r="S554" s="8" t="str">
        <f>IF(OR(Table15[[#This Row],[Product]]="Wealth Management",Table15[[#This Row],[Revenue]]&gt;=40000),"Yes","No")</f>
        <v>No</v>
      </c>
    </row>
    <row r="555" spans="1:19" x14ac:dyDescent="0.3">
      <c r="A555" s="5" t="s">
        <v>613</v>
      </c>
      <c r="B555" s="6">
        <v>45879</v>
      </c>
      <c r="C555" s="7" t="s">
        <v>26</v>
      </c>
      <c r="D555" s="7" t="s">
        <v>79</v>
      </c>
      <c r="E555" s="7" t="s">
        <v>59</v>
      </c>
      <c r="F555" s="7" t="s">
        <v>22</v>
      </c>
      <c r="G555" s="7" t="s">
        <v>36</v>
      </c>
      <c r="H555" s="7" t="s">
        <v>31</v>
      </c>
      <c r="I555" s="7">
        <v>63</v>
      </c>
      <c r="J555" s="7">
        <v>30</v>
      </c>
      <c r="K555" s="20">
        <v>11383.17</v>
      </c>
      <c r="L555" s="20">
        <v>158.31</v>
      </c>
      <c r="M555" s="7">
        <v>282.54000000000002</v>
      </c>
      <c r="N555" s="20">
        <f>Table15[[#This Row],[Processing Fee]]-Table15[[#This Row],[Discount Applied]]</f>
        <v>-124.23000000000002</v>
      </c>
      <c r="O555" s="7" t="str">
        <f>IF(Table15[[#This Row],[Revenue]]&gt;35000,"Achieved","Not Achieved")</f>
        <v>Not Achieved</v>
      </c>
      <c r="P555" s="8">
        <v>4</v>
      </c>
      <c r="Q555" s="7" t="str">
        <f>IF(AND(Table15[[#This Row],[CSAT Score]]&lt;=3,Table15[[#This Row],[Revenue]]&gt;=20000),"High-Risk","Stable")</f>
        <v>Stable</v>
      </c>
      <c r="R555" s="8" t="str" cm="1">
        <f t="array" ref="R555">_xlfn.IFS(Table15[[#This Row],[Revenue]]&gt;=35000,"Platinum",Table15[[#This Row],[Revenue]]&gt;=15000,"Gold",TRUE,"Standard")</f>
        <v>Standard</v>
      </c>
      <c r="S555" s="8" t="str">
        <f>IF(OR(Table15[[#This Row],[Product]]="Wealth Management",Table15[[#This Row],[Revenue]]&gt;=40000),"Yes","No")</f>
        <v>Yes</v>
      </c>
    </row>
    <row r="556" spans="1:19" x14ac:dyDescent="0.3">
      <c r="A556" s="5" t="s">
        <v>614</v>
      </c>
      <c r="B556" s="6">
        <v>45890</v>
      </c>
      <c r="C556" s="7" t="s">
        <v>91</v>
      </c>
      <c r="D556" s="7" t="s">
        <v>87</v>
      </c>
      <c r="E556" s="7" t="s">
        <v>46</v>
      </c>
      <c r="F556" s="7" t="s">
        <v>69</v>
      </c>
      <c r="G556" s="7" t="s">
        <v>56</v>
      </c>
      <c r="H556" s="7" t="s">
        <v>53</v>
      </c>
      <c r="I556" s="7">
        <v>39</v>
      </c>
      <c r="J556" s="7">
        <v>98</v>
      </c>
      <c r="K556" s="20">
        <v>22519.55</v>
      </c>
      <c r="L556" s="20">
        <v>384.62</v>
      </c>
      <c r="M556" s="7">
        <v>120.75</v>
      </c>
      <c r="N556" s="20">
        <f>Table15[[#This Row],[Processing Fee]]-Table15[[#This Row],[Discount Applied]]</f>
        <v>263.87</v>
      </c>
      <c r="O556" s="7" t="str">
        <f>IF(Table15[[#This Row],[Revenue]]&gt;35000,"Achieved","Not Achieved")</f>
        <v>Not Achieved</v>
      </c>
      <c r="P556" s="8">
        <v>1</v>
      </c>
      <c r="Q556" s="7" t="str">
        <f>IF(AND(Table15[[#This Row],[CSAT Score]]&lt;=3,Table15[[#This Row],[Revenue]]&gt;=20000),"High-Risk","Stable")</f>
        <v>High-Risk</v>
      </c>
      <c r="R556" s="8" t="str" cm="1">
        <f t="array" ref="R556">_xlfn.IFS(Table15[[#This Row],[Revenue]]&gt;=35000,"Platinum",Table15[[#This Row],[Revenue]]&gt;=15000,"Gold",TRUE,"Standard")</f>
        <v>Gold</v>
      </c>
      <c r="S556" s="8" t="str">
        <f>IF(OR(Table15[[#This Row],[Product]]="Wealth Management",Table15[[#This Row],[Revenue]]&gt;=40000),"Yes","No")</f>
        <v>No</v>
      </c>
    </row>
    <row r="557" spans="1:19" x14ac:dyDescent="0.3">
      <c r="A557" s="5" t="s">
        <v>615</v>
      </c>
      <c r="B557" s="6">
        <v>46194</v>
      </c>
      <c r="C557" s="7" t="s">
        <v>44</v>
      </c>
      <c r="D557" s="7" t="s">
        <v>27</v>
      </c>
      <c r="E557" s="7" t="s">
        <v>59</v>
      </c>
      <c r="F557" s="7" t="s">
        <v>35</v>
      </c>
      <c r="G557" s="7" t="s">
        <v>65</v>
      </c>
      <c r="H557" s="7" t="s">
        <v>24</v>
      </c>
      <c r="I557" s="7">
        <v>28</v>
      </c>
      <c r="J557" s="7">
        <v>58</v>
      </c>
      <c r="K557" s="20">
        <v>45020.92</v>
      </c>
      <c r="L557" s="20">
        <v>387.62</v>
      </c>
      <c r="M557" s="7">
        <v>21.05</v>
      </c>
      <c r="N557" s="20">
        <f>Table15[[#This Row],[Processing Fee]]-Table15[[#This Row],[Discount Applied]]</f>
        <v>366.57</v>
      </c>
      <c r="O557" s="7" t="str">
        <f>IF(Table15[[#This Row],[Revenue]]&gt;35000,"Achieved","Not Achieved")</f>
        <v>Achieved</v>
      </c>
      <c r="P557" s="8">
        <v>4</v>
      </c>
      <c r="Q557" s="7" t="str">
        <f>IF(AND(Table15[[#This Row],[CSAT Score]]&lt;=3,Table15[[#This Row],[Revenue]]&gt;=20000),"High-Risk","Stable")</f>
        <v>Stable</v>
      </c>
      <c r="R557" s="8" t="str" cm="1">
        <f t="array" ref="R557">_xlfn.IFS(Table15[[#This Row],[Revenue]]&gt;=35000,"Platinum",Table15[[#This Row],[Revenue]]&gt;=15000,"Gold",TRUE,"Standard")</f>
        <v>Platinum</v>
      </c>
      <c r="S557" s="8" t="str">
        <f>IF(OR(Table15[[#This Row],[Product]]="Wealth Management",Table15[[#This Row],[Revenue]]&gt;=40000),"Yes","No")</f>
        <v>Yes</v>
      </c>
    </row>
    <row r="558" spans="1:19" x14ac:dyDescent="0.3">
      <c r="A558" s="5" t="s">
        <v>616</v>
      </c>
      <c r="B558" s="6">
        <v>46012</v>
      </c>
      <c r="C558" s="7" t="s">
        <v>44</v>
      </c>
      <c r="D558" s="7" t="s">
        <v>77</v>
      </c>
      <c r="E558" s="7" t="s">
        <v>59</v>
      </c>
      <c r="F558" s="7" t="s">
        <v>40</v>
      </c>
      <c r="G558" s="7" t="s">
        <v>36</v>
      </c>
      <c r="H558" s="7" t="s">
        <v>31</v>
      </c>
      <c r="I558" s="7">
        <v>72</v>
      </c>
      <c r="J558" s="7">
        <v>68</v>
      </c>
      <c r="K558" s="20">
        <v>7109.94</v>
      </c>
      <c r="L558" s="20">
        <v>192.78</v>
      </c>
      <c r="M558" s="7">
        <v>171.81</v>
      </c>
      <c r="N558" s="20">
        <f>Table15[[#This Row],[Processing Fee]]-Table15[[#This Row],[Discount Applied]]</f>
        <v>20.97</v>
      </c>
      <c r="O558" s="7" t="str">
        <f>IF(Table15[[#This Row],[Revenue]]&gt;35000,"Achieved","Not Achieved")</f>
        <v>Not Achieved</v>
      </c>
      <c r="P558" s="8">
        <v>3</v>
      </c>
      <c r="Q558" s="7" t="str">
        <f>IF(AND(Table15[[#This Row],[CSAT Score]]&lt;=3,Table15[[#This Row],[Revenue]]&gt;=20000),"High-Risk","Stable")</f>
        <v>Stable</v>
      </c>
      <c r="R558" s="8" t="str" cm="1">
        <f t="array" ref="R558">_xlfn.IFS(Table15[[#This Row],[Revenue]]&gt;=35000,"Platinum",Table15[[#This Row],[Revenue]]&gt;=15000,"Gold",TRUE,"Standard")</f>
        <v>Standard</v>
      </c>
      <c r="S558" s="8" t="str">
        <f>IF(OR(Table15[[#This Row],[Product]]="Wealth Management",Table15[[#This Row],[Revenue]]&gt;=40000),"Yes","No")</f>
        <v>No</v>
      </c>
    </row>
    <row r="559" spans="1:19" x14ac:dyDescent="0.3">
      <c r="A559" s="5" t="s">
        <v>617</v>
      </c>
      <c r="B559" s="6">
        <v>46094</v>
      </c>
      <c r="C559" s="7" t="s">
        <v>75</v>
      </c>
      <c r="D559" s="7" t="s">
        <v>61</v>
      </c>
      <c r="E559" s="7" t="s">
        <v>21</v>
      </c>
      <c r="F559" s="7" t="s">
        <v>69</v>
      </c>
      <c r="G559" s="7" t="s">
        <v>56</v>
      </c>
      <c r="H559" s="7" t="s">
        <v>53</v>
      </c>
      <c r="I559" s="7">
        <v>28</v>
      </c>
      <c r="J559" s="7">
        <v>67</v>
      </c>
      <c r="K559" s="20">
        <v>19641.47</v>
      </c>
      <c r="L559" s="20">
        <v>267.67</v>
      </c>
      <c r="M559" s="7">
        <v>100.12</v>
      </c>
      <c r="N559" s="20">
        <f>Table15[[#This Row],[Processing Fee]]-Table15[[#This Row],[Discount Applied]]</f>
        <v>167.55</v>
      </c>
      <c r="O559" s="7" t="str">
        <f>IF(Table15[[#This Row],[Revenue]]&gt;35000,"Achieved","Not Achieved")</f>
        <v>Not Achieved</v>
      </c>
      <c r="P559" s="8">
        <v>4</v>
      </c>
      <c r="Q559" s="7" t="str">
        <f>IF(AND(Table15[[#This Row],[CSAT Score]]&lt;=3,Table15[[#This Row],[Revenue]]&gt;=20000),"High-Risk","Stable")</f>
        <v>Stable</v>
      </c>
      <c r="R559" s="8" t="str" cm="1">
        <f t="array" ref="R559">_xlfn.IFS(Table15[[#This Row],[Revenue]]&gt;=35000,"Platinum",Table15[[#This Row],[Revenue]]&gt;=15000,"Gold",TRUE,"Standard")</f>
        <v>Gold</v>
      </c>
      <c r="S559" s="8" t="str">
        <f>IF(OR(Table15[[#This Row],[Product]]="Wealth Management",Table15[[#This Row],[Revenue]]&gt;=40000),"Yes","No")</f>
        <v>No</v>
      </c>
    </row>
    <row r="560" spans="1:19" x14ac:dyDescent="0.3">
      <c r="A560" s="5" t="s">
        <v>618</v>
      </c>
      <c r="B560" s="6">
        <v>45979</v>
      </c>
      <c r="C560" s="7" t="s">
        <v>44</v>
      </c>
      <c r="D560" s="7" t="s">
        <v>83</v>
      </c>
      <c r="E560" s="7" t="s">
        <v>39</v>
      </c>
      <c r="F560" s="7" t="s">
        <v>29</v>
      </c>
      <c r="G560" s="7" t="s">
        <v>36</v>
      </c>
      <c r="H560" s="7" t="s">
        <v>31</v>
      </c>
      <c r="I560" s="7">
        <v>62</v>
      </c>
      <c r="J560" s="7">
        <v>71</v>
      </c>
      <c r="K560" s="20">
        <v>41146.550000000003</v>
      </c>
      <c r="L560" s="20">
        <v>182.57</v>
      </c>
      <c r="M560" s="7">
        <v>256.68</v>
      </c>
      <c r="N560" s="20">
        <f>Table15[[#This Row],[Processing Fee]]-Table15[[#This Row],[Discount Applied]]</f>
        <v>-74.110000000000014</v>
      </c>
      <c r="O560" s="7" t="str">
        <f>IF(Table15[[#This Row],[Revenue]]&gt;35000,"Achieved","Not Achieved")</f>
        <v>Achieved</v>
      </c>
      <c r="P560" s="8">
        <v>5</v>
      </c>
      <c r="Q560" s="7" t="str">
        <f>IF(AND(Table15[[#This Row],[CSAT Score]]&lt;=3,Table15[[#This Row],[Revenue]]&gt;=20000),"High-Risk","Stable")</f>
        <v>Stable</v>
      </c>
      <c r="R560" s="8" t="str" cm="1">
        <f t="array" ref="R560">_xlfn.IFS(Table15[[#This Row],[Revenue]]&gt;=35000,"Platinum",Table15[[#This Row],[Revenue]]&gt;=15000,"Gold",TRUE,"Standard")</f>
        <v>Platinum</v>
      </c>
      <c r="S560" s="8" t="str">
        <f>IF(OR(Table15[[#This Row],[Product]]="Wealth Management",Table15[[#This Row],[Revenue]]&gt;=40000),"Yes","No")</f>
        <v>Yes</v>
      </c>
    </row>
    <row r="561" spans="1:19" x14ac:dyDescent="0.3">
      <c r="A561" s="5" t="s">
        <v>619</v>
      </c>
      <c r="B561" s="6">
        <v>46194</v>
      </c>
      <c r="C561" s="7" t="s">
        <v>75</v>
      </c>
      <c r="D561" s="7" t="s">
        <v>52</v>
      </c>
      <c r="E561" s="7" t="s">
        <v>39</v>
      </c>
      <c r="F561" s="7" t="s">
        <v>69</v>
      </c>
      <c r="G561" s="7" t="s">
        <v>30</v>
      </c>
      <c r="H561" s="7" t="s">
        <v>53</v>
      </c>
      <c r="I561" s="7">
        <v>46</v>
      </c>
      <c r="J561" s="7">
        <v>18</v>
      </c>
      <c r="K561" s="20">
        <v>48489.8</v>
      </c>
      <c r="L561" s="20">
        <v>166.42</v>
      </c>
      <c r="M561" s="7">
        <v>106.14</v>
      </c>
      <c r="N561" s="20">
        <f>Table15[[#This Row],[Processing Fee]]-Table15[[#This Row],[Discount Applied]]</f>
        <v>60.279999999999987</v>
      </c>
      <c r="O561" s="7" t="str">
        <f>IF(Table15[[#This Row],[Revenue]]&gt;35000,"Achieved","Not Achieved")</f>
        <v>Achieved</v>
      </c>
      <c r="P561" s="8">
        <v>4</v>
      </c>
      <c r="Q561" s="7" t="str">
        <f>IF(AND(Table15[[#This Row],[CSAT Score]]&lt;=3,Table15[[#This Row],[Revenue]]&gt;=20000),"High-Risk","Stable")</f>
        <v>Stable</v>
      </c>
      <c r="R561" s="8" t="str" cm="1">
        <f t="array" ref="R561">_xlfn.IFS(Table15[[#This Row],[Revenue]]&gt;=35000,"Platinum",Table15[[#This Row],[Revenue]]&gt;=15000,"Gold",TRUE,"Standard")</f>
        <v>Platinum</v>
      </c>
      <c r="S561" s="8" t="str">
        <f>IF(OR(Table15[[#This Row],[Product]]="Wealth Management",Table15[[#This Row],[Revenue]]&gt;=40000),"Yes","No")</f>
        <v>Yes</v>
      </c>
    </row>
    <row r="562" spans="1:19" x14ac:dyDescent="0.3">
      <c r="A562" s="5" t="s">
        <v>620</v>
      </c>
      <c r="B562" s="6">
        <v>45986</v>
      </c>
      <c r="C562" s="7" t="s">
        <v>26</v>
      </c>
      <c r="D562" s="7" t="s">
        <v>77</v>
      </c>
      <c r="E562" s="7" t="s">
        <v>59</v>
      </c>
      <c r="F562" s="7" t="s">
        <v>22</v>
      </c>
      <c r="G562" s="7" t="s">
        <v>30</v>
      </c>
      <c r="H562" s="7" t="s">
        <v>24</v>
      </c>
      <c r="I562" s="7">
        <v>68</v>
      </c>
      <c r="J562" s="7">
        <v>106</v>
      </c>
      <c r="K562" s="20">
        <v>22969.34</v>
      </c>
      <c r="L562" s="20">
        <v>61.65</v>
      </c>
      <c r="M562" s="7">
        <v>51.05</v>
      </c>
      <c r="N562" s="20">
        <f>Table15[[#This Row],[Processing Fee]]-Table15[[#This Row],[Discount Applied]]</f>
        <v>10.600000000000001</v>
      </c>
      <c r="O562" s="7" t="str">
        <f>IF(Table15[[#This Row],[Revenue]]&gt;35000,"Achieved","Not Achieved")</f>
        <v>Not Achieved</v>
      </c>
      <c r="P562" s="8">
        <v>2</v>
      </c>
      <c r="Q562" s="7" t="str">
        <f>IF(AND(Table15[[#This Row],[CSAT Score]]&lt;=3,Table15[[#This Row],[Revenue]]&gt;=20000),"High-Risk","Stable")</f>
        <v>High-Risk</v>
      </c>
      <c r="R562" s="8" t="str" cm="1">
        <f t="array" ref="R562">_xlfn.IFS(Table15[[#This Row],[Revenue]]&gt;=35000,"Platinum",Table15[[#This Row],[Revenue]]&gt;=15000,"Gold",TRUE,"Standard")</f>
        <v>Gold</v>
      </c>
      <c r="S562" s="8" t="str">
        <f>IF(OR(Table15[[#This Row],[Product]]="Wealth Management",Table15[[#This Row],[Revenue]]&gt;=40000),"Yes","No")</f>
        <v>Yes</v>
      </c>
    </row>
    <row r="563" spans="1:19" x14ac:dyDescent="0.3">
      <c r="A563" s="5" t="s">
        <v>621</v>
      </c>
      <c r="B563" s="6">
        <v>45972</v>
      </c>
      <c r="C563" s="7" t="s">
        <v>42</v>
      </c>
      <c r="D563" s="7" t="s">
        <v>50</v>
      </c>
      <c r="E563" s="7" t="s">
        <v>28</v>
      </c>
      <c r="F563" s="7" t="s">
        <v>35</v>
      </c>
      <c r="G563" s="7" t="s">
        <v>23</v>
      </c>
      <c r="H563" s="7" t="s">
        <v>31</v>
      </c>
      <c r="I563" s="7">
        <v>71</v>
      </c>
      <c r="J563" s="7">
        <v>7</v>
      </c>
      <c r="K563" s="20">
        <v>25596.48</v>
      </c>
      <c r="L563" s="20">
        <v>178.35</v>
      </c>
      <c r="M563" s="7">
        <v>202.7</v>
      </c>
      <c r="N563" s="20">
        <f>Table15[[#This Row],[Processing Fee]]-Table15[[#This Row],[Discount Applied]]</f>
        <v>-24.349999999999994</v>
      </c>
      <c r="O563" s="7" t="str">
        <f>IF(Table15[[#This Row],[Revenue]]&gt;35000,"Achieved","Not Achieved")</f>
        <v>Not Achieved</v>
      </c>
      <c r="P563" s="8">
        <v>1</v>
      </c>
      <c r="Q563" s="7" t="str">
        <f>IF(AND(Table15[[#This Row],[CSAT Score]]&lt;=3,Table15[[#This Row],[Revenue]]&gt;=20000),"High-Risk","Stable")</f>
        <v>High-Risk</v>
      </c>
      <c r="R563" s="8" t="str" cm="1">
        <f t="array" ref="R563">_xlfn.IFS(Table15[[#This Row],[Revenue]]&gt;=35000,"Platinum",Table15[[#This Row],[Revenue]]&gt;=15000,"Gold",TRUE,"Standard")</f>
        <v>Gold</v>
      </c>
      <c r="S563" s="8" t="str">
        <f>IF(OR(Table15[[#This Row],[Product]]="Wealth Management",Table15[[#This Row],[Revenue]]&gt;=40000),"Yes","No")</f>
        <v>No</v>
      </c>
    </row>
    <row r="564" spans="1:19" x14ac:dyDescent="0.3">
      <c r="A564" s="5" t="s">
        <v>622</v>
      </c>
      <c r="B564" s="6">
        <v>45978</v>
      </c>
      <c r="C564" s="7" t="s">
        <v>19</v>
      </c>
      <c r="D564" s="7" t="s">
        <v>79</v>
      </c>
      <c r="E564" s="7" t="s">
        <v>46</v>
      </c>
      <c r="F564" s="7" t="s">
        <v>35</v>
      </c>
      <c r="G564" s="7" t="s">
        <v>23</v>
      </c>
      <c r="H564" s="7" t="s">
        <v>57</v>
      </c>
      <c r="I564" s="7">
        <v>46</v>
      </c>
      <c r="J564" s="7">
        <v>40</v>
      </c>
      <c r="K564" s="20">
        <v>28822.51</v>
      </c>
      <c r="L564" s="20">
        <v>299.29000000000002</v>
      </c>
      <c r="M564" s="7">
        <v>108.52</v>
      </c>
      <c r="N564" s="20">
        <f>Table15[[#This Row],[Processing Fee]]-Table15[[#This Row],[Discount Applied]]</f>
        <v>190.77000000000004</v>
      </c>
      <c r="O564" s="7" t="str">
        <f>IF(Table15[[#This Row],[Revenue]]&gt;35000,"Achieved","Not Achieved")</f>
        <v>Not Achieved</v>
      </c>
      <c r="P564" s="8">
        <v>5</v>
      </c>
      <c r="Q564" s="7" t="str">
        <f>IF(AND(Table15[[#This Row],[CSAT Score]]&lt;=3,Table15[[#This Row],[Revenue]]&gt;=20000),"High-Risk","Stable")</f>
        <v>Stable</v>
      </c>
      <c r="R564" s="8" t="str" cm="1">
        <f t="array" ref="R564">_xlfn.IFS(Table15[[#This Row],[Revenue]]&gt;=35000,"Platinum",Table15[[#This Row],[Revenue]]&gt;=15000,"Gold",TRUE,"Standard")</f>
        <v>Gold</v>
      </c>
      <c r="S564" s="8" t="str">
        <f>IF(OR(Table15[[#This Row],[Product]]="Wealth Management",Table15[[#This Row],[Revenue]]&gt;=40000),"Yes","No")</f>
        <v>No</v>
      </c>
    </row>
    <row r="565" spans="1:19" x14ac:dyDescent="0.3">
      <c r="A565" s="5" t="s">
        <v>623</v>
      </c>
      <c r="B565" s="6">
        <v>45919</v>
      </c>
      <c r="C565" s="7" t="s">
        <v>19</v>
      </c>
      <c r="D565" s="7" t="s">
        <v>61</v>
      </c>
      <c r="E565" s="7" t="s">
        <v>28</v>
      </c>
      <c r="F565" s="7" t="s">
        <v>69</v>
      </c>
      <c r="G565" s="7" t="s">
        <v>30</v>
      </c>
      <c r="H565" s="7" t="s">
        <v>31</v>
      </c>
      <c r="I565" s="7">
        <v>43</v>
      </c>
      <c r="J565" s="7">
        <v>70</v>
      </c>
      <c r="K565" s="20">
        <v>46651.23</v>
      </c>
      <c r="L565" s="20">
        <v>50.72</v>
      </c>
      <c r="M565" s="7">
        <v>69.91</v>
      </c>
      <c r="N565" s="20">
        <f>Table15[[#This Row],[Processing Fee]]-Table15[[#This Row],[Discount Applied]]</f>
        <v>-19.189999999999998</v>
      </c>
      <c r="O565" s="7" t="str">
        <f>IF(Table15[[#This Row],[Revenue]]&gt;35000,"Achieved","Not Achieved")</f>
        <v>Achieved</v>
      </c>
      <c r="P565" s="8">
        <v>3</v>
      </c>
      <c r="Q565" s="7" t="str">
        <f>IF(AND(Table15[[#This Row],[CSAT Score]]&lt;=3,Table15[[#This Row],[Revenue]]&gt;=20000),"High-Risk","Stable")</f>
        <v>High-Risk</v>
      </c>
      <c r="R565" s="8" t="str" cm="1">
        <f t="array" ref="R565">_xlfn.IFS(Table15[[#This Row],[Revenue]]&gt;=35000,"Platinum",Table15[[#This Row],[Revenue]]&gt;=15000,"Gold",TRUE,"Standard")</f>
        <v>Platinum</v>
      </c>
      <c r="S565" s="8" t="str">
        <f>IF(OR(Table15[[#This Row],[Product]]="Wealth Management",Table15[[#This Row],[Revenue]]&gt;=40000),"Yes","No")</f>
        <v>Yes</v>
      </c>
    </row>
    <row r="566" spans="1:19" x14ac:dyDescent="0.3">
      <c r="A566" s="5" t="s">
        <v>624</v>
      </c>
      <c r="B566" s="6">
        <v>46226</v>
      </c>
      <c r="C566" s="7" t="s">
        <v>26</v>
      </c>
      <c r="D566" s="7" t="s">
        <v>68</v>
      </c>
      <c r="E566" s="7" t="s">
        <v>28</v>
      </c>
      <c r="F566" s="7" t="s">
        <v>40</v>
      </c>
      <c r="G566" s="7" t="s">
        <v>36</v>
      </c>
      <c r="H566" s="7" t="s">
        <v>53</v>
      </c>
      <c r="I566" s="7">
        <v>63</v>
      </c>
      <c r="J566" s="7">
        <v>86</v>
      </c>
      <c r="K566" s="20">
        <v>42981.24</v>
      </c>
      <c r="L566" s="20">
        <v>177.45</v>
      </c>
      <c r="M566" s="7">
        <v>114.73</v>
      </c>
      <c r="N566" s="20">
        <f>Table15[[#This Row],[Processing Fee]]-Table15[[#This Row],[Discount Applied]]</f>
        <v>62.719999999999985</v>
      </c>
      <c r="O566" s="7" t="str">
        <f>IF(Table15[[#This Row],[Revenue]]&gt;35000,"Achieved","Not Achieved")</f>
        <v>Achieved</v>
      </c>
      <c r="P566" s="8">
        <v>1</v>
      </c>
      <c r="Q566" s="7" t="str">
        <f>IF(AND(Table15[[#This Row],[CSAT Score]]&lt;=3,Table15[[#This Row],[Revenue]]&gt;=20000),"High-Risk","Stable")</f>
        <v>High-Risk</v>
      </c>
      <c r="R566" s="8" t="str" cm="1">
        <f t="array" ref="R566">_xlfn.IFS(Table15[[#This Row],[Revenue]]&gt;=35000,"Platinum",Table15[[#This Row],[Revenue]]&gt;=15000,"Gold",TRUE,"Standard")</f>
        <v>Platinum</v>
      </c>
      <c r="S566" s="8" t="str">
        <f>IF(OR(Table15[[#This Row],[Product]]="Wealth Management",Table15[[#This Row],[Revenue]]&gt;=40000),"Yes","No")</f>
        <v>Yes</v>
      </c>
    </row>
    <row r="567" spans="1:19" x14ac:dyDescent="0.3">
      <c r="A567" s="5" t="s">
        <v>625</v>
      </c>
      <c r="B567" s="6">
        <v>46147</v>
      </c>
      <c r="C567" s="7" t="s">
        <v>55</v>
      </c>
      <c r="D567" s="7" t="s">
        <v>38</v>
      </c>
      <c r="E567" s="7" t="s">
        <v>59</v>
      </c>
      <c r="F567" s="7" t="s">
        <v>29</v>
      </c>
      <c r="G567" s="7" t="s">
        <v>30</v>
      </c>
      <c r="H567" s="7" t="s">
        <v>24</v>
      </c>
      <c r="I567" s="7">
        <v>33</v>
      </c>
      <c r="J567" s="7">
        <v>65</v>
      </c>
      <c r="K567" s="20">
        <v>8944.76</v>
      </c>
      <c r="L567" s="20">
        <v>446.63</v>
      </c>
      <c r="M567" s="7">
        <v>164.31</v>
      </c>
      <c r="N567" s="20">
        <f>Table15[[#This Row],[Processing Fee]]-Table15[[#This Row],[Discount Applied]]</f>
        <v>282.32</v>
      </c>
      <c r="O567" s="7" t="str">
        <f>IF(Table15[[#This Row],[Revenue]]&gt;35000,"Achieved","Not Achieved")</f>
        <v>Not Achieved</v>
      </c>
      <c r="P567" s="8">
        <v>1</v>
      </c>
      <c r="Q567" s="7" t="str">
        <f>IF(AND(Table15[[#This Row],[CSAT Score]]&lt;=3,Table15[[#This Row],[Revenue]]&gt;=20000),"High-Risk","Stable")</f>
        <v>Stable</v>
      </c>
      <c r="R567" s="8" t="str" cm="1">
        <f t="array" ref="R567">_xlfn.IFS(Table15[[#This Row],[Revenue]]&gt;=35000,"Platinum",Table15[[#This Row],[Revenue]]&gt;=15000,"Gold",TRUE,"Standard")</f>
        <v>Standard</v>
      </c>
      <c r="S567" s="8" t="str">
        <f>IF(OR(Table15[[#This Row],[Product]]="Wealth Management",Table15[[#This Row],[Revenue]]&gt;=40000),"Yes","No")</f>
        <v>No</v>
      </c>
    </row>
    <row r="568" spans="1:19" x14ac:dyDescent="0.3">
      <c r="A568" s="5" t="s">
        <v>626</v>
      </c>
      <c r="B568" s="6">
        <v>45911</v>
      </c>
      <c r="C568" s="7" t="s">
        <v>55</v>
      </c>
      <c r="D568" s="7" t="s">
        <v>34</v>
      </c>
      <c r="E568" s="7" t="s">
        <v>59</v>
      </c>
      <c r="F568" s="7" t="s">
        <v>35</v>
      </c>
      <c r="G568" s="7" t="s">
        <v>23</v>
      </c>
      <c r="H568" s="7" t="s">
        <v>53</v>
      </c>
      <c r="I568" s="7">
        <v>48</v>
      </c>
      <c r="J568" s="7">
        <v>68</v>
      </c>
      <c r="K568" s="20">
        <v>22119.51</v>
      </c>
      <c r="L568" s="20">
        <v>317.14</v>
      </c>
      <c r="M568" s="7">
        <v>5.71</v>
      </c>
      <c r="N568" s="20">
        <f>Table15[[#This Row],[Processing Fee]]-Table15[[#This Row],[Discount Applied]]</f>
        <v>311.43</v>
      </c>
      <c r="O568" s="7" t="str">
        <f>IF(Table15[[#This Row],[Revenue]]&gt;35000,"Achieved","Not Achieved")</f>
        <v>Not Achieved</v>
      </c>
      <c r="P568" s="8">
        <v>2</v>
      </c>
      <c r="Q568" s="7" t="str">
        <f>IF(AND(Table15[[#This Row],[CSAT Score]]&lt;=3,Table15[[#This Row],[Revenue]]&gt;=20000),"High-Risk","Stable")</f>
        <v>High-Risk</v>
      </c>
      <c r="R568" s="8" t="str" cm="1">
        <f t="array" ref="R568">_xlfn.IFS(Table15[[#This Row],[Revenue]]&gt;=35000,"Platinum",Table15[[#This Row],[Revenue]]&gt;=15000,"Gold",TRUE,"Standard")</f>
        <v>Gold</v>
      </c>
      <c r="S568" s="8" t="str">
        <f>IF(OR(Table15[[#This Row],[Product]]="Wealth Management",Table15[[#This Row],[Revenue]]&gt;=40000),"Yes","No")</f>
        <v>No</v>
      </c>
    </row>
    <row r="569" spans="1:19" x14ac:dyDescent="0.3">
      <c r="A569" s="5" t="s">
        <v>627</v>
      </c>
      <c r="B569" s="6">
        <v>46214</v>
      </c>
      <c r="C569" s="7" t="s">
        <v>44</v>
      </c>
      <c r="D569" s="7" t="s">
        <v>27</v>
      </c>
      <c r="E569" s="7" t="s">
        <v>59</v>
      </c>
      <c r="F569" s="7" t="s">
        <v>22</v>
      </c>
      <c r="G569" s="7" t="s">
        <v>30</v>
      </c>
      <c r="H569" s="7" t="s">
        <v>31</v>
      </c>
      <c r="I569" s="7">
        <v>29</v>
      </c>
      <c r="J569" s="7">
        <v>110</v>
      </c>
      <c r="K569" s="20">
        <v>23468.02</v>
      </c>
      <c r="L569" s="20">
        <v>323.54000000000002</v>
      </c>
      <c r="M569" s="7">
        <v>189.26</v>
      </c>
      <c r="N569" s="20">
        <f>Table15[[#This Row],[Processing Fee]]-Table15[[#This Row],[Discount Applied]]</f>
        <v>134.28000000000003</v>
      </c>
      <c r="O569" s="7" t="str">
        <f>IF(Table15[[#This Row],[Revenue]]&gt;35000,"Achieved","Not Achieved")</f>
        <v>Not Achieved</v>
      </c>
      <c r="P569" s="8">
        <v>2</v>
      </c>
      <c r="Q569" s="7" t="str">
        <f>IF(AND(Table15[[#This Row],[CSAT Score]]&lt;=3,Table15[[#This Row],[Revenue]]&gt;=20000),"High-Risk","Stable")</f>
        <v>High-Risk</v>
      </c>
      <c r="R569" s="8" t="str" cm="1">
        <f t="array" ref="R569">_xlfn.IFS(Table15[[#This Row],[Revenue]]&gt;=35000,"Platinum",Table15[[#This Row],[Revenue]]&gt;=15000,"Gold",TRUE,"Standard")</f>
        <v>Gold</v>
      </c>
      <c r="S569" s="8" t="str">
        <f>IF(OR(Table15[[#This Row],[Product]]="Wealth Management",Table15[[#This Row],[Revenue]]&gt;=40000),"Yes","No")</f>
        <v>Yes</v>
      </c>
    </row>
    <row r="570" spans="1:19" x14ac:dyDescent="0.3">
      <c r="A570" s="5" t="s">
        <v>628</v>
      </c>
      <c r="B570" s="6">
        <v>46203</v>
      </c>
      <c r="C570" s="7" t="s">
        <v>19</v>
      </c>
      <c r="D570" s="7" t="s">
        <v>79</v>
      </c>
      <c r="E570" s="7" t="s">
        <v>59</v>
      </c>
      <c r="F570" s="7" t="s">
        <v>22</v>
      </c>
      <c r="G570" s="7" t="s">
        <v>30</v>
      </c>
      <c r="H570" s="7" t="s">
        <v>31</v>
      </c>
      <c r="I570" s="7">
        <v>40</v>
      </c>
      <c r="J570" s="7">
        <v>49</v>
      </c>
      <c r="K570" s="20">
        <v>39560.26</v>
      </c>
      <c r="L570" s="20">
        <v>231.51</v>
      </c>
      <c r="M570" s="7">
        <v>104.88</v>
      </c>
      <c r="N570" s="20">
        <f>Table15[[#This Row],[Processing Fee]]-Table15[[#This Row],[Discount Applied]]</f>
        <v>126.63</v>
      </c>
      <c r="O570" s="7" t="str">
        <f>IF(Table15[[#This Row],[Revenue]]&gt;35000,"Achieved","Not Achieved")</f>
        <v>Achieved</v>
      </c>
      <c r="P570" s="8">
        <v>2</v>
      </c>
      <c r="Q570" s="7" t="str">
        <f>IF(AND(Table15[[#This Row],[CSAT Score]]&lt;=3,Table15[[#This Row],[Revenue]]&gt;=20000),"High-Risk","Stable")</f>
        <v>High-Risk</v>
      </c>
      <c r="R570" s="8" t="str" cm="1">
        <f t="array" ref="R570">_xlfn.IFS(Table15[[#This Row],[Revenue]]&gt;=35000,"Platinum",Table15[[#This Row],[Revenue]]&gt;=15000,"Gold",TRUE,"Standard")</f>
        <v>Platinum</v>
      </c>
      <c r="S570" s="8" t="str">
        <f>IF(OR(Table15[[#This Row],[Product]]="Wealth Management",Table15[[#This Row],[Revenue]]&gt;=40000),"Yes","No")</f>
        <v>Yes</v>
      </c>
    </row>
    <row r="571" spans="1:19" x14ac:dyDescent="0.3">
      <c r="A571" s="5" t="s">
        <v>629</v>
      </c>
      <c r="B571" s="6">
        <v>46069</v>
      </c>
      <c r="C571" s="7" t="s">
        <v>19</v>
      </c>
      <c r="D571" s="7" t="s">
        <v>52</v>
      </c>
      <c r="E571" s="7" t="s">
        <v>39</v>
      </c>
      <c r="F571" s="7" t="s">
        <v>40</v>
      </c>
      <c r="G571" s="7" t="s">
        <v>36</v>
      </c>
      <c r="H571" s="7" t="s">
        <v>57</v>
      </c>
      <c r="I571" s="7">
        <v>39</v>
      </c>
      <c r="J571" s="7">
        <v>52</v>
      </c>
      <c r="K571" s="20">
        <v>30343.200000000001</v>
      </c>
      <c r="L571" s="20">
        <v>354.41</v>
      </c>
      <c r="M571" s="7">
        <v>58.53</v>
      </c>
      <c r="N571" s="20">
        <f>Table15[[#This Row],[Processing Fee]]-Table15[[#This Row],[Discount Applied]]</f>
        <v>295.88</v>
      </c>
      <c r="O571" s="7" t="str">
        <f>IF(Table15[[#This Row],[Revenue]]&gt;35000,"Achieved","Not Achieved")</f>
        <v>Not Achieved</v>
      </c>
      <c r="P571" s="8">
        <v>5</v>
      </c>
      <c r="Q571" s="7" t="str">
        <f>IF(AND(Table15[[#This Row],[CSAT Score]]&lt;=3,Table15[[#This Row],[Revenue]]&gt;=20000),"High-Risk","Stable")</f>
        <v>Stable</v>
      </c>
      <c r="R571" s="8" t="str" cm="1">
        <f t="array" ref="R571">_xlfn.IFS(Table15[[#This Row],[Revenue]]&gt;=35000,"Platinum",Table15[[#This Row],[Revenue]]&gt;=15000,"Gold",TRUE,"Standard")</f>
        <v>Gold</v>
      </c>
      <c r="S571" s="8" t="str">
        <f>IF(OR(Table15[[#This Row],[Product]]="Wealth Management",Table15[[#This Row],[Revenue]]&gt;=40000),"Yes","No")</f>
        <v>No</v>
      </c>
    </row>
    <row r="572" spans="1:19" x14ac:dyDescent="0.3">
      <c r="A572" s="5" t="s">
        <v>630</v>
      </c>
      <c r="B572" s="6">
        <v>46022</v>
      </c>
      <c r="C572" s="7" t="s">
        <v>75</v>
      </c>
      <c r="D572" s="7" t="s">
        <v>83</v>
      </c>
      <c r="E572" s="7" t="s">
        <v>59</v>
      </c>
      <c r="F572" s="7" t="s">
        <v>35</v>
      </c>
      <c r="G572" s="7" t="s">
        <v>56</v>
      </c>
      <c r="H572" s="7" t="s">
        <v>24</v>
      </c>
      <c r="I572" s="7">
        <v>68</v>
      </c>
      <c r="J572" s="7">
        <v>114</v>
      </c>
      <c r="K572" s="20">
        <v>32883.910000000003</v>
      </c>
      <c r="L572" s="20">
        <v>135.47</v>
      </c>
      <c r="M572" s="7">
        <v>78.52</v>
      </c>
      <c r="N572" s="20">
        <f>Table15[[#This Row],[Processing Fee]]-Table15[[#This Row],[Discount Applied]]</f>
        <v>56.95</v>
      </c>
      <c r="O572" s="7" t="str">
        <f>IF(Table15[[#This Row],[Revenue]]&gt;35000,"Achieved","Not Achieved")</f>
        <v>Not Achieved</v>
      </c>
      <c r="P572" s="8">
        <v>4</v>
      </c>
      <c r="Q572" s="7" t="str">
        <f>IF(AND(Table15[[#This Row],[CSAT Score]]&lt;=3,Table15[[#This Row],[Revenue]]&gt;=20000),"High-Risk","Stable")</f>
        <v>Stable</v>
      </c>
      <c r="R572" s="8" t="str" cm="1">
        <f t="array" ref="R572">_xlfn.IFS(Table15[[#This Row],[Revenue]]&gt;=35000,"Platinum",Table15[[#This Row],[Revenue]]&gt;=15000,"Gold",TRUE,"Standard")</f>
        <v>Gold</v>
      </c>
      <c r="S572" s="8" t="str">
        <f>IF(OR(Table15[[#This Row],[Product]]="Wealth Management",Table15[[#This Row],[Revenue]]&gt;=40000),"Yes","No")</f>
        <v>No</v>
      </c>
    </row>
    <row r="573" spans="1:19" x14ac:dyDescent="0.3">
      <c r="A573" s="5" t="s">
        <v>631</v>
      </c>
      <c r="B573" s="6">
        <v>45971</v>
      </c>
      <c r="C573" s="7" t="s">
        <v>42</v>
      </c>
      <c r="D573" s="7" t="s">
        <v>52</v>
      </c>
      <c r="E573" s="7" t="s">
        <v>39</v>
      </c>
      <c r="F573" s="7" t="s">
        <v>69</v>
      </c>
      <c r="G573" s="7" t="s">
        <v>23</v>
      </c>
      <c r="H573" s="7" t="s">
        <v>24</v>
      </c>
      <c r="I573" s="7">
        <v>59</v>
      </c>
      <c r="J573" s="7">
        <v>107</v>
      </c>
      <c r="K573" s="20">
        <v>49910.9</v>
      </c>
      <c r="L573" s="20">
        <v>418.44</v>
      </c>
      <c r="M573" s="7">
        <v>68.400000000000006</v>
      </c>
      <c r="N573" s="20">
        <f>Table15[[#This Row],[Processing Fee]]-Table15[[#This Row],[Discount Applied]]</f>
        <v>350.03999999999996</v>
      </c>
      <c r="O573" s="7" t="str">
        <f>IF(Table15[[#This Row],[Revenue]]&gt;35000,"Achieved","Not Achieved")</f>
        <v>Achieved</v>
      </c>
      <c r="P573" s="8">
        <v>1</v>
      </c>
      <c r="Q573" s="7" t="str">
        <f>IF(AND(Table15[[#This Row],[CSAT Score]]&lt;=3,Table15[[#This Row],[Revenue]]&gt;=20000),"High-Risk","Stable")</f>
        <v>High-Risk</v>
      </c>
      <c r="R573" s="8" t="str" cm="1">
        <f t="array" ref="R573">_xlfn.IFS(Table15[[#This Row],[Revenue]]&gt;=35000,"Platinum",Table15[[#This Row],[Revenue]]&gt;=15000,"Gold",TRUE,"Standard")</f>
        <v>Platinum</v>
      </c>
      <c r="S573" s="8" t="str">
        <f>IF(OR(Table15[[#This Row],[Product]]="Wealth Management",Table15[[#This Row],[Revenue]]&gt;=40000),"Yes","No")</f>
        <v>Yes</v>
      </c>
    </row>
    <row r="574" spans="1:19" x14ac:dyDescent="0.3">
      <c r="A574" s="5" t="s">
        <v>632</v>
      </c>
      <c r="B574" s="6">
        <v>46132</v>
      </c>
      <c r="C574" s="7" t="s">
        <v>91</v>
      </c>
      <c r="D574" s="7" t="s">
        <v>52</v>
      </c>
      <c r="E574" s="7" t="s">
        <v>39</v>
      </c>
      <c r="F574" s="7" t="s">
        <v>22</v>
      </c>
      <c r="G574" s="7" t="s">
        <v>36</v>
      </c>
      <c r="H574" s="7" t="s">
        <v>31</v>
      </c>
      <c r="I574" s="7">
        <v>71</v>
      </c>
      <c r="J574" s="7">
        <v>29</v>
      </c>
      <c r="K574" s="20">
        <v>4210.5200000000004</v>
      </c>
      <c r="L574" s="20">
        <v>102.51</v>
      </c>
      <c r="M574" s="7">
        <v>249.68</v>
      </c>
      <c r="N574" s="20">
        <f>Table15[[#This Row],[Processing Fee]]-Table15[[#This Row],[Discount Applied]]</f>
        <v>-147.17000000000002</v>
      </c>
      <c r="O574" s="7" t="str">
        <f>IF(Table15[[#This Row],[Revenue]]&gt;35000,"Achieved","Not Achieved")</f>
        <v>Not Achieved</v>
      </c>
      <c r="P574" s="8">
        <v>4</v>
      </c>
      <c r="Q574" s="7" t="str">
        <f>IF(AND(Table15[[#This Row],[CSAT Score]]&lt;=3,Table15[[#This Row],[Revenue]]&gt;=20000),"High-Risk","Stable")</f>
        <v>Stable</v>
      </c>
      <c r="R574" s="8" t="str" cm="1">
        <f t="array" ref="R574">_xlfn.IFS(Table15[[#This Row],[Revenue]]&gt;=35000,"Platinum",Table15[[#This Row],[Revenue]]&gt;=15000,"Gold",TRUE,"Standard")</f>
        <v>Standard</v>
      </c>
      <c r="S574" s="8" t="str">
        <f>IF(OR(Table15[[#This Row],[Product]]="Wealth Management",Table15[[#This Row],[Revenue]]&gt;=40000),"Yes","No")</f>
        <v>Yes</v>
      </c>
    </row>
    <row r="575" spans="1:19" x14ac:dyDescent="0.3">
      <c r="A575" s="5" t="s">
        <v>633</v>
      </c>
      <c r="B575" s="6">
        <v>46195</v>
      </c>
      <c r="C575" s="7" t="s">
        <v>55</v>
      </c>
      <c r="D575" s="7" t="s">
        <v>48</v>
      </c>
      <c r="E575" s="7" t="s">
        <v>59</v>
      </c>
      <c r="F575" s="7" t="s">
        <v>40</v>
      </c>
      <c r="G575" s="7" t="s">
        <v>30</v>
      </c>
      <c r="H575" s="7" t="s">
        <v>24</v>
      </c>
      <c r="I575" s="7">
        <v>32</v>
      </c>
      <c r="J575" s="7">
        <v>21</v>
      </c>
      <c r="K575" s="20">
        <v>11538.99</v>
      </c>
      <c r="L575" s="20">
        <v>345.2</v>
      </c>
      <c r="M575" s="7">
        <v>54.96</v>
      </c>
      <c r="N575" s="20">
        <f>Table15[[#This Row],[Processing Fee]]-Table15[[#This Row],[Discount Applied]]</f>
        <v>290.24</v>
      </c>
      <c r="O575" s="7" t="str">
        <f>IF(Table15[[#This Row],[Revenue]]&gt;35000,"Achieved","Not Achieved")</f>
        <v>Not Achieved</v>
      </c>
      <c r="P575" s="8">
        <v>4</v>
      </c>
      <c r="Q575" s="7" t="str">
        <f>IF(AND(Table15[[#This Row],[CSAT Score]]&lt;=3,Table15[[#This Row],[Revenue]]&gt;=20000),"High-Risk","Stable")</f>
        <v>Stable</v>
      </c>
      <c r="R575" s="8" t="str" cm="1">
        <f t="array" ref="R575">_xlfn.IFS(Table15[[#This Row],[Revenue]]&gt;=35000,"Platinum",Table15[[#This Row],[Revenue]]&gt;=15000,"Gold",TRUE,"Standard")</f>
        <v>Standard</v>
      </c>
      <c r="S575" s="8" t="str">
        <f>IF(OR(Table15[[#This Row],[Product]]="Wealth Management",Table15[[#This Row],[Revenue]]&gt;=40000),"Yes","No")</f>
        <v>No</v>
      </c>
    </row>
    <row r="576" spans="1:19" x14ac:dyDescent="0.3">
      <c r="A576" s="5" t="s">
        <v>634</v>
      </c>
      <c r="B576" s="6">
        <v>45929</v>
      </c>
      <c r="C576" s="7" t="s">
        <v>19</v>
      </c>
      <c r="D576" s="7" t="s">
        <v>48</v>
      </c>
      <c r="E576" s="7" t="s">
        <v>21</v>
      </c>
      <c r="F576" s="7" t="s">
        <v>35</v>
      </c>
      <c r="G576" s="7" t="s">
        <v>30</v>
      </c>
      <c r="H576" s="7" t="s">
        <v>57</v>
      </c>
      <c r="I576" s="7">
        <v>35</v>
      </c>
      <c r="J576" s="7">
        <v>90</v>
      </c>
      <c r="K576" s="20">
        <v>20690.849999999999</v>
      </c>
      <c r="L576" s="20">
        <v>203.52</v>
      </c>
      <c r="M576" s="7">
        <v>146.63</v>
      </c>
      <c r="N576" s="20">
        <f>Table15[[#This Row],[Processing Fee]]-Table15[[#This Row],[Discount Applied]]</f>
        <v>56.890000000000015</v>
      </c>
      <c r="O576" s="7" t="str">
        <f>IF(Table15[[#This Row],[Revenue]]&gt;35000,"Achieved","Not Achieved")</f>
        <v>Not Achieved</v>
      </c>
      <c r="P576" s="8">
        <v>2</v>
      </c>
      <c r="Q576" s="7" t="str">
        <f>IF(AND(Table15[[#This Row],[CSAT Score]]&lt;=3,Table15[[#This Row],[Revenue]]&gt;=20000),"High-Risk","Stable")</f>
        <v>High-Risk</v>
      </c>
      <c r="R576" s="8" t="str" cm="1">
        <f t="array" ref="R576">_xlfn.IFS(Table15[[#This Row],[Revenue]]&gt;=35000,"Platinum",Table15[[#This Row],[Revenue]]&gt;=15000,"Gold",TRUE,"Standard")</f>
        <v>Gold</v>
      </c>
      <c r="S576" s="8" t="str">
        <f>IF(OR(Table15[[#This Row],[Product]]="Wealth Management",Table15[[#This Row],[Revenue]]&gt;=40000),"Yes","No")</f>
        <v>No</v>
      </c>
    </row>
    <row r="577" spans="1:19" x14ac:dyDescent="0.3">
      <c r="A577" s="5" t="s">
        <v>635</v>
      </c>
      <c r="B577" s="6">
        <v>46107</v>
      </c>
      <c r="C577" s="7" t="s">
        <v>75</v>
      </c>
      <c r="D577" s="7" t="s">
        <v>45</v>
      </c>
      <c r="E577" s="7" t="s">
        <v>46</v>
      </c>
      <c r="F577" s="7" t="s">
        <v>35</v>
      </c>
      <c r="G577" s="7" t="s">
        <v>56</v>
      </c>
      <c r="H577" s="7" t="s">
        <v>53</v>
      </c>
      <c r="I577" s="7">
        <v>51</v>
      </c>
      <c r="J577" s="7">
        <v>78</v>
      </c>
      <c r="K577" s="20">
        <v>17715.23</v>
      </c>
      <c r="L577" s="20">
        <v>386.38</v>
      </c>
      <c r="M577" s="7">
        <v>18.809999999999999</v>
      </c>
      <c r="N577" s="20">
        <f>Table15[[#This Row],[Processing Fee]]-Table15[[#This Row],[Discount Applied]]</f>
        <v>367.57</v>
      </c>
      <c r="O577" s="7" t="str">
        <f>IF(Table15[[#This Row],[Revenue]]&gt;35000,"Achieved","Not Achieved")</f>
        <v>Not Achieved</v>
      </c>
      <c r="P577" s="8">
        <v>4</v>
      </c>
      <c r="Q577" s="7" t="str">
        <f>IF(AND(Table15[[#This Row],[CSAT Score]]&lt;=3,Table15[[#This Row],[Revenue]]&gt;=20000),"High-Risk","Stable")</f>
        <v>Stable</v>
      </c>
      <c r="R577" s="8" t="str" cm="1">
        <f t="array" ref="R577">_xlfn.IFS(Table15[[#This Row],[Revenue]]&gt;=35000,"Platinum",Table15[[#This Row],[Revenue]]&gt;=15000,"Gold",TRUE,"Standard")</f>
        <v>Gold</v>
      </c>
      <c r="S577" s="8" t="str">
        <f>IF(OR(Table15[[#This Row],[Product]]="Wealth Management",Table15[[#This Row],[Revenue]]&gt;=40000),"Yes","No")</f>
        <v>No</v>
      </c>
    </row>
    <row r="578" spans="1:19" x14ac:dyDescent="0.3">
      <c r="A578" s="5" t="s">
        <v>636</v>
      </c>
      <c r="B578" s="6">
        <v>45943</v>
      </c>
      <c r="C578" s="7" t="s">
        <v>33</v>
      </c>
      <c r="D578" s="7" t="s">
        <v>79</v>
      </c>
      <c r="E578" s="7" t="s">
        <v>28</v>
      </c>
      <c r="F578" s="7" t="s">
        <v>35</v>
      </c>
      <c r="G578" s="7" t="s">
        <v>23</v>
      </c>
      <c r="H578" s="7" t="s">
        <v>24</v>
      </c>
      <c r="I578" s="7">
        <v>34</v>
      </c>
      <c r="J578" s="7">
        <v>9</v>
      </c>
      <c r="K578" s="20">
        <v>1571.46</v>
      </c>
      <c r="L578" s="20">
        <v>297.39</v>
      </c>
      <c r="M578" s="7">
        <v>190.28</v>
      </c>
      <c r="N578" s="20">
        <f>Table15[[#This Row],[Processing Fee]]-Table15[[#This Row],[Discount Applied]]</f>
        <v>107.10999999999999</v>
      </c>
      <c r="O578" s="7" t="str">
        <f>IF(Table15[[#This Row],[Revenue]]&gt;35000,"Achieved","Not Achieved")</f>
        <v>Not Achieved</v>
      </c>
      <c r="P578" s="8">
        <v>1</v>
      </c>
      <c r="Q578" s="7" t="str">
        <f>IF(AND(Table15[[#This Row],[CSAT Score]]&lt;=3,Table15[[#This Row],[Revenue]]&gt;=20000),"High-Risk","Stable")</f>
        <v>Stable</v>
      </c>
      <c r="R578" s="8" t="str" cm="1">
        <f t="array" ref="R578">_xlfn.IFS(Table15[[#This Row],[Revenue]]&gt;=35000,"Platinum",Table15[[#This Row],[Revenue]]&gt;=15000,"Gold",TRUE,"Standard")</f>
        <v>Standard</v>
      </c>
      <c r="S578" s="8" t="str">
        <f>IF(OR(Table15[[#This Row],[Product]]="Wealth Management",Table15[[#This Row],[Revenue]]&gt;=40000),"Yes","No")</f>
        <v>No</v>
      </c>
    </row>
    <row r="579" spans="1:19" x14ac:dyDescent="0.3">
      <c r="A579" s="5" t="s">
        <v>637</v>
      </c>
      <c r="B579" s="6">
        <v>46205</v>
      </c>
      <c r="C579" s="7" t="s">
        <v>75</v>
      </c>
      <c r="D579" s="7" t="s">
        <v>45</v>
      </c>
      <c r="E579" s="7" t="s">
        <v>39</v>
      </c>
      <c r="F579" s="7" t="s">
        <v>35</v>
      </c>
      <c r="G579" s="7" t="s">
        <v>23</v>
      </c>
      <c r="H579" s="7" t="s">
        <v>31</v>
      </c>
      <c r="I579" s="7">
        <v>31</v>
      </c>
      <c r="J579" s="7">
        <v>47</v>
      </c>
      <c r="K579" s="20">
        <v>5042.99</v>
      </c>
      <c r="L579" s="20">
        <v>253.56</v>
      </c>
      <c r="M579" s="7">
        <v>186.69</v>
      </c>
      <c r="N579" s="20">
        <f>Table15[[#This Row],[Processing Fee]]-Table15[[#This Row],[Discount Applied]]</f>
        <v>66.87</v>
      </c>
      <c r="O579" s="7" t="str">
        <f>IF(Table15[[#This Row],[Revenue]]&gt;35000,"Achieved","Not Achieved")</f>
        <v>Not Achieved</v>
      </c>
      <c r="P579" s="8">
        <v>1</v>
      </c>
      <c r="Q579" s="7" t="str">
        <f>IF(AND(Table15[[#This Row],[CSAT Score]]&lt;=3,Table15[[#This Row],[Revenue]]&gt;=20000),"High-Risk","Stable")</f>
        <v>Stable</v>
      </c>
      <c r="R579" s="8" t="str" cm="1">
        <f t="array" ref="R579">_xlfn.IFS(Table15[[#This Row],[Revenue]]&gt;=35000,"Platinum",Table15[[#This Row],[Revenue]]&gt;=15000,"Gold",TRUE,"Standard")</f>
        <v>Standard</v>
      </c>
      <c r="S579" s="8" t="str">
        <f>IF(OR(Table15[[#This Row],[Product]]="Wealth Management",Table15[[#This Row],[Revenue]]&gt;=40000),"Yes","No")</f>
        <v>No</v>
      </c>
    </row>
    <row r="580" spans="1:19" x14ac:dyDescent="0.3">
      <c r="A580" s="5" t="s">
        <v>638</v>
      </c>
      <c r="B580" s="6">
        <v>46177</v>
      </c>
      <c r="C580" s="7" t="s">
        <v>55</v>
      </c>
      <c r="D580" s="7" t="s">
        <v>79</v>
      </c>
      <c r="E580" s="7" t="s">
        <v>46</v>
      </c>
      <c r="F580" s="7" t="s">
        <v>35</v>
      </c>
      <c r="G580" s="7" t="s">
        <v>65</v>
      </c>
      <c r="H580" s="7" t="s">
        <v>53</v>
      </c>
      <c r="I580" s="7">
        <v>46</v>
      </c>
      <c r="J580" s="7">
        <v>76</v>
      </c>
      <c r="K580" s="20">
        <v>34207.19</v>
      </c>
      <c r="L580" s="20">
        <v>126.24</v>
      </c>
      <c r="M580" s="7">
        <v>141.34</v>
      </c>
      <c r="N580" s="20">
        <f>Table15[[#This Row],[Processing Fee]]-Table15[[#This Row],[Discount Applied]]</f>
        <v>-15.100000000000009</v>
      </c>
      <c r="O580" s="7" t="str">
        <f>IF(Table15[[#This Row],[Revenue]]&gt;35000,"Achieved","Not Achieved")</f>
        <v>Not Achieved</v>
      </c>
      <c r="P580" s="8">
        <v>3</v>
      </c>
      <c r="Q580" s="7" t="str">
        <f>IF(AND(Table15[[#This Row],[CSAT Score]]&lt;=3,Table15[[#This Row],[Revenue]]&gt;=20000),"High-Risk","Stable")</f>
        <v>High-Risk</v>
      </c>
      <c r="R580" s="8" t="str" cm="1">
        <f t="array" ref="R580">_xlfn.IFS(Table15[[#This Row],[Revenue]]&gt;=35000,"Platinum",Table15[[#This Row],[Revenue]]&gt;=15000,"Gold",TRUE,"Standard")</f>
        <v>Gold</v>
      </c>
      <c r="S580" s="8" t="str">
        <f>IF(OR(Table15[[#This Row],[Product]]="Wealth Management",Table15[[#This Row],[Revenue]]&gt;=40000),"Yes","No")</f>
        <v>No</v>
      </c>
    </row>
    <row r="581" spans="1:19" x14ac:dyDescent="0.3">
      <c r="A581" s="5" t="s">
        <v>639</v>
      </c>
      <c r="B581" s="6">
        <v>45998</v>
      </c>
      <c r="C581" s="7" t="s">
        <v>55</v>
      </c>
      <c r="D581" s="7" t="s">
        <v>27</v>
      </c>
      <c r="E581" s="7" t="s">
        <v>21</v>
      </c>
      <c r="F581" s="7" t="s">
        <v>22</v>
      </c>
      <c r="G581" s="7" t="s">
        <v>23</v>
      </c>
      <c r="H581" s="7" t="s">
        <v>53</v>
      </c>
      <c r="I581" s="7">
        <v>62</v>
      </c>
      <c r="J581" s="7">
        <v>42</v>
      </c>
      <c r="K581" s="20">
        <v>44026.559999999998</v>
      </c>
      <c r="L581" s="20">
        <v>336.57</v>
      </c>
      <c r="M581" s="7">
        <v>59.61</v>
      </c>
      <c r="N581" s="20">
        <f>Table15[[#This Row],[Processing Fee]]-Table15[[#This Row],[Discount Applied]]</f>
        <v>276.95999999999998</v>
      </c>
      <c r="O581" s="7" t="str">
        <f>IF(Table15[[#This Row],[Revenue]]&gt;35000,"Achieved","Not Achieved")</f>
        <v>Achieved</v>
      </c>
      <c r="P581" s="8">
        <v>5</v>
      </c>
      <c r="Q581" s="7" t="str">
        <f>IF(AND(Table15[[#This Row],[CSAT Score]]&lt;=3,Table15[[#This Row],[Revenue]]&gt;=20000),"High-Risk","Stable")</f>
        <v>Stable</v>
      </c>
      <c r="R581" s="8" t="str" cm="1">
        <f t="array" ref="R581">_xlfn.IFS(Table15[[#This Row],[Revenue]]&gt;=35000,"Platinum",Table15[[#This Row],[Revenue]]&gt;=15000,"Gold",TRUE,"Standard")</f>
        <v>Platinum</v>
      </c>
      <c r="S581" s="8" t="str">
        <f>IF(OR(Table15[[#This Row],[Product]]="Wealth Management",Table15[[#This Row],[Revenue]]&gt;=40000),"Yes","No")</f>
        <v>Yes</v>
      </c>
    </row>
    <row r="582" spans="1:19" x14ac:dyDescent="0.3">
      <c r="A582" s="5" t="s">
        <v>640</v>
      </c>
      <c r="B582" s="6">
        <v>46038</v>
      </c>
      <c r="C582" s="7" t="s">
        <v>75</v>
      </c>
      <c r="D582" s="7" t="s">
        <v>77</v>
      </c>
      <c r="E582" s="7" t="s">
        <v>28</v>
      </c>
      <c r="F582" s="7" t="s">
        <v>40</v>
      </c>
      <c r="G582" s="7" t="s">
        <v>56</v>
      </c>
      <c r="H582" s="7" t="s">
        <v>57</v>
      </c>
      <c r="I582" s="7">
        <v>47</v>
      </c>
      <c r="J582" s="7">
        <v>51</v>
      </c>
      <c r="K582" s="20">
        <v>25954.240000000002</v>
      </c>
      <c r="L582" s="20">
        <v>488.65</v>
      </c>
      <c r="M582" s="7">
        <v>82.42</v>
      </c>
      <c r="N582" s="20">
        <f>Table15[[#This Row],[Processing Fee]]-Table15[[#This Row],[Discount Applied]]</f>
        <v>406.22999999999996</v>
      </c>
      <c r="O582" s="7" t="str">
        <f>IF(Table15[[#This Row],[Revenue]]&gt;35000,"Achieved","Not Achieved")</f>
        <v>Not Achieved</v>
      </c>
      <c r="P582" s="8">
        <v>4</v>
      </c>
      <c r="Q582" s="7" t="str">
        <f>IF(AND(Table15[[#This Row],[CSAT Score]]&lt;=3,Table15[[#This Row],[Revenue]]&gt;=20000),"High-Risk","Stable")</f>
        <v>Stable</v>
      </c>
      <c r="R582" s="8" t="str" cm="1">
        <f t="array" ref="R582">_xlfn.IFS(Table15[[#This Row],[Revenue]]&gt;=35000,"Platinum",Table15[[#This Row],[Revenue]]&gt;=15000,"Gold",TRUE,"Standard")</f>
        <v>Gold</v>
      </c>
      <c r="S582" s="8" t="str">
        <f>IF(OR(Table15[[#This Row],[Product]]="Wealth Management",Table15[[#This Row],[Revenue]]&gt;=40000),"Yes","No")</f>
        <v>No</v>
      </c>
    </row>
    <row r="583" spans="1:19" x14ac:dyDescent="0.3">
      <c r="A583" s="5" t="s">
        <v>641</v>
      </c>
      <c r="B583" s="6">
        <v>46118</v>
      </c>
      <c r="C583" s="7" t="s">
        <v>91</v>
      </c>
      <c r="D583" s="7" t="s">
        <v>34</v>
      </c>
      <c r="E583" s="7" t="s">
        <v>28</v>
      </c>
      <c r="F583" s="7" t="s">
        <v>35</v>
      </c>
      <c r="G583" s="7" t="s">
        <v>65</v>
      </c>
      <c r="H583" s="7" t="s">
        <v>31</v>
      </c>
      <c r="I583" s="7">
        <v>31</v>
      </c>
      <c r="J583" s="7">
        <v>56</v>
      </c>
      <c r="K583" s="20">
        <v>27189.96</v>
      </c>
      <c r="L583" s="20">
        <v>421.52</v>
      </c>
      <c r="M583" s="7">
        <v>67.14</v>
      </c>
      <c r="N583" s="20">
        <f>Table15[[#This Row],[Processing Fee]]-Table15[[#This Row],[Discount Applied]]</f>
        <v>354.38</v>
      </c>
      <c r="O583" s="7" t="str">
        <f>IF(Table15[[#This Row],[Revenue]]&gt;35000,"Achieved","Not Achieved")</f>
        <v>Not Achieved</v>
      </c>
      <c r="P583" s="8">
        <v>5</v>
      </c>
      <c r="Q583" s="7" t="str">
        <f>IF(AND(Table15[[#This Row],[CSAT Score]]&lt;=3,Table15[[#This Row],[Revenue]]&gt;=20000),"High-Risk","Stable")</f>
        <v>Stable</v>
      </c>
      <c r="R583" s="8" t="str" cm="1">
        <f t="array" ref="R583">_xlfn.IFS(Table15[[#This Row],[Revenue]]&gt;=35000,"Platinum",Table15[[#This Row],[Revenue]]&gt;=15000,"Gold",TRUE,"Standard")</f>
        <v>Gold</v>
      </c>
      <c r="S583" s="8" t="str">
        <f>IF(OR(Table15[[#This Row],[Product]]="Wealth Management",Table15[[#This Row],[Revenue]]&gt;=40000),"Yes","No")</f>
        <v>No</v>
      </c>
    </row>
    <row r="584" spans="1:19" x14ac:dyDescent="0.3">
      <c r="A584" s="5" t="s">
        <v>642</v>
      </c>
      <c r="B584" s="6">
        <v>45874</v>
      </c>
      <c r="C584" s="7" t="s">
        <v>26</v>
      </c>
      <c r="D584" s="7" t="s">
        <v>52</v>
      </c>
      <c r="E584" s="7" t="s">
        <v>39</v>
      </c>
      <c r="F584" s="7" t="s">
        <v>29</v>
      </c>
      <c r="G584" s="7" t="s">
        <v>65</v>
      </c>
      <c r="H584" s="7" t="s">
        <v>24</v>
      </c>
      <c r="I584" s="7">
        <v>58</v>
      </c>
      <c r="J584" s="7">
        <v>51</v>
      </c>
      <c r="K584" s="20">
        <v>13127.12</v>
      </c>
      <c r="L584" s="20">
        <v>77</v>
      </c>
      <c r="M584" s="7">
        <v>186.51</v>
      </c>
      <c r="N584" s="20">
        <f>Table15[[#This Row],[Processing Fee]]-Table15[[#This Row],[Discount Applied]]</f>
        <v>-109.50999999999999</v>
      </c>
      <c r="O584" s="7" t="str">
        <f>IF(Table15[[#This Row],[Revenue]]&gt;35000,"Achieved","Not Achieved")</f>
        <v>Not Achieved</v>
      </c>
      <c r="P584" s="8">
        <v>5</v>
      </c>
      <c r="Q584" s="7" t="str">
        <f>IF(AND(Table15[[#This Row],[CSAT Score]]&lt;=3,Table15[[#This Row],[Revenue]]&gt;=20000),"High-Risk","Stable")</f>
        <v>Stable</v>
      </c>
      <c r="R584" s="8" t="str" cm="1">
        <f t="array" ref="R584">_xlfn.IFS(Table15[[#This Row],[Revenue]]&gt;=35000,"Platinum",Table15[[#This Row],[Revenue]]&gt;=15000,"Gold",TRUE,"Standard")</f>
        <v>Standard</v>
      </c>
      <c r="S584" s="8" t="str">
        <f>IF(OR(Table15[[#This Row],[Product]]="Wealth Management",Table15[[#This Row],[Revenue]]&gt;=40000),"Yes","No")</f>
        <v>No</v>
      </c>
    </row>
    <row r="585" spans="1:19" x14ac:dyDescent="0.3">
      <c r="A585" s="5" t="s">
        <v>643</v>
      </c>
      <c r="B585" s="6">
        <v>46096</v>
      </c>
      <c r="C585" s="7" t="s">
        <v>55</v>
      </c>
      <c r="D585" s="7" t="s">
        <v>27</v>
      </c>
      <c r="E585" s="7" t="s">
        <v>59</v>
      </c>
      <c r="F585" s="7" t="s">
        <v>29</v>
      </c>
      <c r="G585" s="7" t="s">
        <v>30</v>
      </c>
      <c r="H585" s="7" t="s">
        <v>31</v>
      </c>
      <c r="I585" s="7">
        <v>54</v>
      </c>
      <c r="J585" s="7">
        <v>70</v>
      </c>
      <c r="K585" s="20">
        <v>38509.879999999997</v>
      </c>
      <c r="L585" s="20">
        <v>219.3</v>
      </c>
      <c r="M585" s="7">
        <v>146.43</v>
      </c>
      <c r="N585" s="20">
        <f>Table15[[#This Row],[Processing Fee]]-Table15[[#This Row],[Discount Applied]]</f>
        <v>72.87</v>
      </c>
      <c r="O585" s="7" t="str">
        <f>IF(Table15[[#This Row],[Revenue]]&gt;35000,"Achieved","Not Achieved")</f>
        <v>Achieved</v>
      </c>
      <c r="P585" s="8">
        <v>5</v>
      </c>
      <c r="Q585" s="7" t="str">
        <f>IF(AND(Table15[[#This Row],[CSAT Score]]&lt;=3,Table15[[#This Row],[Revenue]]&gt;=20000),"High-Risk","Stable")</f>
        <v>Stable</v>
      </c>
      <c r="R585" s="8" t="str" cm="1">
        <f t="array" ref="R585">_xlfn.IFS(Table15[[#This Row],[Revenue]]&gt;=35000,"Platinum",Table15[[#This Row],[Revenue]]&gt;=15000,"Gold",TRUE,"Standard")</f>
        <v>Platinum</v>
      </c>
      <c r="S585" s="8" t="str">
        <f>IF(OR(Table15[[#This Row],[Product]]="Wealth Management",Table15[[#This Row],[Revenue]]&gt;=40000),"Yes","No")</f>
        <v>No</v>
      </c>
    </row>
    <row r="586" spans="1:19" x14ac:dyDescent="0.3">
      <c r="A586" s="5" t="s">
        <v>644</v>
      </c>
      <c r="B586" s="6">
        <v>46227</v>
      </c>
      <c r="C586" s="7" t="s">
        <v>75</v>
      </c>
      <c r="D586" s="7" t="s">
        <v>77</v>
      </c>
      <c r="E586" s="7" t="s">
        <v>21</v>
      </c>
      <c r="F586" s="7" t="s">
        <v>40</v>
      </c>
      <c r="G586" s="7" t="s">
        <v>30</v>
      </c>
      <c r="H586" s="7" t="s">
        <v>53</v>
      </c>
      <c r="I586" s="7">
        <v>63</v>
      </c>
      <c r="J586" s="7">
        <v>20</v>
      </c>
      <c r="K586" s="20">
        <v>37713.83</v>
      </c>
      <c r="L586" s="20">
        <v>466.51</v>
      </c>
      <c r="M586" s="7">
        <v>126.09</v>
      </c>
      <c r="N586" s="20">
        <f>Table15[[#This Row],[Processing Fee]]-Table15[[#This Row],[Discount Applied]]</f>
        <v>340.41999999999996</v>
      </c>
      <c r="O586" s="7" t="str">
        <f>IF(Table15[[#This Row],[Revenue]]&gt;35000,"Achieved","Not Achieved")</f>
        <v>Achieved</v>
      </c>
      <c r="P586" s="8">
        <v>5</v>
      </c>
      <c r="Q586" s="7" t="str">
        <f>IF(AND(Table15[[#This Row],[CSAT Score]]&lt;=3,Table15[[#This Row],[Revenue]]&gt;=20000),"High-Risk","Stable")</f>
        <v>Stable</v>
      </c>
      <c r="R586" s="8" t="str" cm="1">
        <f t="array" ref="R586">_xlfn.IFS(Table15[[#This Row],[Revenue]]&gt;=35000,"Platinum",Table15[[#This Row],[Revenue]]&gt;=15000,"Gold",TRUE,"Standard")</f>
        <v>Platinum</v>
      </c>
      <c r="S586" s="8" t="str">
        <f>IF(OR(Table15[[#This Row],[Product]]="Wealth Management",Table15[[#This Row],[Revenue]]&gt;=40000),"Yes","No")</f>
        <v>No</v>
      </c>
    </row>
    <row r="587" spans="1:19" x14ac:dyDescent="0.3">
      <c r="A587" s="5" t="s">
        <v>645</v>
      </c>
      <c r="B587" s="6">
        <v>46164</v>
      </c>
      <c r="C587" s="7" t="s">
        <v>19</v>
      </c>
      <c r="D587" s="7" t="s">
        <v>38</v>
      </c>
      <c r="E587" s="7" t="s">
        <v>39</v>
      </c>
      <c r="F587" s="7" t="s">
        <v>69</v>
      </c>
      <c r="G587" s="7" t="s">
        <v>23</v>
      </c>
      <c r="H587" s="7" t="s">
        <v>31</v>
      </c>
      <c r="I587" s="7">
        <v>39</v>
      </c>
      <c r="J587" s="7">
        <v>88</v>
      </c>
      <c r="K587" s="20">
        <v>29624.1</v>
      </c>
      <c r="L587" s="20">
        <v>276.37</v>
      </c>
      <c r="M587" s="7">
        <v>220.27</v>
      </c>
      <c r="N587" s="20">
        <f>Table15[[#This Row],[Processing Fee]]-Table15[[#This Row],[Discount Applied]]</f>
        <v>56.099999999999994</v>
      </c>
      <c r="O587" s="7" t="str">
        <f>IF(Table15[[#This Row],[Revenue]]&gt;35000,"Achieved","Not Achieved")</f>
        <v>Not Achieved</v>
      </c>
      <c r="P587" s="8">
        <v>1</v>
      </c>
      <c r="Q587" s="7" t="str">
        <f>IF(AND(Table15[[#This Row],[CSAT Score]]&lt;=3,Table15[[#This Row],[Revenue]]&gt;=20000),"High-Risk","Stable")</f>
        <v>High-Risk</v>
      </c>
      <c r="R587" s="8" t="str" cm="1">
        <f t="array" ref="R587">_xlfn.IFS(Table15[[#This Row],[Revenue]]&gt;=35000,"Platinum",Table15[[#This Row],[Revenue]]&gt;=15000,"Gold",TRUE,"Standard")</f>
        <v>Gold</v>
      </c>
      <c r="S587" s="8" t="str">
        <f>IF(OR(Table15[[#This Row],[Product]]="Wealth Management",Table15[[#This Row],[Revenue]]&gt;=40000),"Yes","No")</f>
        <v>No</v>
      </c>
    </row>
    <row r="588" spans="1:19" x14ac:dyDescent="0.3">
      <c r="A588" s="5" t="s">
        <v>646</v>
      </c>
      <c r="B588" s="6">
        <v>46121</v>
      </c>
      <c r="C588" s="7" t="s">
        <v>75</v>
      </c>
      <c r="D588" s="7" t="s">
        <v>20</v>
      </c>
      <c r="E588" s="7" t="s">
        <v>21</v>
      </c>
      <c r="F588" s="7" t="s">
        <v>69</v>
      </c>
      <c r="G588" s="7" t="s">
        <v>65</v>
      </c>
      <c r="H588" s="7" t="s">
        <v>24</v>
      </c>
      <c r="I588" s="7">
        <v>26</v>
      </c>
      <c r="J588" s="7">
        <v>27</v>
      </c>
      <c r="K588" s="20">
        <v>11026.88</v>
      </c>
      <c r="L588" s="20">
        <v>347.95</v>
      </c>
      <c r="M588" s="7">
        <v>74.22</v>
      </c>
      <c r="N588" s="20">
        <f>Table15[[#This Row],[Processing Fee]]-Table15[[#This Row],[Discount Applied]]</f>
        <v>273.73</v>
      </c>
      <c r="O588" s="7" t="str">
        <f>IF(Table15[[#This Row],[Revenue]]&gt;35000,"Achieved","Not Achieved")</f>
        <v>Not Achieved</v>
      </c>
      <c r="P588" s="8">
        <v>4</v>
      </c>
      <c r="Q588" s="7" t="str">
        <f>IF(AND(Table15[[#This Row],[CSAT Score]]&lt;=3,Table15[[#This Row],[Revenue]]&gt;=20000),"High-Risk","Stable")</f>
        <v>Stable</v>
      </c>
      <c r="R588" s="8" t="str" cm="1">
        <f t="array" ref="R588">_xlfn.IFS(Table15[[#This Row],[Revenue]]&gt;=35000,"Platinum",Table15[[#This Row],[Revenue]]&gt;=15000,"Gold",TRUE,"Standard")</f>
        <v>Standard</v>
      </c>
      <c r="S588" s="8" t="str">
        <f>IF(OR(Table15[[#This Row],[Product]]="Wealth Management",Table15[[#This Row],[Revenue]]&gt;=40000),"Yes","No")</f>
        <v>No</v>
      </c>
    </row>
    <row r="589" spans="1:19" x14ac:dyDescent="0.3">
      <c r="A589" s="5" t="s">
        <v>647</v>
      </c>
      <c r="B589" s="6">
        <v>46120</v>
      </c>
      <c r="C589" s="7" t="s">
        <v>42</v>
      </c>
      <c r="D589" s="7" t="s">
        <v>63</v>
      </c>
      <c r="E589" s="7" t="s">
        <v>59</v>
      </c>
      <c r="F589" s="7" t="s">
        <v>69</v>
      </c>
      <c r="G589" s="7" t="s">
        <v>30</v>
      </c>
      <c r="H589" s="7" t="s">
        <v>24</v>
      </c>
      <c r="I589" s="7">
        <v>66</v>
      </c>
      <c r="J589" s="7">
        <v>38</v>
      </c>
      <c r="K589" s="20">
        <v>5302.4</v>
      </c>
      <c r="L589" s="20">
        <v>460.67</v>
      </c>
      <c r="M589" s="7">
        <v>144.02000000000001</v>
      </c>
      <c r="N589" s="20">
        <f>Table15[[#This Row],[Processing Fee]]-Table15[[#This Row],[Discount Applied]]</f>
        <v>316.64999999999998</v>
      </c>
      <c r="O589" s="7" t="str">
        <f>IF(Table15[[#This Row],[Revenue]]&gt;35000,"Achieved","Not Achieved")</f>
        <v>Not Achieved</v>
      </c>
      <c r="P589" s="8">
        <v>3</v>
      </c>
      <c r="Q589" s="7" t="str">
        <f>IF(AND(Table15[[#This Row],[CSAT Score]]&lt;=3,Table15[[#This Row],[Revenue]]&gt;=20000),"High-Risk","Stable")</f>
        <v>Stable</v>
      </c>
      <c r="R589" s="8" t="str" cm="1">
        <f t="array" ref="R589">_xlfn.IFS(Table15[[#This Row],[Revenue]]&gt;=35000,"Platinum",Table15[[#This Row],[Revenue]]&gt;=15000,"Gold",TRUE,"Standard")</f>
        <v>Standard</v>
      </c>
      <c r="S589" s="8" t="str">
        <f>IF(OR(Table15[[#This Row],[Product]]="Wealth Management",Table15[[#This Row],[Revenue]]&gt;=40000),"Yes","No")</f>
        <v>No</v>
      </c>
    </row>
    <row r="590" spans="1:19" x14ac:dyDescent="0.3">
      <c r="A590" s="5" t="s">
        <v>648</v>
      </c>
      <c r="B590" s="6">
        <v>45871</v>
      </c>
      <c r="C590" s="7" t="s">
        <v>26</v>
      </c>
      <c r="D590" s="7" t="s">
        <v>50</v>
      </c>
      <c r="E590" s="7" t="s">
        <v>59</v>
      </c>
      <c r="F590" s="7" t="s">
        <v>29</v>
      </c>
      <c r="G590" s="7" t="s">
        <v>56</v>
      </c>
      <c r="H590" s="7" t="s">
        <v>57</v>
      </c>
      <c r="I590" s="7">
        <v>72</v>
      </c>
      <c r="J590" s="7">
        <v>72</v>
      </c>
      <c r="K590" s="20">
        <v>3679.81</v>
      </c>
      <c r="L590" s="20">
        <v>443.21</v>
      </c>
      <c r="M590" s="7">
        <v>135.19999999999999</v>
      </c>
      <c r="N590" s="20">
        <f>Table15[[#This Row],[Processing Fee]]-Table15[[#This Row],[Discount Applied]]</f>
        <v>308.01</v>
      </c>
      <c r="O590" s="7" t="str">
        <f>IF(Table15[[#This Row],[Revenue]]&gt;35000,"Achieved","Not Achieved")</f>
        <v>Not Achieved</v>
      </c>
      <c r="P590" s="8">
        <v>5</v>
      </c>
      <c r="Q590" s="7" t="str">
        <f>IF(AND(Table15[[#This Row],[CSAT Score]]&lt;=3,Table15[[#This Row],[Revenue]]&gt;=20000),"High-Risk","Stable")</f>
        <v>Stable</v>
      </c>
      <c r="R590" s="8" t="str" cm="1">
        <f t="array" ref="R590">_xlfn.IFS(Table15[[#This Row],[Revenue]]&gt;=35000,"Platinum",Table15[[#This Row],[Revenue]]&gt;=15000,"Gold",TRUE,"Standard")</f>
        <v>Standard</v>
      </c>
      <c r="S590" s="8" t="str">
        <f>IF(OR(Table15[[#This Row],[Product]]="Wealth Management",Table15[[#This Row],[Revenue]]&gt;=40000),"Yes","No")</f>
        <v>No</v>
      </c>
    </row>
    <row r="591" spans="1:19" x14ac:dyDescent="0.3">
      <c r="A591" s="5" t="s">
        <v>649</v>
      </c>
      <c r="B591" s="6">
        <v>45932</v>
      </c>
      <c r="C591" s="7" t="s">
        <v>33</v>
      </c>
      <c r="D591" s="7" t="s">
        <v>61</v>
      </c>
      <c r="E591" s="7" t="s">
        <v>39</v>
      </c>
      <c r="F591" s="7" t="s">
        <v>69</v>
      </c>
      <c r="G591" s="7" t="s">
        <v>30</v>
      </c>
      <c r="H591" s="7" t="s">
        <v>24</v>
      </c>
      <c r="I591" s="7">
        <v>58</v>
      </c>
      <c r="J591" s="7">
        <v>65</v>
      </c>
      <c r="K591" s="20">
        <v>29838.46</v>
      </c>
      <c r="L591" s="20">
        <v>275.82</v>
      </c>
      <c r="M591" s="7">
        <v>141.13</v>
      </c>
      <c r="N591" s="20">
        <f>Table15[[#This Row],[Processing Fee]]-Table15[[#This Row],[Discount Applied]]</f>
        <v>134.69</v>
      </c>
      <c r="O591" s="7" t="str">
        <f>IF(Table15[[#This Row],[Revenue]]&gt;35000,"Achieved","Not Achieved")</f>
        <v>Not Achieved</v>
      </c>
      <c r="P591" s="8">
        <v>3</v>
      </c>
      <c r="Q591" s="7" t="str">
        <f>IF(AND(Table15[[#This Row],[CSAT Score]]&lt;=3,Table15[[#This Row],[Revenue]]&gt;=20000),"High-Risk","Stable")</f>
        <v>High-Risk</v>
      </c>
      <c r="R591" s="8" t="str" cm="1">
        <f t="array" ref="R591">_xlfn.IFS(Table15[[#This Row],[Revenue]]&gt;=35000,"Platinum",Table15[[#This Row],[Revenue]]&gt;=15000,"Gold",TRUE,"Standard")</f>
        <v>Gold</v>
      </c>
      <c r="S591" s="8" t="str">
        <f>IF(OR(Table15[[#This Row],[Product]]="Wealth Management",Table15[[#This Row],[Revenue]]&gt;=40000),"Yes","No")</f>
        <v>No</v>
      </c>
    </row>
    <row r="592" spans="1:19" x14ac:dyDescent="0.3">
      <c r="A592" s="5" t="s">
        <v>650</v>
      </c>
      <c r="B592" s="6">
        <v>46105</v>
      </c>
      <c r="C592" s="7" t="s">
        <v>91</v>
      </c>
      <c r="D592" s="7" t="s">
        <v>79</v>
      </c>
      <c r="E592" s="7" t="s">
        <v>59</v>
      </c>
      <c r="F592" s="7" t="s">
        <v>22</v>
      </c>
      <c r="G592" s="7" t="s">
        <v>30</v>
      </c>
      <c r="H592" s="7" t="s">
        <v>24</v>
      </c>
      <c r="I592" s="7">
        <v>69</v>
      </c>
      <c r="J592" s="7">
        <v>54</v>
      </c>
      <c r="K592" s="20">
        <v>41339.25</v>
      </c>
      <c r="L592" s="20">
        <v>246.94</v>
      </c>
      <c r="M592" s="7">
        <v>97.85</v>
      </c>
      <c r="N592" s="20">
        <f>Table15[[#This Row],[Processing Fee]]-Table15[[#This Row],[Discount Applied]]</f>
        <v>149.09</v>
      </c>
      <c r="O592" s="7" t="str">
        <f>IF(Table15[[#This Row],[Revenue]]&gt;35000,"Achieved","Not Achieved")</f>
        <v>Achieved</v>
      </c>
      <c r="P592" s="8">
        <v>1</v>
      </c>
      <c r="Q592" s="7" t="str">
        <f>IF(AND(Table15[[#This Row],[CSAT Score]]&lt;=3,Table15[[#This Row],[Revenue]]&gt;=20000),"High-Risk","Stable")</f>
        <v>High-Risk</v>
      </c>
      <c r="R592" s="8" t="str" cm="1">
        <f t="array" ref="R592">_xlfn.IFS(Table15[[#This Row],[Revenue]]&gt;=35000,"Platinum",Table15[[#This Row],[Revenue]]&gt;=15000,"Gold",TRUE,"Standard")</f>
        <v>Platinum</v>
      </c>
      <c r="S592" s="8" t="str">
        <f>IF(OR(Table15[[#This Row],[Product]]="Wealth Management",Table15[[#This Row],[Revenue]]&gt;=40000),"Yes","No")</f>
        <v>Yes</v>
      </c>
    </row>
    <row r="593" spans="1:19" x14ac:dyDescent="0.3">
      <c r="A593" s="5" t="s">
        <v>651</v>
      </c>
      <c r="B593" s="6">
        <v>46120</v>
      </c>
      <c r="C593" s="7" t="s">
        <v>44</v>
      </c>
      <c r="D593" s="7" t="s">
        <v>38</v>
      </c>
      <c r="E593" s="7" t="s">
        <v>46</v>
      </c>
      <c r="F593" s="7" t="s">
        <v>35</v>
      </c>
      <c r="G593" s="7" t="s">
        <v>65</v>
      </c>
      <c r="H593" s="7" t="s">
        <v>31</v>
      </c>
      <c r="I593" s="7">
        <v>62</v>
      </c>
      <c r="J593" s="7">
        <v>113</v>
      </c>
      <c r="K593" s="20">
        <v>42987.360000000001</v>
      </c>
      <c r="L593" s="20">
        <v>202.86</v>
      </c>
      <c r="M593" s="7">
        <v>114.88</v>
      </c>
      <c r="N593" s="20">
        <f>Table15[[#This Row],[Processing Fee]]-Table15[[#This Row],[Discount Applied]]</f>
        <v>87.980000000000018</v>
      </c>
      <c r="O593" s="7" t="str">
        <f>IF(Table15[[#This Row],[Revenue]]&gt;35000,"Achieved","Not Achieved")</f>
        <v>Achieved</v>
      </c>
      <c r="P593" s="8">
        <v>1</v>
      </c>
      <c r="Q593" s="7" t="str">
        <f>IF(AND(Table15[[#This Row],[CSAT Score]]&lt;=3,Table15[[#This Row],[Revenue]]&gt;=20000),"High-Risk","Stable")</f>
        <v>High-Risk</v>
      </c>
      <c r="R593" s="8" t="str" cm="1">
        <f t="array" ref="R593">_xlfn.IFS(Table15[[#This Row],[Revenue]]&gt;=35000,"Platinum",Table15[[#This Row],[Revenue]]&gt;=15000,"Gold",TRUE,"Standard")</f>
        <v>Platinum</v>
      </c>
      <c r="S593" s="8" t="str">
        <f>IF(OR(Table15[[#This Row],[Product]]="Wealth Management",Table15[[#This Row],[Revenue]]&gt;=40000),"Yes","No")</f>
        <v>Yes</v>
      </c>
    </row>
    <row r="594" spans="1:19" x14ac:dyDescent="0.3">
      <c r="A594" s="5" t="s">
        <v>652</v>
      </c>
      <c r="B594" s="6">
        <v>45876</v>
      </c>
      <c r="C594" s="7" t="s">
        <v>33</v>
      </c>
      <c r="D594" s="7" t="s">
        <v>20</v>
      </c>
      <c r="E594" s="7" t="s">
        <v>28</v>
      </c>
      <c r="F594" s="7" t="s">
        <v>29</v>
      </c>
      <c r="G594" s="7" t="s">
        <v>65</v>
      </c>
      <c r="H594" s="7" t="s">
        <v>31</v>
      </c>
      <c r="I594" s="7">
        <v>48</v>
      </c>
      <c r="J594" s="7">
        <v>113</v>
      </c>
      <c r="K594" s="20">
        <v>23449.29</v>
      </c>
      <c r="L594" s="20">
        <v>373.56</v>
      </c>
      <c r="M594" s="7">
        <v>66.63</v>
      </c>
      <c r="N594" s="20">
        <f>Table15[[#This Row],[Processing Fee]]-Table15[[#This Row],[Discount Applied]]</f>
        <v>306.93</v>
      </c>
      <c r="O594" s="7" t="str">
        <f>IF(Table15[[#This Row],[Revenue]]&gt;35000,"Achieved","Not Achieved")</f>
        <v>Not Achieved</v>
      </c>
      <c r="P594" s="8">
        <v>2</v>
      </c>
      <c r="Q594" s="7" t="str">
        <f>IF(AND(Table15[[#This Row],[CSAT Score]]&lt;=3,Table15[[#This Row],[Revenue]]&gt;=20000),"High-Risk","Stable")</f>
        <v>High-Risk</v>
      </c>
      <c r="R594" s="8" t="str" cm="1">
        <f t="array" ref="R594">_xlfn.IFS(Table15[[#This Row],[Revenue]]&gt;=35000,"Platinum",Table15[[#This Row],[Revenue]]&gt;=15000,"Gold",TRUE,"Standard")</f>
        <v>Gold</v>
      </c>
      <c r="S594" s="8" t="str">
        <f>IF(OR(Table15[[#This Row],[Product]]="Wealth Management",Table15[[#This Row],[Revenue]]&gt;=40000),"Yes","No")</f>
        <v>No</v>
      </c>
    </row>
    <row r="595" spans="1:19" x14ac:dyDescent="0.3">
      <c r="A595" s="5" t="s">
        <v>653</v>
      </c>
      <c r="B595" s="6">
        <v>46058</v>
      </c>
      <c r="C595" s="7" t="s">
        <v>26</v>
      </c>
      <c r="D595" s="7" t="s">
        <v>83</v>
      </c>
      <c r="E595" s="7" t="s">
        <v>39</v>
      </c>
      <c r="F595" s="7" t="s">
        <v>40</v>
      </c>
      <c r="G595" s="7" t="s">
        <v>36</v>
      </c>
      <c r="H595" s="7" t="s">
        <v>53</v>
      </c>
      <c r="I595" s="7">
        <v>21</v>
      </c>
      <c r="J595" s="7">
        <v>24</v>
      </c>
      <c r="K595" s="20">
        <v>39321.43</v>
      </c>
      <c r="L595" s="20">
        <v>179.14</v>
      </c>
      <c r="M595" s="7">
        <v>164.93</v>
      </c>
      <c r="N595" s="20">
        <f>Table15[[#This Row],[Processing Fee]]-Table15[[#This Row],[Discount Applied]]</f>
        <v>14.20999999999998</v>
      </c>
      <c r="O595" s="7" t="str">
        <f>IF(Table15[[#This Row],[Revenue]]&gt;35000,"Achieved","Not Achieved")</f>
        <v>Achieved</v>
      </c>
      <c r="P595" s="8">
        <v>5</v>
      </c>
      <c r="Q595" s="7" t="str">
        <f>IF(AND(Table15[[#This Row],[CSAT Score]]&lt;=3,Table15[[#This Row],[Revenue]]&gt;=20000),"High-Risk","Stable")</f>
        <v>Stable</v>
      </c>
      <c r="R595" s="8" t="str" cm="1">
        <f t="array" ref="R595">_xlfn.IFS(Table15[[#This Row],[Revenue]]&gt;=35000,"Platinum",Table15[[#This Row],[Revenue]]&gt;=15000,"Gold",TRUE,"Standard")</f>
        <v>Platinum</v>
      </c>
      <c r="S595" s="8" t="str">
        <f>IF(OR(Table15[[#This Row],[Product]]="Wealth Management",Table15[[#This Row],[Revenue]]&gt;=40000),"Yes","No")</f>
        <v>No</v>
      </c>
    </row>
    <row r="596" spans="1:19" x14ac:dyDescent="0.3">
      <c r="A596" s="5" t="s">
        <v>654</v>
      </c>
      <c r="B596" s="6">
        <v>46022</v>
      </c>
      <c r="C596" s="7" t="s">
        <v>26</v>
      </c>
      <c r="D596" s="7" t="s">
        <v>87</v>
      </c>
      <c r="E596" s="7" t="s">
        <v>21</v>
      </c>
      <c r="F596" s="7" t="s">
        <v>40</v>
      </c>
      <c r="G596" s="7" t="s">
        <v>56</v>
      </c>
      <c r="H596" s="7" t="s">
        <v>57</v>
      </c>
      <c r="I596" s="7">
        <v>55</v>
      </c>
      <c r="J596" s="7">
        <v>47</v>
      </c>
      <c r="K596" s="20">
        <v>47370.57</v>
      </c>
      <c r="L596" s="20">
        <v>162.44999999999999</v>
      </c>
      <c r="M596" s="7">
        <v>121.67</v>
      </c>
      <c r="N596" s="20">
        <f>Table15[[#This Row],[Processing Fee]]-Table15[[#This Row],[Discount Applied]]</f>
        <v>40.779999999999987</v>
      </c>
      <c r="O596" s="7" t="str">
        <f>IF(Table15[[#This Row],[Revenue]]&gt;35000,"Achieved","Not Achieved")</f>
        <v>Achieved</v>
      </c>
      <c r="P596" s="8">
        <v>2</v>
      </c>
      <c r="Q596" s="7" t="str">
        <f>IF(AND(Table15[[#This Row],[CSAT Score]]&lt;=3,Table15[[#This Row],[Revenue]]&gt;=20000),"High-Risk","Stable")</f>
        <v>High-Risk</v>
      </c>
      <c r="R596" s="8" t="str" cm="1">
        <f t="array" ref="R596">_xlfn.IFS(Table15[[#This Row],[Revenue]]&gt;=35000,"Platinum",Table15[[#This Row],[Revenue]]&gt;=15000,"Gold",TRUE,"Standard")</f>
        <v>Platinum</v>
      </c>
      <c r="S596" s="8" t="str">
        <f>IF(OR(Table15[[#This Row],[Product]]="Wealth Management",Table15[[#This Row],[Revenue]]&gt;=40000),"Yes","No")</f>
        <v>Yes</v>
      </c>
    </row>
    <row r="597" spans="1:19" x14ac:dyDescent="0.3">
      <c r="A597" s="5" t="s">
        <v>655</v>
      </c>
      <c r="B597" s="6">
        <v>46196</v>
      </c>
      <c r="C597" s="7" t="s">
        <v>26</v>
      </c>
      <c r="D597" s="7" t="s">
        <v>34</v>
      </c>
      <c r="E597" s="7" t="s">
        <v>46</v>
      </c>
      <c r="F597" s="7" t="s">
        <v>35</v>
      </c>
      <c r="G597" s="7" t="s">
        <v>65</v>
      </c>
      <c r="H597" s="7" t="s">
        <v>31</v>
      </c>
      <c r="I597" s="7">
        <v>60</v>
      </c>
      <c r="J597" s="7">
        <v>71</v>
      </c>
      <c r="K597" s="20">
        <v>14120.92</v>
      </c>
      <c r="L597" s="20">
        <v>210.31</v>
      </c>
      <c r="M597" s="7">
        <v>133.30000000000001</v>
      </c>
      <c r="N597" s="20">
        <f>Table15[[#This Row],[Processing Fee]]-Table15[[#This Row],[Discount Applied]]</f>
        <v>77.009999999999991</v>
      </c>
      <c r="O597" s="7" t="str">
        <f>IF(Table15[[#This Row],[Revenue]]&gt;35000,"Achieved","Not Achieved")</f>
        <v>Not Achieved</v>
      </c>
      <c r="P597" s="8">
        <v>3</v>
      </c>
      <c r="Q597" s="7" t="str">
        <f>IF(AND(Table15[[#This Row],[CSAT Score]]&lt;=3,Table15[[#This Row],[Revenue]]&gt;=20000),"High-Risk","Stable")</f>
        <v>Stable</v>
      </c>
      <c r="R597" s="8" t="str" cm="1">
        <f t="array" ref="R597">_xlfn.IFS(Table15[[#This Row],[Revenue]]&gt;=35000,"Platinum",Table15[[#This Row],[Revenue]]&gt;=15000,"Gold",TRUE,"Standard")</f>
        <v>Standard</v>
      </c>
      <c r="S597" s="8" t="str">
        <f>IF(OR(Table15[[#This Row],[Product]]="Wealth Management",Table15[[#This Row],[Revenue]]&gt;=40000),"Yes","No")</f>
        <v>No</v>
      </c>
    </row>
    <row r="598" spans="1:19" x14ac:dyDescent="0.3">
      <c r="A598" s="5" t="s">
        <v>656</v>
      </c>
      <c r="B598" s="6">
        <v>45924</v>
      </c>
      <c r="C598" s="7" t="s">
        <v>33</v>
      </c>
      <c r="D598" s="7" t="s">
        <v>61</v>
      </c>
      <c r="E598" s="7" t="s">
        <v>39</v>
      </c>
      <c r="F598" s="7" t="s">
        <v>29</v>
      </c>
      <c r="G598" s="7" t="s">
        <v>23</v>
      </c>
      <c r="H598" s="7" t="s">
        <v>24</v>
      </c>
      <c r="I598" s="7">
        <v>28</v>
      </c>
      <c r="J598" s="7">
        <v>83</v>
      </c>
      <c r="K598" s="20">
        <v>20199.04</v>
      </c>
      <c r="L598" s="20">
        <v>129.75</v>
      </c>
      <c r="M598" s="7">
        <v>188.8</v>
      </c>
      <c r="N598" s="20">
        <f>Table15[[#This Row],[Processing Fee]]-Table15[[#This Row],[Discount Applied]]</f>
        <v>-59.050000000000011</v>
      </c>
      <c r="O598" s="7" t="str">
        <f>IF(Table15[[#This Row],[Revenue]]&gt;35000,"Achieved","Not Achieved")</f>
        <v>Not Achieved</v>
      </c>
      <c r="P598" s="8">
        <v>4</v>
      </c>
      <c r="Q598" s="7" t="str">
        <f>IF(AND(Table15[[#This Row],[CSAT Score]]&lt;=3,Table15[[#This Row],[Revenue]]&gt;=20000),"High-Risk","Stable")</f>
        <v>Stable</v>
      </c>
      <c r="R598" s="8" t="str" cm="1">
        <f t="array" ref="R598">_xlfn.IFS(Table15[[#This Row],[Revenue]]&gt;=35000,"Platinum",Table15[[#This Row],[Revenue]]&gt;=15000,"Gold",TRUE,"Standard")</f>
        <v>Gold</v>
      </c>
      <c r="S598" s="8" t="str">
        <f>IF(OR(Table15[[#This Row],[Product]]="Wealth Management",Table15[[#This Row],[Revenue]]&gt;=40000),"Yes","No")</f>
        <v>No</v>
      </c>
    </row>
    <row r="599" spans="1:19" x14ac:dyDescent="0.3">
      <c r="A599" s="5" t="s">
        <v>657</v>
      </c>
      <c r="B599" s="6">
        <v>45871</v>
      </c>
      <c r="C599" s="7" t="s">
        <v>19</v>
      </c>
      <c r="D599" s="7" t="s">
        <v>45</v>
      </c>
      <c r="E599" s="7" t="s">
        <v>59</v>
      </c>
      <c r="F599" s="7" t="s">
        <v>69</v>
      </c>
      <c r="G599" s="7" t="s">
        <v>56</v>
      </c>
      <c r="H599" s="7" t="s">
        <v>53</v>
      </c>
      <c r="I599" s="7">
        <v>72</v>
      </c>
      <c r="J599" s="7">
        <v>86</v>
      </c>
      <c r="K599" s="20">
        <v>46608.21</v>
      </c>
      <c r="L599" s="20">
        <v>362.8</v>
      </c>
      <c r="M599" s="7">
        <v>9.57</v>
      </c>
      <c r="N599" s="20">
        <f>Table15[[#This Row],[Processing Fee]]-Table15[[#This Row],[Discount Applied]]</f>
        <v>353.23</v>
      </c>
      <c r="O599" s="7" t="str">
        <f>IF(Table15[[#This Row],[Revenue]]&gt;35000,"Achieved","Not Achieved")</f>
        <v>Achieved</v>
      </c>
      <c r="P599" s="8">
        <v>2</v>
      </c>
      <c r="Q599" s="7" t="str">
        <f>IF(AND(Table15[[#This Row],[CSAT Score]]&lt;=3,Table15[[#This Row],[Revenue]]&gt;=20000),"High-Risk","Stable")</f>
        <v>High-Risk</v>
      </c>
      <c r="R599" s="8" t="str" cm="1">
        <f t="array" ref="R599">_xlfn.IFS(Table15[[#This Row],[Revenue]]&gt;=35000,"Platinum",Table15[[#This Row],[Revenue]]&gt;=15000,"Gold",TRUE,"Standard")</f>
        <v>Platinum</v>
      </c>
      <c r="S599" s="8" t="str">
        <f>IF(OR(Table15[[#This Row],[Product]]="Wealth Management",Table15[[#This Row],[Revenue]]&gt;=40000),"Yes","No")</f>
        <v>Yes</v>
      </c>
    </row>
    <row r="600" spans="1:19" x14ac:dyDescent="0.3">
      <c r="A600" s="5" t="s">
        <v>658</v>
      </c>
      <c r="B600" s="6">
        <v>46041</v>
      </c>
      <c r="C600" s="7" t="s">
        <v>26</v>
      </c>
      <c r="D600" s="7" t="s">
        <v>45</v>
      </c>
      <c r="E600" s="7" t="s">
        <v>59</v>
      </c>
      <c r="F600" s="7" t="s">
        <v>69</v>
      </c>
      <c r="G600" s="7" t="s">
        <v>56</v>
      </c>
      <c r="H600" s="7" t="s">
        <v>31</v>
      </c>
      <c r="I600" s="7">
        <v>74</v>
      </c>
      <c r="J600" s="7">
        <v>63</v>
      </c>
      <c r="K600" s="20">
        <v>17242.43</v>
      </c>
      <c r="L600" s="20">
        <v>327.31</v>
      </c>
      <c r="M600" s="7">
        <v>255.04</v>
      </c>
      <c r="N600" s="20">
        <f>Table15[[#This Row],[Processing Fee]]-Table15[[#This Row],[Discount Applied]]</f>
        <v>72.27000000000001</v>
      </c>
      <c r="O600" s="7" t="str">
        <f>IF(Table15[[#This Row],[Revenue]]&gt;35000,"Achieved","Not Achieved")</f>
        <v>Not Achieved</v>
      </c>
      <c r="P600" s="8">
        <v>1</v>
      </c>
      <c r="Q600" s="7" t="str">
        <f>IF(AND(Table15[[#This Row],[CSAT Score]]&lt;=3,Table15[[#This Row],[Revenue]]&gt;=20000),"High-Risk","Stable")</f>
        <v>Stable</v>
      </c>
      <c r="R600" s="8" t="str" cm="1">
        <f t="array" ref="R600">_xlfn.IFS(Table15[[#This Row],[Revenue]]&gt;=35000,"Platinum",Table15[[#This Row],[Revenue]]&gt;=15000,"Gold",TRUE,"Standard")</f>
        <v>Gold</v>
      </c>
      <c r="S600" s="8" t="str">
        <f>IF(OR(Table15[[#This Row],[Product]]="Wealth Management",Table15[[#This Row],[Revenue]]&gt;=40000),"Yes","No")</f>
        <v>No</v>
      </c>
    </row>
    <row r="601" spans="1:19" x14ac:dyDescent="0.3">
      <c r="A601" s="5" t="s">
        <v>659</v>
      </c>
      <c r="B601" s="6">
        <v>45912</v>
      </c>
      <c r="C601" s="7" t="s">
        <v>75</v>
      </c>
      <c r="D601" s="7" t="s">
        <v>77</v>
      </c>
      <c r="E601" s="7" t="s">
        <v>59</v>
      </c>
      <c r="F601" s="7" t="s">
        <v>22</v>
      </c>
      <c r="G601" s="7" t="s">
        <v>65</v>
      </c>
      <c r="H601" s="7" t="s">
        <v>57</v>
      </c>
      <c r="I601" s="7">
        <v>67</v>
      </c>
      <c r="J601" s="7">
        <v>57</v>
      </c>
      <c r="K601" s="20">
        <v>45736.88</v>
      </c>
      <c r="L601" s="20">
        <v>267.3</v>
      </c>
      <c r="M601" s="7">
        <v>199.52</v>
      </c>
      <c r="N601" s="20">
        <f>Table15[[#This Row],[Processing Fee]]-Table15[[#This Row],[Discount Applied]]</f>
        <v>67.78</v>
      </c>
      <c r="O601" s="7" t="str">
        <f>IF(Table15[[#This Row],[Revenue]]&gt;35000,"Achieved","Not Achieved")</f>
        <v>Achieved</v>
      </c>
      <c r="P601" s="8">
        <v>5</v>
      </c>
      <c r="Q601" s="7" t="str">
        <f>IF(AND(Table15[[#This Row],[CSAT Score]]&lt;=3,Table15[[#This Row],[Revenue]]&gt;=20000),"High-Risk","Stable")</f>
        <v>Stable</v>
      </c>
      <c r="R601" s="8" t="str" cm="1">
        <f t="array" ref="R601">_xlfn.IFS(Table15[[#This Row],[Revenue]]&gt;=35000,"Platinum",Table15[[#This Row],[Revenue]]&gt;=15000,"Gold",TRUE,"Standard")</f>
        <v>Platinum</v>
      </c>
      <c r="S601" s="8" t="str">
        <f>IF(OR(Table15[[#This Row],[Product]]="Wealth Management",Table15[[#This Row],[Revenue]]&gt;=40000),"Yes","No")</f>
        <v>Yes</v>
      </c>
    </row>
    <row r="602" spans="1:19" x14ac:dyDescent="0.3">
      <c r="A602" s="5" t="s">
        <v>660</v>
      </c>
      <c r="B602" s="6">
        <v>45896</v>
      </c>
      <c r="C602" s="7" t="s">
        <v>33</v>
      </c>
      <c r="D602" s="7" t="s">
        <v>61</v>
      </c>
      <c r="E602" s="7" t="s">
        <v>59</v>
      </c>
      <c r="F602" s="7" t="s">
        <v>22</v>
      </c>
      <c r="G602" s="7" t="s">
        <v>56</v>
      </c>
      <c r="H602" s="7" t="s">
        <v>57</v>
      </c>
      <c r="I602" s="7">
        <v>27</v>
      </c>
      <c r="J602" s="7">
        <v>55</v>
      </c>
      <c r="K602" s="20">
        <v>49061.72</v>
      </c>
      <c r="L602" s="20">
        <v>225.65</v>
      </c>
      <c r="M602" s="7">
        <v>177.39</v>
      </c>
      <c r="N602" s="20">
        <f>Table15[[#This Row],[Processing Fee]]-Table15[[#This Row],[Discount Applied]]</f>
        <v>48.260000000000019</v>
      </c>
      <c r="O602" s="7" t="str">
        <f>IF(Table15[[#This Row],[Revenue]]&gt;35000,"Achieved","Not Achieved")</f>
        <v>Achieved</v>
      </c>
      <c r="P602" s="8">
        <v>3</v>
      </c>
      <c r="Q602" s="7" t="str">
        <f>IF(AND(Table15[[#This Row],[CSAT Score]]&lt;=3,Table15[[#This Row],[Revenue]]&gt;=20000),"High-Risk","Stable")</f>
        <v>High-Risk</v>
      </c>
      <c r="R602" s="8" t="str" cm="1">
        <f t="array" ref="R602">_xlfn.IFS(Table15[[#This Row],[Revenue]]&gt;=35000,"Platinum",Table15[[#This Row],[Revenue]]&gt;=15000,"Gold",TRUE,"Standard")</f>
        <v>Platinum</v>
      </c>
      <c r="S602" s="8" t="str">
        <f>IF(OR(Table15[[#This Row],[Product]]="Wealth Management",Table15[[#This Row],[Revenue]]&gt;=40000),"Yes","No")</f>
        <v>Yes</v>
      </c>
    </row>
    <row r="603" spans="1:19" x14ac:dyDescent="0.3">
      <c r="A603" s="5" t="s">
        <v>661</v>
      </c>
      <c r="B603" s="6">
        <v>46187</v>
      </c>
      <c r="C603" s="7" t="s">
        <v>44</v>
      </c>
      <c r="D603" s="7" t="s">
        <v>48</v>
      </c>
      <c r="E603" s="7" t="s">
        <v>21</v>
      </c>
      <c r="F603" s="7" t="s">
        <v>69</v>
      </c>
      <c r="G603" s="7" t="s">
        <v>65</v>
      </c>
      <c r="H603" s="7" t="s">
        <v>53</v>
      </c>
      <c r="I603" s="7">
        <v>31</v>
      </c>
      <c r="J603" s="7">
        <v>60</v>
      </c>
      <c r="K603" s="20">
        <v>33259.629999999997</v>
      </c>
      <c r="L603" s="20">
        <v>459.08</v>
      </c>
      <c r="M603" s="7">
        <v>162.09</v>
      </c>
      <c r="N603" s="20">
        <f>Table15[[#This Row],[Processing Fee]]-Table15[[#This Row],[Discount Applied]]</f>
        <v>296.99</v>
      </c>
      <c r="O603" s="7" t="str">
        <f>IF(Table15[[#This Row],[Revenue]]&gt;35000,"Achieved","Not Achieved")</f>
        <v>Not Achieved</v>
      </c>
      <c r="P603" s="8">
        <v>1</v>
      </c>
      <c r="Q603" s="7" t="str">
        <f>IF(AND(Table15[[#This Row],[CSAT Score]]&lt;=3,Table15[[#This Row],[Revenue]]&gt;=20000),"High-Risk","Stable")</f>
        <v>High-Risk</v>
      </c>
      <c r="R603" s="8" t="str" cm="1">
        <f t="array" ref="R603">_xlfn.IFS(Table15[[#This Row],[Revenue]]&gt;=35000,"Platinum",Table15[[#This Row],[Revenue]]&gt;=15000,"Gold",TRUE,"Standard")</f>
        <v>Gold</v>
      </c>
      <c r="S603" s="8" t="str">
        <f>IF(OR(Table15[[#This Row],[Product]]="Wealth Management",Table15[[#This Row],[Revenue]]&gt;=40000),"Yes","No")</f>
        <v>No</v>
      </c>
    </row>
    <row r="604" spans="1:19" x14ac:dyDescent="0.3">
      <c r="A604" s="5" t="s">
        <v>662</v>
      </c>
      <c r="B604" s="6">
        <v>46098</v>
      </c>
      <c r="C604" s="7" t="s">
        <v>26</v>
      </c>
      <c r="D604" s="7" t="s">
        <v>20</v>
      </c>
      <c r="E604" s="7" t="s">
        <v>46</v>
      </c>
      <c r="F604" s="7" t="s">
        <v>40</v>
      </c>
      <c r="G604" s="7" t="s">
        <v>30</v>
      </c>
      <c r="H604" s="7" t="s">
        <v>53</v>
      </c>
      <c r="I604" s="7">
        <v>59</v>
      </c>
      <c r="J604" s="7">
        <v>99</v>
      </c>
      <c r="K604" s="20">
        <v>40936.07</v>
      </c>
      <c r="L604" s="20">
        <v>63.11</v>
      </c>
      <c r="M604" s="7">
        <v>74.86</v>
      </c>
      <c r="N604" s="20">
        <f>Table15[[#This Row],[Processing Fee]]-Table15[[#This Row],[Discount Applied]]</f>
        <v>-11.75</v>
      </c>
      <c r="O604" s="7" t="str">
        <f>IF(Table15[[#This Row],[Revenue]]&gt;35000,"Achieved","Not Achieved")</f>
        <v>Achieved</v>
      </c>
      <c r="P604" s="8">
        <v>4</v>
      </c>
      <c r="Q604" s="7" t="str">
        <f>IF(AND(Table15[[#This Row],[CSAT Score]]&lt;=3,Table15[[#This Row],[Revenue]]&gt;=20000),"High-Risk","Stable")</f>
        <v>Stable</v>
      </c>
      <c r="R604" s="8" t="str" cm="1">
        <f t="array" ref="R604">_xlfn.IFS(Table15[[#This Row],[Revenue]]&gt;=35000,"Platinum",Table15[[#This Row],[Revenue]]&gt;=15000,"Gold",TRUE,"Standard")</f>
        <v>Platinum</v>
      </c>
      <c r="S604" s="8" t="str">
        <f>IF(OR(Table15[[#This Row],[Product]]="Wealth Management",Table15[[#This Row],[Revenue]]&gt;=40000),"Yes","No")</f>
        <v>Yes</v>
      </c>
    </row>
    <row r="605" spans="1:19" x14ac:dyDescent="0.3">
      <c r="A605" s="5" t="s">
        <v>663</v>
      </c>
      <c r="B605" s="6">
        <v>45879</v>
      </c>
      <c r="C605" s="7" t="s">
        <v>75</v>
      </c>
      <c r="D605" s="7" t="s">
        <v>87</v>
      </c>
      <c r="E605" s="7" t="s">
        <v>28</v>
      </c>
      <c r="F605" s="7" t="s">
        <v>40</v>
      </c>
      <c r="G605" s="7" t="s">
        <v>36</v>
      </c>
      <c r="H605" s="7" t="s">
        <v>53</v>
      </c>
      <c r="I605" s="7">
        <v>24</v>
      </c>
      <c r="J605" s="7">
        <v>62</v>
      </c>
      <c r="K605" s="20">
        <v>37602.51</v>
      </c>
      <c r="L605" s="20">
        <v>396.1</v>
      </c>
      <c r="M605" s="7">
        <v>46.26</v>
      </c>
      <c r="N605" s="20">
        <f>Table15[[#This Row],[Processing Fee]]-Table15[[#This Row],[Discount Applied]]</f>
        <v>349.84000000000003</v>
      </c>
      <c r="O605" s="7" t="str">
        <f>IF(Table15[[#This Row],[Revenue]]&gt;35000,"Achieved","Not Achieved")</f>
        <v>Achieved</v>
      </c>
      <c r="P605" s="8">
        <v>5</v>
      </c>
      <c r="Q605" s="7" t="str">
        <f>IF(AND(Table15[[#This Row],[CSAT Score]]&lt;=3,Table15[[#This Row],[Revenue]]&gt;=20000),"High-Risk","Stable")</f>
        <v>Stable</v>
      </c>
      <c r="R605" s="8" t="str" cm="1">
        <f t="array" ref="R605">_xlfn.IFS(Table15[[#This Row],[Revenue]]&gt;=35000,"Platinum",Table15[[#This Row],[Revenue]]&gt;=15000,"Gold",TRUE,"Standard")</f>
        <v>Platinum</v>
      </c>
      <c r="S605" s="8" t="str">
        <f>IF(OR(Table15[[#This Row],[Product]]="Wealth Management",Table15[[#This Row],[Revenue]]&gt;=40000),"Yes","No")</f>
        <v>No</v>
      </c>
    </row>
    <row r="606" spans="1:19" x14ac:dyDescent="0.3">
      <c r="A606" s="5" t="s">
        <v>664</v>
      </c>
      <c r="B606" s="6">
        <v>46060</v>
      </c>
      <c r="C606" s="7" t="s">
        <v>19</v>
      </c>
      <c r="D606" s="7" t="s">
        <v>38</v>
      </c>
      <c r="E606" s="7" t="s">
        <v>21</v>
      </c>
      <c r="F606" s="7" t="s">
        <v>22</v>
      </c>
      <c r="G606" s="7" t="s">
        <v>30</v>
      </c>
      <c r="H606" s="7" t="s">
        <v>53</v>
      </c>
      <c r="I606" s="7">
        <v>45</v>
      </c>
      <c r="J606" s="7">
        <v>30</v>
      </c>
      <c r="K606" s="20">
        <v>35126.949999999997</v>
      </c>
      <c r="L606" s="20">
        <v>455.86</v>
      </c>
      <c r="M606" s="7">
        <v>146.97</v>
      </c>
      <c r="N606" s="20">
        <f>Table15[[#This Row],[Processing Fee]]-Table15[[#This Row],[Discount Applied]]</f>
        <v>308.89</v>
      </c>
      <c r="O606" s="7" t="str">
        <f>IF(Table15[[#This Row],[Revenue]]&gt;35000,"Achieved","Not Achieved")</f>
        <v>Achieved</v>
      </c>
      <c r="P606" s="8">
        <v>4</v>
      </c>
      <c r="Q606" s="7" t="str">
        <f>IF(AND(Table15[[#This Row],[CSAT Score]]&lt;=3,Table15[[#This Row],[Revenue]]&gt;=20000),"High-Risk","Stable")</f>
        <v>Stable</v>
      </c>
      <c r="R606" s="8" t="str" cm="1">
        <f t="array" ref="R606">_xlfn.IFS(Table15[[#This Row],[Revenue]]&gt;=35000,"Platinum",Table15[[#This Row],[Revenue]]&gt;=15000,"Gold",TRUE,"Standard")</f>
        <v>Platinum</v>
      </c>
      <c r="S606" s="8" t="str">
        <f>IF(OR(Table15[[#This Row],[Product]]="Wealth Management",Table15[[#This Row],[Revenue]]&gt;=40000),"Yes","No")</f>
        <v>Yes</v>
      </c>
    </row>
    <row r="607" spans="1:19" x14ac:dyDescent="0.3">
      <c r="A607" s="5" t="s">
        <v>665</v>
      </c>
      <c r="B607" s="6">
        <v>46206</v>
      </c>
      <c r="C607" s="7" t="s">
        <v>42</v>
      </c>
      <c r="D607" s="7" t="s">
        <v>34</v>
      </c>
      <c r="E607" s="7" t="s">
        <v>21</v>
      </c>
      <c r="F607" s="7" t="s">
        <v>35</v>
      </c>
      <c r="G607" s="7" t="s">
        <v>65</v>
      </c>
      <c r="H607" s="7" t="s">
        <v>53</v>
      </c>
      <c r="I607" s="7">
        <v>32</v>
      </c>
      <c r="J607" s="7">
        <v>93</v>
      </c>
      <c r="K607" s="20">
        <v>15693.09</v>
      </c>
      <c r="L607" s="20">
        <v>250.86</v>
      </c>
      <c r="M607" s="7">
        <v>60.92</v>
      </c>
      <c r="N607" s="20">
        <f>Table15[[#This Row],[Processing Fee]]-Table15[[#This Row],[Discount Applied]]</f>
        <v>189.94</v>
      </c>
      <c r="O607" s="7" t="str">
        <f>IF(Table15[[#This Row],[Revenue]]&gt;35000,"Achieved","Not Achieved")</f>
        <v>Not Achieved</v>
      </c>
      <c r="P607" s="8">
        <v>4</v>
      </c>
      <c r="Q607" s="7" t="str">
        <f>IF(AND(Table15[[#This Row],[CSAT Score]]&lt;=3,Table15[[#This Row],[Revenue]]&gt;=20000),"High-Risk","Stable")</f>
        <v>Stable</v>
      </c>
      <c r="R607" s="8" t="str" cm="1">
        <f t="array" ref="R607">_xlfn.IFS(Table15[[#This Row],[Revenue]]&gt;=35000,"Platinum",Table15[[#This Row],[Revenue]]&gt;=15000,"Gold",TRUE,"Standard")</f>
        <v>Gold</v>
      </c>
      <c r="S607" s="8" t="str">
        <f>IF(OR(Table15[[#This Row],[Product]]="Wealth Management",Table15[[#This Row],[Revenue]]&gt;=40000),"Yes","No")</f>
        <v>No</v>
      </c>
    </row>
    <row r="608" spans="1:19" x14ac:dyDescent="0.3">
      <c r="A608" s="5" t="s">
        <v>666</v>
      </c>
      <c r="B608" s="6">
        <v>46113</v>
      </c>
      <c r="C608" s="7" t="s">
        <v>19</v>
      </c>
      <c r="D608" s="7" t="s">
        <v>27</v>
      </c>
      <c r="E608" s="7" t="s">
        <v>28</v>
      </c>
      <c r="F608" s="7" t="s">
        <v>69</v>
      </c>
      <c r="G608" s="7" t="s">
        <v>65</v>
      </c>
      <c r="H608" s="7" t="s">
        <v>24</v>
      </c>
      <c r="I608" s="7">
        <v>46</v>
      </c>
      <c r="J608" s="7">
        <v>22</v>
      </c>
      <c r="K608" s="20">
        <v>3326.17</v>
      </c>
      <c r="L608" s="20">
        <v>297.81</v>
      </c>
      <c r="M608" s="7">
        <v>35.21</v>
      </c>
      <c r="N608" s="20">
        <f>Table15[[#This Row],[Processing Fee]]-Table15[[#This Row],[Discount Applied]]</f>
        <v>262.60000000000002</v>
      </c>
      <c r="O608" s="7" t="str">
        <f>IF(Table15[[#This Row],[Revenue]]&gt;35000,"Achieved","Not Achieved")</f>
        <v>Not Achieved</v>
      </c>
      <c r="P608" s="8">
        <v>5</v>
      </c>
      <c r="Q608" s="7" t="str">
        <f>IF(AND(Table15[[#This Row],[CSAT Score]]&lt;=3,Table15[[#This Row],[Revenue]]&gt;=20000),"High-Risk","Stable")</f>
        <v>Stable</v>
      </c>
      <c r="R608" s="8" t="str" cm="1">
        <f t="array" ref="R608">_xlfn.IFS(Table15[[#This Row],[Revenue]]&gt;=35000,"Platinum",Table15[[#This Row],[Revenue]]&gt;=15000,"Gold",TRUE,"Standard")</f>
        <v>Standard</v>
      </c>
      <c r="S608" s="8" t="str">
        <f>IF(OR(Table15[[#This Row],[Product]]="Wealth Management",Table15[[#This Row],[Revenue]]&gt;=40000),"Yes","No")</f>
        <v>No</v>
      </c>
    </row>
    <row r="609" spans="1:19" x14ac:dyDescent="0.3">
      <c r="A609" s="5" t="s">
        <v>667</v>
      </c>
      <c r="B609" s="6">
        <v>45870</v>
      </c>
      <c r="C609" s="7" t="s">
        <v>44</v>
      </c>
      <c r="D609" s="7" t="s">
        <v>20</v>
      </c>
      <c r="E609" s="7" t="s">
        <v>28</v>
      </c>
      <c r="F609" s="7" t="s">
        <v>22</v>
      </c>
      <c r="G609" s="7" t="s">
        <v>30</v>
      </c>
      <c r="H609" s="7" t="s">
        <v>24</v>
      </c>
      <c r="I609" s="7">
        <v>58</v>
      </c>
      <c r="J609" s="7">
        <v>75</v>
      </c>
      <c r="K609" s="20">
        <v>17481.060000000001</v>
      </c>
      <c r="L609" s="20">
        <v>475.01</v>
      </c>
      <c r="M609" s="7">
        <v>157.31</v>
      </c>
      <c r="N609" s="20">
        <f>Table15[[#This Row],[Processing Fee]]-Table15[[#This Row],[Discount Applied]]</f>
        <v>317.7</v>
      </c>
      <c r="O609" s="7" t="str">
        <f>IF(Table15[[#This Row],[Revenue]]&gt;35000,"Achieved","Not Achieved")</f>
        <v>Not Achieved</v>
      </c>
      <c r="P609" s="8">
        <v>5</v>
      </c>
      <c r="Q609" s="7" t="str">
        <f>IF(AND(Table15[[#This Row],[CSAT Score]]&lt;=3,Table15[[#This Row],[Revenue]]&gt;=20000),"High-Risk","Stable")</f>
        <v>Stable</v>
      </c>
      <c r="R609" s="8" t="str" cm="1">
        <f t="array" ref="R609">_xlfn.IFS(Table15[[#This Row],[Revenue]]&gt;=35000,"Platinum",Table15[[#This Row],[Revenue]]&gt;=15000,"Gold",TRUE,"Standard")</f>
        <v>Gold</v>
      </c>
      <c r="S609" s="8" t="str">
        <f>IF(OR(Table15[[#This Row],[Product]]="Wealth Management",Table15[[#This Row],[Revenue]]&gt;=40000),"Yes","No")</f>
        <v>Yes</v>
      </c>
    </row>
    <row r="610" spans="1:19" x14ac:dyDescent="0.3">
      <c r="A610" s="5" t="s">
        <v>668</v>
      </c>
      <c r="B610" s="6">
        <v>46099</v>
      </c>
      <c r="C610" s="7" t="s">
        <v>26</v>
      </c>
      <c r="D610" s="7" t="s">
        <v>87</v>
      </c>
      <c r="E610" s="7" t="s">
        <v>59</v>
      </c>
      <c r="F610" s="7" t="s">
        <v>22</v>
      </c>
      <c r="G610" s="7" t="s">
        <v>23</v>
      </c>
      <c r="H610" s="7" t="s">
        <v>31</v>
      </c>
      <c r="I610" s="7">
        <v>66</v>
      </c>
      <c r="J610" s="7">
        <v>84</v>
      </c>
      <c r="K610" s="20">
        <v>33513.33</v>
      </c>
      <c r="L610" s="20">
        <v>145.52000000000001</v>
      </c>
      <c r="M610" s="7">
        <v>93.76</v>
      </c>
      <c r="N610" s="20">
        <f>Table15[[#This Row],[Processing Fee]]-Table15[[#This Row],[Discount Applied]]</f>
        <v>51.760000000000005</v>
      </c>
      <c r="O610" s="7" t="str">
        <f>IF(Table15[[#This Row],[Revenue]]&gt;35000,"Achieved","Not Achieved")</f>
        <v>Not Achieved</v>
      </c>
      <c r="P610" s="8">
        <v>4</v>
      </c>
      <c r="Q610" s="7" t="str">
        <f>IF(AND(Table15[[#This Row],[CSAT Score]]&lt;=3,Table15[[#This Row],[Revenue]]&gt;=20000),"High-Risk","Stable")</f>
        <v>Stable</v>
      </c>
      <c r="R610" s="8" t="str" cm="1">
        <f t="array" ref="R610">_xlfn.IFS(Table15[[#This Row],[Revenue]]&gt;=35000,"Platinum",Table15[[#This Row],[Revenue]]&gt;=15000,"Gold",TRUE,"Standard")</f>
        <v>Gold</v>
      </c>
      <c r="S610" s="8" t="str">
        <f>IF(OR(Table15[[#This Row],[Product]]="Wealth Management",Table15[[#This Row],[Revenue]]&gt;=40000),"Yes","No")</f>
        <v>Yes</v>
      </c>
    </row>
    <row r="611" spans="1:19" x14ac:dyDescent="0.3">
      <c r="A611" s="5" t="s">
        <v>669</v>
      </c>
      <c r="B611" s="6">
        <v>46013</v>
      </c>
      <c r="C611" s="7" t="s">
        <v>44</v>
      </c>
      <c r="D611" s="7" t="s">
        <v>63</v>
      </c>
      <c r="E611" s="7" t="s">
        <v>21</v>
      </c>
      <c r="F611" s="7" t="s">
        <v>69</v>
      </c>
      <c r="G611" s="7" t="s">
        <v>23</v>
      </c>
      <c r="H611" s="7" t="s">
        <v>57</v>
      </c>
      <c r="I611" s="7">
        <v>32</v>
      </c>
      <c r="J611" s="7">
        <v>29</v>
      </c>
      <c r="K611" s="20">
        <v>5575.2</v>
      </c>
      <c r="L611" s="20">
        <v>284.06</v>
      </c>
      <c r="M611" s="7">
        <v>182.89</v>
      </c>
      <c r="N611" s="20">
        <f>Table15[[#This Row],[Processing Fee]]-Table15[[#This Row],[Discount Applied]]</f>
        <v>101.17000000000002</v>
      </c>
      <c r="O611" s="7" t="str">
        <f>IF(Table15[[#This Row],[Revenue]]&gt;35000,"Achieved","Not Achieved")</f>
        <v>Not Achieved</v>
      </c>
      <c r="P611" s="8">
        <v>3</v>
      </c>
      <c r="Q611" s="7" t="str">
        <f>IF(AND(Table15[[#This Row],[CSAT Score]]&lt;=3,Table15[[#This Row],[Revenue]]&gt;=20000),"High-Risk","Stable")</f>
        <v>Stable</v>
      </c>
      <c r="R611" s="8" t="str" cm="1">
        <f t="array" ref="R611">_xlfn.IFS(Table15[[#This Row],[Revenue]]&gt;=35000,"Platinum",Table15[[#This Row],[Revenue]]&gt;=15000,"Gold",TRUE,"Standard")</f>
        <v>Standard</v>
      </c>
      <c r="S611" s="8" t="str">
        <f>IF(OR(Table15[[#This Row],[Product]]="Wealth Management",Table15[[#This Row],[Revenue]]&gt;=40000),"Yes","No")</f>
        <v>No</v>
      </c>
    </row>
    <row r="612" spans="1:19" x14ac:dyDescent="0.3">
      <c r="A612" s="5" t="s">
        <v>670</v>
      </c>
      <c r="B612" s="6">
        <v>46197</v>
      </c>
      <c r="C612" s="7" t="s">
        <v>33</v>
      </c>
      <c r="D612" s="7" t="s">
        <v>79</v>
      </c>
      <c r="E612" s="7" t="s">
        <v>39</v>
      </c>
      <c r="F612" s="7" t="s">
        <v>69</v>
      </c>
      <c r="G612" s="7" t="s">
        <v>23</v>
      </c>
      <c r="H612" s="7" t="s">
        <v>24</v>
      </c>
      <c r="I612" s="7">
        <v>63</v>
      </c>
      <c r="J612" s="7">
        <v>115</v>
      </c>
      <c r="K612" s="20">
        <v>1089.94</v>
      </c>
      <c r="L612" s="20">
        <v>263.62</v>
      </c>
      <c r="M612" s="7">
        <v>168.13</v>
      </c>
      <c r="N612" s="20">
        <f>Table15[[#This Row],[Processing Fee]]-Table15[[#This Row],[Discount Applied]]</f>
        <v>95.490000000000009</v>
      </c>
      <c r="O612" s="7" t="str">
        <f>IF(Table15[[#This Row],[Revenue]]&gt;35000,"Achieved","Not Achieved")</f>
        <v>Not Achieved</v>
      </c>
      <c r="P612" s="8">
        <v>5</v>
      </c>
      <c r="Q612" s="7" t="str">
        <f>IF(AND(Table15[[#This Row],[CSAT Score]]&lt;=3,Table15[[#This Row],[Revenue]]&gt;=20000),"High-Risk","Stable")</f>
        <v>Stable</v>
      </c>
      <c r="R612" s="8" t="str" cm="1">
        <f t="array" ref="R612">_xlfn.IFS(Table15[[#This Row],[Revenue]]&gt;=35000,"Platinum",Table15[[#This Row],[Revenue]]&gt;=15000,"Gold",TRUE,"Standard")</f>
        <v>Standard</v>
      </c>
      <c r="S612" s="8" t="str">
        <f>IF(OR(Table15[[#This Row],[Product]]="Wealth Management",Table15[[#This Row],[Revenue]]&gt;=40000),"Yes","No")</f>
        <v>No</v>
      </c>
    </row>
    <row r="613" spans="1:19" x14ac:dyDescent="0.3">
      <c r="A613" s="5" t="s">
        <v>671</v>
      </c>
      <c r="B613" s="6">
        <v>46196</v>
      </c>
      <c r="C613" s="7" t="s">
        <v>55</v>
      </c>
      <c r="D613" s="7" t="s">
        <v>27</v>
      </c>
      <c r="E613" s="7" t="s">
        <v>28</v>
      </c>
      <c r="F613" s="7" t="s">
        <v>40</v>
      </c>
      <c r="G613" s="7" t="s">
        <v>65</v>
      </c>
      <c r="H613" s="7" t="s">
        <v>24</v>
      </c>
      <c r="I613" s="7">
        <v>71</v>
      </c>
      <c r="J613" s="7">
        <v>41</v>
      </c>
      <c r="K613" s="20">
        <v>7414.77</v>
      </c>
      <c r="L613" s="20">
        <v>166.28</v>
      </c>
      <c r="M613" s="7">
        <v>169.53</v>
      </c>
      <c r="N613" s="20">
        <f>Table15[[#This Row],[Processing Fee]]-Table15[[#This Row],[Discount Applied]]</f>
        <v>-3.25</v>
      </c>
      <c r="O613" s="7" t="str">
        <f>IF(Table15[[#This Row],[Revenue]]&gt;35000,"Achieved","Not Achieved")</f>
        <v>Not Achieved</v>
      </c>
      <c r="P613" s="8">
        <v>1</v>
      </c>
      <c r="Q613" s="7" t="str">
        <f>IF(AND(Table15[[#This Row],[CSAT Score]]&lt;=3,Table15[[#This Row],[Revenue]]&gt;=20000),"High-Risk","Stable")</f>
        <v>Stable</v>
      </c>
      <c r="R613" s="8" t="str" cm="1">
        <f t="array" ref="R613">_xlfn.IFS(Table15[[#This Row],[Revenue]]&gt;=35000,"Platinum",Table15[[#This Row],[Revenue]]&gt;=15000,"Gold",TRUE,"Standard")</f>
        <v>Standard</v>
      </c>
      <c r="S613" s="8" t="str">
        <f>IF(OR(Table15[[#This Row],[Product]]="Wealth Management",Table15[[#This Row],[Revenue]]&gt;=40000),"Yes","No")</f>
        <v>No</v>
      </c>
    </row>
    <row r="614" spans="1:19" x14ac:dyDescent="0.3">
      <c r="A614" s="5" t="s">
        <v>672</v>
      </c>
      <c r="B614" s="6">
        <v>46103</v>
      </c>
      <c r="C614" s="7" t="s">
        <v>26</v>
      </c>
      <c r="D614" s="7" t="s">
        <v>45</v>
      </c>
      <c r="E614" s="7" t="s">
        <v>28</v>
      </c>
      <c r="F614" s="7" t="s">
        <v>35</v>
      </c>
      <c r="G614" s="7" t="s">
        <v>56</v>
      </c>
      <c r="H614" s="7" t="s">
        <v>24</v>
      </c>
      <c r="I614" s="7">
        <v>73</v>
      </c>
      <c r="J614" s="7">
        <v>42</v>
      </c>
      <c r="K614" s="20">
        <v>35928.93</v>
      </c>
      <c r="L614" s="20">
        <v>418.37</v>
      </c>
      <c r="M614" s="7">
        <v>154.31</v>
      </c>
      <c r="N614" s="20">
        <f>Table15[[#This Row],[Processing Fee]]-Table15[[#This Row],[Discount Applied]]</f>
        <v>264.06</v>
      </c>
      <c r="O614" s="7" t="str">
        <f>IF(Table15[[#This Row],[Revenue]]&gt;35000,"Achieved","Not Achieved")</f>
        <v>Achieved</v>
      </c>
      <c r="P614" s="8">
        <v>2</v>
      </c>
      <c r="Q614" s="7" t="str">
        <f>IF(AND(Table15[[#This Row],[CSAT Score]]&lt;=3,Table15[[#This Row],[Revenue]]&gt;=20000),"High-Risk","Stable")</f>
        <v>High-Risk</v>
      </c>
      <c r="R614" s="8" t="str" cm="1">
        <f t="array" ref="R614">_xlfn.IFS(Table15[[#This Row],[Revenue]]&gt;=35000,"Platinum",Table15[[#This Row],[Revenue]]&gt;=15000,"Gold",TRUE,"Standard")</f>
        <v>Platinum</v>
      </c>
      <c r="S614" s="8" t="str">
        <f>IF(OR(Table15[[#This Row],[Product]]="Wealth Management",Table15[[#This Row],[Revenue]]&gt;=40000),"Yes","No")</f>
        <v>No</v>
      </c>
    </row>
    <row r="615" spans="1:19" x14ac:dyDescent="0.3">
      <c r="A615" s="5" t="s">
        <v>673</v>
      </c>
      <c r="B615" s="6">
        <v>46221</v>
      </c>
      <c r="C615" s="7" t="s">
        <v>55</v>
      </c>
      <c r="D615" s="7" t="s">
        <v>27</v>
      </c>
      <c r="E615" s="7" t="s">
        <v>46</v>
      </c>
      <c r="F615" s="7" t="s">
        <v>35</v>
      </c>
      <c r="G615" s="7" t="s">
        <v>65</v>
      </c>
      <c r="H615" s="7" t="s">
        <v>31</v>
      </c>
      <c r="I615" s="7">
        <v>57</v>
      </c>
      <c r="J615" s="7">
        <v>98</v>
      </c>
      <c r="K615" s="20">
        <v>48653.29</v>
      </c>
      <c r="L615" s="20">
        <v>454.82</v>
      </c>
      <c r="M615" s="7">
        <v>264.27</v>
      </c>
      <c r="N615" s="20">
        <f>Table15[[#This Row],[Processing Fee]]-Table15[[#This Row],[Discount Applied]]</f>
        <v>190.55</v>
      </c>
      <c r="O615" s="7" t="str">
        <f>IF(Table15[[#This Row],[Revenue]]&gt;35000,"Achieved","Not Achieved")</f>
        <v>Achieved</v>
      </c>
      <c r="P615" s="8">
        <v>3</v>
      </c>
      <c r="Q615" s="7" t="str">
        <f>IF(AND(Table15[[#This Row],[CSAT Score]]&lt;=3,Table15[[#This Row],[Revenue]]&gt;=20000),"High-Risk","Stable")</f>
        <v>High-Risk</v>
      </c>
      <c r="R615" s="8" t="str" cm="1">
        <f t="array" ref="R615">_xlfn.IFS(Table15[[#This Row],[Revenue]]&gt;=35000,"Platinum",Table15[[#This Row],[Revenue]]&gt;=15000,"Gold",TRUE,"Standard")</f>
        <v>Platinum</v>
      </c>
      <c r="S615" s="8" t="str">
        <f>IF(OR(Table15[[#This Row],[Product]]="Wealth Management",Table15[[#This Row],[Revenue]]&gt;=40000),"Yes","No")</f>
        <v>Yes</v>
      </c>
    </row>
    <row r="616" spans="1:19" x14ac:dyDescent="0.3">
      <c r="A616" s="5" t="s">
        <v>674</v>
      </c>
      <c r="B616" s="6">
        <v>46167</v>
      </c>
      <c r="C616" s="7" t="s">
        <v>75</v>
      </c>
      <c r="D616" s="7" t="s">
        <v>38</v>
      </c>
      <c r="E616" s="7" t="s">
        <v>39</v>
      </c>
      <c r="F616" s="7" t="s">
        <v>69</v>
      </c>
      <c r="G616" s="7" t="s">
        <v>56</v>
      </c>
      <c r="H616" s="7" t="s">
        <v>53</v>
      </c>
      <c r="I616" s="7">
        <v>66</v>
      </c>
      <c r="J616" s="7">
        <v>65</v>
      </c>
      <c r="K616" s="20">
        <v>49161.7</v>
      </c>
      <c r="L616" s="20">
        <v>401.87</v>
      </c>
      <c r="M616" s="7">
        <v>161.15</v>
      </c>
      <c r="N616" s="20">
        <f>Table15[[#This Row],[Processing Fee]]-Table15[[#This Row],[Discount Applied]]</f>
        <v>240.72</v>
      </c>
      <c r="O616" s="7" t="str">
        <f>IF(Table15[[#This Row],[Revenue]]&gt;35000,"Achieved","Not Achieved")</f>
        <v>Achieved</v>
      </c>
      <c r="P616" s="8">
        <v>5</v>
      </c>
      <c r="Q616" s="7" t="str">
        <f>IF(AND(Table15[[#This Row],[CSAT Score]]&lt;=3,Table15[[#This Row],[Revenue]]&gt;=20000),"High-Risk","Stable")</f>
        <v>Stable</v>
      </c>
      <c r="R616" s="8" t="str" cm="1">
        <f t="array" ref="R616">_xlfn.IFS(Table15[[#This Row],[Revenue]]&gt;=35000,"Platinum",Table15[[#This Row],[Revenue]]&gt;=15000,"Gold",TRUE,"Standard")</f>
        <v>Platinum</v>
      </c>
      <c r="S616" s="8" t="str">
        <f>IF(OR(Table15[[#This Row],[Product]]="Wealth Management",Table15[[#This Row],[Revenue]]&gt;=40000),"Yes","No")</f>
        <v>Yes</v>
      </c>
    </row>
    <row r="617" spans="1:19" x14ac:dyDescent="0.3">
      <c r="A617" s="5" t="s">
        <v>675</v>
      </c>
      <c r="B617" s="6">
        <v>46193</v>
      </c>
      <c r="C617" s="7" t="s">
        <v>42</v>
      </c>
      <c r="D617" s="7" t="s">
        <v>45</v>
      </c>
      <c r="E617" s="7" t="s">
        <v>39</v>
      </c>
      <c r="F617" s="7" t="s">
        <v>29</v>
      </c>
      <c r="G617" s="7" t="s">
        <v>30</v>
      </c>
      <c r="H617" s="7" t="s">
        <v>31</v>
      </c>
      <c r="I617" s="7">
        <v>73</v>
      </c>
      <c r="J617" s="7">
        <v>31</v>
      </c>
      <c r="K617" s="20">
        <v>24951.97</v>
      </c>
      <c r="L617" s="20">
        <v>137.91</v>
      </c>
      <c r="M617" s="7">
        <v>180.75</v>
      </c>
      <c r="N617" s="20">
        <f>Table15[[#This Row],[Processing Fee]]-Table15[[#This Row],[Discount Applied]]</f>
        <v>-42.84</v>
      </c>
      <c r="O617" s="7" t="str">
        <f>IF(Table15[[#This Row],[Revenue]]&gt;35000,"Achieved","Not Achieved")</f>
        <v>Not Achieved</v>
      </c>
      <c r="P617" s="8">
        <v>5</v>
      </c>
      <c r="Q617" s="7" t="str">
        <f>IF(AND(Table15[[#This Row],[CSAT Score]]&lt;=3,Table15[[#This Row],[Revenue]]&gt;=20000),"High-Risk","Stable")</f>
        <v>Stable</v>
      </c>
      <c r="R617" s="8" t="str" cm="1">
        <f t="array" ref="R617">_xlfn.IFS(Table15[[#This Row],[Revenue]]&gt;=35000,"Platinum",Table15[[#This Row],[Revenue]]&gt;=15000,"Gold",TRUE,"Standard")</f>
        <v>Gold</v>
      </c>
      <c r="S617" s="8" t="str">
        <f>IF(OR(Table15[[#This Row],[Product]]="Wealth Management",Table15[[#This Row],[Revenue]]&gt;=40000),"Yes","No")</f>
        <v>No</v>
      </c>
    </row>
    <row r="618" spans="1:19" x14ac:dyDescent="0.3">
      <c r="A618" s="5" t="s">
        <v>676</v>
      </c>
      <c r="B618" s="6">
        <v>45976</v>
      </c>
      <c r="C618" s="7" t="s">
        <v>91</v>
      </c>
      <c r="D618" s="7" t="s">
        <v>38</v>
      </c>
      <c r="E618" s="7" t="s">
        <v>28</v>
      </c>
      <c r="F618" s="7" t="s">
        <v>22</v>
      </c>
      <c r="G618" s="7" t="s">
        <v>36</v>
      </c>
      <c r="H618" s="7" t="s">
        <v>57</v>
      </c>
      <c r="I618" s="7">
        <v>44</v>
      </c>
      <c r="J618" s="7">
        <v>30</v>
      </c>
      <c r="K618" s="20">
        <v>43532.94</v>
      </c>
      <c r="L618" s="20">
        <v>89.04</v>
      </c>
      <c r="M618" s="7">
        <v>59.16</v>
      </c>
      <c r="N618" s="20">
        <f>Table15[[#This Row],[Processing Fee]]-Table15[[#This Row],[Discount Applied]]</f>
        <v>29.88000000000001</v>
      </c>
      <c r="O618" s="7" t="str">
        <f>IF(Table15[[#This Row],[Revenue]]&gt;35000,"Achieved","Not Achieved")</f>
        <v>Achieved</v>
      </c>
      <c r="P618" s="8">
        <v>3</v>
      </c>
      <c r="Q618" s="7" t="str">
        <f>IF(AND(Table15[[#This Row],[CSAT Score]]&lt;=3,Table15[[#This Row],[Revenue]]&gt;=20000),"High-Risk","Stable")</f>
        <v>High-Risk</v>
      </c>
      <c r="R618" s="8" t="str" cm="1">
        <f t="array" ref="R618">_xlfn.IFS(Table15[[#This Row],[Revenue]]&gt;=35000,"Platinum",Table15[[#This Row],[Revenue]]&gt;=15000,"Gold",TRUE,"Standard")</f>
        <v>Platinum</v>
      </c>
      <c r="S618" s="8" t="str">
        <f>IF(OR(Table15[[#This Row],[Product]]="Wealth Management",Table15[[#This Row],[Revenue]]&gt;=40000),"Yes","No")</f>
        <v>Yes</v>
      </c>
    </row>
    <row r="619" spans="1:19" x14ac:dyDescent="0.3">
      <c r="A619" s="5" t="s">
        <v>677</v>
      </c>
      <c r="B619" s="6">
        <v>46091</v>
      </c>
      <c r="C619" s="7" t="s">
        <v>44</v>
      </c>
      <c r="D619" s="7" t="s">
        <v>77</v>
      </c>
      <c r="E619" s="7" t="s">
        <v>59</v>
      </c>
      <c r="F619" s="7" t="s">
        <v>22</v>
      </c>
      <c r="G619" s="7" t="s">
        <v>56</v>
      </c>
      <c r="H619" s="7" t="s">
        <v>57</v>
      </c>
      <c r="I619" s="7">
        <v>36</v>
      </c>
      <c r="J619" s="7">
        <v>112</v>
      </c>
      <c r="K619" s="20">
        <v>36972.910000000003</v>
      </c>
      <c r="L619" s="20">
        <v>322.45</v>
      </c>
      <c r="M619" s="7">
        <v>177.64</v>
      </c>
      <c r="N619" s="20">
        <f>Table15[[#This Row],[Processing Fee]]-Table15[[#This Row],[Discount Applied]]</f>
        <v>144.81</v>
      </c>
      <c r="O619" s="7" t="str">
        <f>IF(Table15[[#This Row],[Revenue]]&gt;35000,"Achieved","Not Achieved")</f>
        <v>Achieved</v>
      </c>
      <c r="P619" s="8">
        <v>2</v>
      </c>
      <c r="Q619" s="7" t="str">
        <f>IF(AND(Table15[[#This Row],[CSAT Score]]&lt;=3,Table15[[#This Row],[Revenue]]&gt;=20000),"High-Risk","Stable")</f>
        <v>High-Risk</v>
      </c>
      <c r="R619" s="8" t="str" cm="1">
        <f t="array" ref="R619">_xlfn.IFS(Table15[[#This Row],[Revenue]]&gt;=35000,"Platinum",Table15[[#This Row],[Revenue]]&gt;=15000,"Gold",TRUE,"Standard")</f>
        <v>Platinum</v>
      </c>
      <c r="S619" s="8" t="str">
        <f>IF(OR(Table15[[#This Row],[Product]]="Wealth Management",Table15[[#This Row],[Revenue]]&gt;=40000),"Yes","No")</f>
        <v>Yes</v>
      </c>
    </row>
    <row r="620" spans="1:19" x14ac:dyDescent="0.3">
      <c r="A620" s="5" t="s">
        <v>678</v>
      </c>
      <c r="B620" s="6">
        <v>46130</v>
      </c>
      <c r="C620" s="7" t="s">
        <v>19</v>
      </c>
      <c r="D620" s="7" t="s">
        <v>48</v>
      </c>
      <c r="E620" s="7" t="s">
        <v>46</v>
      </c>
      <c r="F620" s="7" t="s">
        <v>69</v>
      </c>
      <c r="G620" s="7" t="s">
        <v>23</v>
      </c>
      <c r="H620" s="7" t="s">
        <v>57</v>
      </c>
      <c r="I620" s="7">
        <v>33</v>
      </c>
      <c r="J620" s="7">
        <v>18</v>
      </c>
      <c r="K620" s="20">
        <v>25301.49</v>
      </c>
      <c r="L620" s="20">
        <v>75.69</v>
      </c>
      <c r="M620" s="7">
        <v>168.12</v>
      </c>
      <c r="N620" s="20">
        <f>Table15[[#This Row],[Processing Fee]]-Table15[[#This Row],[Discount Applied]]</f>
        <v>-92.43</v>
      </c>
      <c r="O620" s="7" t="str">
        <f>IF(Table15[[#This Row],[Revenue]]&gt;35000,"Achieved","Not Achieved")</f>
        <v>Not Achieved</v>
      </c>
      <c r="P620" s="8">
        <v>4</v>
      </c>
      <c r="Q620" s="7" t="str">
        <f>IF(AND(Table15[[#This Row],[CSAT Score]]&lt;=3,Table15[[#This Row],[Revenue]]&gt;=20000),"High-Risk","Stable")</f>
        <v>Stable</v>
      </c>
      <c r="R620" s="8" t="str" cm="1">
        <f t="array" ref="R620">_xlfn.IFS(Table15[[#This Row],[Revenue]]&gt;=35000,"Platinum",Table15[[#This Row],[Revenue]]&gt;=15000,"Gold",TRUE,"Standard")</f>
        <v>Gold</v>
      </c>
      <c r="S620" s="8" t="str">
        <f>IF(OR(Table15[[#This Row],[Product]]="Wealth Management",Table15[[#This Row],[Revenue]]&gt;=40000),"Yes","No")</f>
        <v>No</v>
      </c>
    </row>
    <row r="621" spans="1:19" x14ac:dyDescent="0.3">
      <c r="A621" s="5" t="s">
        <v>679</v>
      </c>
      <c r="B621" s="6">
        <v>46225</v>
      </c>
      <c r="C621" s="7" t="s">
        <v>42</v>
      </c>
      <c r="D621" s="7" t="s">
        <v>38</v>
      </c>
      <c r="E621" s="7" t="s">
        <v>39</v>
      </c>
      <c r="F621" s="7" t="s">
        <v>29</v>
      </c>
      <c r="G621" s="7" t="s">
        <v>65</v>
      </c>
      <c r="H621" s="7" t="s">
        <v>57</v>
      </c>
      <c r="I621" s="7">
        <v>45</v>
      </c>
      <c r="J621" s="7">
        <v>119</v>
      </c>
      <c r="K621" s="20">
        <v>28851.65</v>
      </c>
      <c r="L621" s="20">
        <v>352.77</v>
      </c>
      <c r="M621" s="7">
        <v>94.58</v>
      </c>
      <c r="N621" s="20">
        <f>Table15[[#This Row],[Processing Fee]]-Table15[[#This Row],[Discount Applied]]</f>
        <v>258.19</v>
      </c>
      <c r="O621" s="7" t="str">
        <f>IF(Table15[[#This Row],[Revenue]]&gt;35000,"Achieved","Not Achieved")</f>
        <v>Not Achieved</v>
      </c>
      <c r="P621" s="8">
        <v>1</v>
      </c>
      <c r="Q621" s="7" t="str">
        <f>IF(AND(Table15[[#This Row],[CSAT Score]]&lt;=3,Table15[[#This Row],[Revenue]]&gt;=20000),"High-Risk","Stable")</f>
        <v>High-Risk</v>
      </c>
      <c r="R621" s="8" t="str" cm="1">
        <f t="array" ref="R621">_xlfn.IFS(Table15[[#This Row],[Revenue]]&gt;=35000,"Platinum",Table15[[#This Row],[Revenue]]&gt;=15000,"Gold",TRUE,"Standard")</f>
        <v>Gold</v>
      </c>
      <c r="S621" s="8" t="str">
        <f>IF(OR(Table15[[#This Row],[Product]]="Wealth Management",Table15[[#This Row],[Revenue]]&gt;=40000),"Yes","No")</f>
        <v>No</v>
      </c>
    </row>
    <row r="622" spans="1:19" x14ac:dyDescent="0.3">
      <c r="A622" s="5" t="s">
        <v>680</v>
      </c>
      <c r="B622" s="6">
        <v>46151</v>
      </c>
      <c r="C622" s="7" t="s">
        <v>26</v>
      </c>
      <c r="D622" s="7" t="s">
        <v>45</v>
      </c>
      <c r="E622" s="7" t="s">
        <v>28</v>
      </c>
      <c r="F622" s="7" t="s">
        <v>40</v>
      </c>
      <c r="G622" s="7" t="s">
        <v>30</v>
      </c>
      <c r="H622" s="7" t="s">
        <v>24</v>
      </c>
      <c r="I622" s="7">
        <v>74</v>
      </c>
      <c r="J622" s="7">
        <v>17</v>
      </c>
      <c r="K622" s="20">
        <v>7292.74</v>
      </c>
      <c r="L622" s="20">
        <v>288.69</v>
      </c>
      <c r="M622" s="7">
        <v>7.82</v>
      </c>
      <c r="N622" s="20">
        <f>Table15[[#This Row],[Processing Fee]]-Table15[[#This Row],[Discount Applied]]</f>
        <v>280.87</v>
      </c>
      <c r="O622" s="7" t="str">
        <f>IF(Table15[[#This Row],[Revenue]]&gt;35000,"Achieved","Not Achieved")</f>
        <v>Not Achieved</v>
      </c>
      <c r="P622" s="8">
        <v>5</v>
      </c>
      <c r="Q622" s="7" t="str">
        <f>IF(AND(Table15[[#This Row],[CSAT Score]]&lt;=3,Table15[[#This Row],[Revenue]]&gt;=20000),"High-Risk","Stable")</f>
        <v>Stable</v>
      </c>
      <c r="R622" s="8" t="str" cm="1">
        <f t="array" ref="R622">_xlfn.IFS(Table15[[#This Row],[Revenue]]&gt;=35000,"Platinum",Table15[[#This Row],[Revenue]]&gt;=15000,"Gold",TRUE,"Standard")</f>
        <v>Standard</v>
      </c>
      <c r="S622" s="8" t="str">
        <f>IF(OR(Table15[[#This Row],[Product]]="Wealth Management",Table15[[#This Row],[Revenue]]&gt;=40000),"Yes","No")</f>
        <v>No</v>
      </c>
    </row>
    <row r="623" spans="1:19" x14ac:dyDescent="0.3">
      <c r="A623" s="5" t="s">
        <v>681</v>
      </c>
      <c r="B623" s="6">
        <v>46013</v>
      </c>
      <c r="C623" s="7" t="s">
        <v>55</v>
      </c>
      <c r="D623" s="7" t="s">
        <v>77</v>
      </c>
      <c r="E623" s="7" t="s">
        <v>39</v>
      </c>
      <c r="F623" s="7" t="s">
        <v>69</v>
      </c>
      <c r="G623" s="7" t="s">
        <v>23</v>
      </c>
      <c r="H623" s="7" t="s">
        <v>24</v>
      </c>
      <c r="I623" s="7">
        <v>74</v>
      </c>
      <c r="J623" s="7">
        <v>38</v>
      </c>
      <c r="K623" s="20">
        <v>46914.239999999998</v>
      </c>
      <c r="L623" s="20">
        <v>348.25</v>
      </c>
      <c r="M623" s="7">
        <v>127.71</v>
      </c>
      <c r="N623" s="20">
        <f>Table15[[#This Row],[Processing Fee]]-Table15[[#This Row],[Discount Applied]]</f>
        <v>220.54000000000002</v>
      </c>
      <c r="O623" s="7" t="str">
        <f>IF(Table15[[#This Row],[Revenue]]&gt;35000,"Achieved","Not Achieved")</f>
        <v>Achieved</v>
      </c>
      <c r="P623" s="8">
        <v>2</v>
      </c>
      <c r="Q623" s="7" t="str">
        <f>IF(AND(Table15[[#This Row],[CSAT Score]]&lt;=3,Table15[[#This Row],[Revenue]]&gt;=20000),"High-Risk","Stable")</f>
        <v>High-Risk</v>
      </c>
      <c r="R623" s="8" t="str" cm="1">
        <f t="array" ref="R623">_xlfn.IFS(Table15[[#This Row],[Revenue]]&gt;=35000,"Platinum",Table15[[#This Row],[Revenue]]&gt;=15000,"Gold",TRUE,"Standard")</f>
        <v>Platinum</v>
      </c>
      <c r="S623" s="8" t="str">
        <f>IF(OR(Table15[[#This Row],[Product]]="Wealth Management",Table15[[#This Row],[Revenue]]&gt;=40000),"Yes","No")</f>
        <v>Yes</v>
      </c>
    </row>
    <row r="624" spans="1:19" x14ac:dyDescent="0.3">
      <c r="A624" s="5" t="s">
        <v>682</v>
      </c>
      <c r="B624" s="6">
        <v>46109</v>
      </c>
      <c r="C624" s="7" t="s">
        <v>19</v>
      </c>
      <c r="D624" s="7" t="s">
        <v>38</v>
      </c>
      <c r="E624" s="7" t="s">
        <v>46</v>
      </c>
      <c r="F624" s="7" t="s">
        <v>69</v>
      </c>
      <c r="G624" s="7" t="s">
        <v>30</v>
      </c>
      <c r="H624" s="7" t="s">
        <v>31</v>
      </c>
      <c r="I624" s="7">
        <v>72</v>
      </c>
      <c r="J624" s="7">
        <v>14</v>
      </c>
      <c r="K624" s="20">
        <v>17920.52</v>
      </c>
      <c r="L624" s="20">
        <v>315.58</v>
      </c>
      <c r="M624" s="7">
        <v>15.18</v>
      </c>
      <c r="N624" s="20">
        <f>Table15[[#This Row],[Processing Fee]]-Table15[[#This Row],[Discount Applied]]</f>
        <v>300.39999999999998</v>
      </c>
      <c r="O624" s="7" t="str">
        <f>IF(Table15[[#This Row],[Revenue]]&gt;35000,"Achieved","Not Achieved")</f>
        <v>Not Achieved</v>
      </c>
      <c r="P624" s="8">
        <v>1</v>
      </c>
      <c r="Q624" s="7" t="str">
        <f>IF(AND(Table15[[#This Row],[CSAT Score]]&lt;=3,Table15[[#This Row],[Revenue]]&gt;=20000),"High-Risk","Stable")</f>
        <v>Stable</v>
      </c>
      <c r="R624" s="8" t="str" cm="1">
        <f t="array" ref="R624">_xlfn.IFS(Table15[[#This Row],[Revenue]]&gt;=35000,"Platinum",Table15[[#This Row],[Revenue]]&gt;=15000,"Gold",TRUE,"Standard")</f>
        <v>Gold</v>
      </c>
      <c r="S624" s="8" t="str">
        <f>IF(OR(Table15[[#This Row],[Product]]="Wealth Management",Table15[[#This Row],[Revenue]]&gt;=40000),"Yes","No")</f>
        <v>No</v>
      </c>
    </row>
    <row r="625" spans="1:19" x14ac:dyDescent="0.3">
      <c r="A625" s="5" t="s">
        <v>683</v>
      </c>
      <c r="B625" s="6">
        <v>46113</v>
      </c>
      <c r="C625" s="7" t="s">
        <v>55</v>
      </c>
      <c r="D625" s="7" t="s">
        <v>63</v>
      </c>
      <c r="E625" s="7" t="s">
        <v>46</v>
      </c>
      <c r="F625" s="7" t="s">
        <v>22</v>
      </c>
      <c r="G625" s="7" t="s">
        <v>36</v>
      </c>
      <c r="H625" s="7" t="s">
        <v>53</v>
      </c>
      <c r="I625" s="7">
        <v>74</v>
      </c>
      <c r="J625" s="7">
        <v>87</v>
      </c>
      <c r="K625" s="20">
        <v>22584.39</v>
      </c>
      <c r="L625" s="20">
        <v>240.22</v>
      </c>
      <c r="M625" s="7">
        <v>185.26</v>
      </c>
      <c r="N625" s="20">
        <f>Table15[[#This Row],[Processing Fee]]-Table15[[#This Row],[Discount Applied]]</f>
        <v>54.960000000000008</v>
      </c>
      <c r="O625" s="7" t="str">
        <f>IF(Table15[[#This Row],[Revenue]]&gt;35000,"Achieved","Not Achieved")</f>
        <v>Not Achieved</v>
      </c>
      <c r="P625" s="8">
        <v>3</v>
      </c>
      <c r="Q625" s="7" t="str">
        <f>IF(AND(Table15[[#This Row],[CSAT Score]]&lt;=3,Table15[[#This Row],[Revenue]]&gt;=20000),"High-Risk","Stable")</f>
        <v>High-Risk</v>
      </c>
      <c r="R625" s="8" t="str" cm="1">
        <f t="array" ref="R625">_xlfn.IFS(Table15[[#This Row],[Revenue]]&gt;=35000,"Platinum",Table15[[#This Row],[Revenue]]&gt;=15000,"Gold",TRUE,"Standard")</f>
        <v>Gold</v>
      </c>
      <c r="S625" s="8" t="str">
        <f>IF(OR(Table15[[#This Row],[Product]]="Wealth Management",Table15[[#This Row],[Revenue]]&gt;=40000),"Yes","No")</f>
        <v>Yes</v>
      </c>
    </row>
    <row r="626" spans="1:19" x14ac:dyDescent="0.3">
      <c r="A626" s="5" t="s">
        <v>684</v>
      </c>
      <c r="B626" s="6">
        <v>45904</v>
      </c>
      <c r="C626" s="7" t="s">
        <v>33</v>
      </c>
      <c r="D626" s="7" t="s">
        <v>27</v>
      </c>
      <c r="E626" s="7" t="s">
        <v>21</v>
      </c>
      <c r="F626" s="7" t="s">
        <v>69</v>
      </c>
      <c r="G626" s="7" t="s">
        <v>65</v>
      </c>
      <c r="H626" s="7" t="s">
        <v>57</v>
      </c>
      <c r="I626" s="7">
        <v>24</v>
      </c>
      <c r="J626" s="7">
        <v>89</v>
      </c>
      <c r="K626" s="20">
        <v>33747.18</v>
      </c>
      <c r="L626" s="20">
        <v>140.38999999999999</v>
      </c>
      <c r="M626" s="7">
        <v>192.33</v>
      </c>
      <c r="N626" s="20">
        <f>Table15[[#This Row],[Processing Fee]]-Table15[[#This Row],[Discount Applied]]</f>
        <v>-51.940000000000026</v>
      </c>
      <c r="O626" s="7" t="str">
        <f>IF(Table15[[#This Row],[Revenue]]&gt;35000,"Achieved","Not Achieved")</f>
        <v>Not Achieved</v>
      </c>
      <c r="P626" s="8">
        <v>5</v>
      </c>
      <c r="Q626" s="7" t="str">
        <f>IF(AND(Table15[[#This Row],[CSAT Score]]&lt;=3,Table15[[#This Row],[Revenue]]&gt;=20000),"High-Risk","Stable")</f>
        <v>Stable</v>
      </c>
      <c r="R626" s="8" t="str" cm="1">
        <f t="array" ref="R626">_xlfn.IFS(Table15[[#This Row],[Revenue]]&gt;=35000,"Platinum",Table15[[#This Row],[Revenue]]&gt;=15000,"Gold",TRUE,"Standard")</f>
        <v>Gold</v>
      </c>
      <c r="S626" s="8" t="str">
        <f>IF(OR(Table15[[#This Row],[Product]]="Wealth Management",Table15[[#This Row],[Revenue]]&gt;=40000),"Yes","No")</f>
        <v>No</v>
      </c>
    </row>
    <row r="627" spans="1:19" x14ac:dyDescent="0.3">
      <c r="A627" s="5" t="s">
        <v>685</v>
      </c>
      <c r="B627" s="6">
        <v>46029</v>
      </c>
      <c r="C627" s="7" t="s">
        <v>55</v>
      </c>
      <c r="D627" s="7" t="s">
        <v>48</v>
      </c>
      <c r="E627" s="7" t="s">
        <v>28</v>
      </c>
      <c r="F627" s="7" t="s">
        <v>69</v>
      </c>
      <c r="G627" s="7" t="s">
        <v>65</v>
      </c>
      <c r="H627" s="7" t="s">
        <v>31</v>
      </c>
      <c r="I627" s="7">
        <v>31</v>
      </c>
      <c r="J627" s="7">
        <v>79</v>
      </c>
      <c r="K627" s="20">
        <v>17028.169999999998</v>
      </c>
      <c r="L627" s="20">
        <v>187.57</v>
      </c>
      <c r="M627" s="7">
        <v>56.85</v>
      </c>
      <c r="N627" s="20">
        <f>Table15[[#This Row],[Processing Fee]]-Table15[[#This Row],[Discount Applied]]</f>
        <v>130.72</v>
      </c>
      <c r="O627" s="7" t="str">
        <f>IF(Table15[[#This Row],[Revenue]]&gt;35000,"Achieved","Not Achieved")</f>
        <v>Not Achieved</v>
      </c>
      <c r="P627" s="8">
        <v>4</v>
      </c>
      <c r="Q627" s="7" t="str">
        <f>IF(AND(Table15[[#This Row],[CSAT Score]]&lt;=3,Table15[[#This Row],[Revenue]]&gt;=20000),"High-Risk","Stable")</f>
        <v>Stable</v>
      </c>
      <c r="R627" s="8" t="str" cm="1">
        <f t="array" ref="R627">_xlfn.IFS(Table15[[#This Row],[Revenue]]&gt;=35000,"Platinum",Table15[[#This Row],[Revenue]]&gt;=15000,"Gold",TRUE,"Standard")</f>
        <v>Gold</v>
      </c>
      <c r="S627" s="8" t="str">
        <f>IF(OR(Table15[[#This Row],[Product]]="Wealth Management",Table15[[#This Row],[Revenue]]&gt;=40000),"Yes","No")</f>
        <v>No</v>
      </c>
    </row>
    <row r="628" spans="1:19" x14ac:dyDescent="0.3">
      <c r="A628" s="5" t="s">
        <v>686</v>
      </c>
      <c r="B628" s="6">
        <v>46186</v>
      </c>
      <c r="C628" s="7" t="s">
        <v>33</v>
      </c>
      <c r="D628" s="7" t="s">
        <v>38</v>
      </c>
      <c r="E628" s="7" t="s">
        <v>46</v>
      </c>
      <c r="F628" s="7" t="s">
        <v>69</v>
      </c>
      <c r="G628" s="7" t="s">
        <v>36</v>
      </c>
      <c r="H628" s="7" t="s">
        <v>24</v>
      </c>
      <c r="I628" s="7">
        <v>52</v>
      </c>
      <c r="J628" s="7">
        <v>110</v>
      </c>
      <c r="K628" s="20">
        <v>13085.83</v>
      </c>
      <c r="L628" s="20">
        <v>286.02999999999997</v>
      </c>
      <c r="M628" s="7">
        <v>135.28</v>
      </c>
      <c r="N628" s="20">
        <f>Table15[[#This Row],[Processing Fee]]-Table15[[#This Row],[Discount Applied]]</f>
        <v>150.74999999999997</v>
      </c>
      <c r="O628" s="7" t="str">
        <f>IF(Table15[[#This Row],[Revenue]]&gt;35000,"Achieved","Not Achieved")</f>
        <v>Not Achieved</v>
      </c>
      <c r="P628" s="8">
        <v>3</v>
      </c>
      <c r="Q628" s="7" t="str">
        <f>IF(AND(Table15[[#This Row],[CSAT Score]]&lt;=3,Table15[[#This Row],[Revenue]]&gt;=20000),"High-Risk","Stable")</f>
        <v>Stable</v>
      </c>
      <c r="R628" s="8" t="str" cm="1">
        <f t="array" ref="R628">_xlfn.IFS(Table15[[#This Row],[Revenue]]&gt;=35000,"Platinum",Table15[[#This Row],[Revenue]]&gt;=15000,"Gold",TRUE,"Standard")</f>
        <v>Standard</v>
      </c>
      <c r="S628" s="8" t="str">
        <f>IF(OR(Table15[[#This Row],[Product]]="Wealth Management",Table15[[#This Row],[Revenue]]&gt;=40000),"Yes","No")</f>
        <v>No</v>
      </c>
    </row>
    <row r="629" spans="1:19" x14ac:dyDescent="0.3">
      <c r="A629" s="5" t="s">
        <v>687</v>
      </c>
      <c r="B629" s="6">
        <v>46185</v>
      </c>
      <c r="C629" s="7" t="s">
        <v>75</v>
      </c>
      <c r="D629" s="7" t="s">
        <v>77</v>
      </c>
      <c r="E629" s="7" t="s">
        <v>21</v>
      </c>
      <c r="F629" s="7" t="s">
        <v>22</v>
      </c>
      <c r="G629" s="7" t="s">
        <v>65</v>
      </c>
      <c r="H629" s="7" t="s">
        <v>24</v>
      </c>
      <c r="I629" s="7">
        <v>69</v>
      </c>
      <c r="J629" s="7">
        <v>56</v>
      </c>
      <c r="K629" s="20">
        <v>31736.94</v>
      </c>
      <c r="L629" s="20">
        <v>343.34</v>
      </c>
      <c r="M629" s="7">
        <v>18.45</v>
      </c>
      <c r="N629" s="20">
        <f>Table15[[#This Row],[Processing Fee]]-Table15[[#This Row],[Discount Applied]]</f>
        <v>324.89</v>
      </c>
      <c r="O629" s="7" t="str">
        <f>IF(Table15[[#This Row],[Revenue]]&gt;35000,"Achieved","Not Achieved")</f>
        <v>Not Achieved</v>
      </c>
      <c r="P629" s="8">
        <v>5</v>
      </c>
      <c r="Q629" s="7" t="str">
        <f>IF(AND(Table15[[#This Row],[CSAT Score]]&lt;=3,Table15[[#This Row],[Revenue]]&gt;=20000),"High-Risk","Stable")</f>
        <v>Stable</v>
      </c>
      <c r="R629" s="8" t="str" cm="1">
        <f t="array" ref="R629">_xlfn.IFS(Table15[[#This Row],[Revenue]]&gt;=35000,"Platinum",Table15[[#This Row],[Revenue]]&gt;=15000,"Gold",TRUE,"Standard")</f>
        <v>Gold</v>
      </c>
      <c r="S629" s="8" t="str">
        <f>IF(OR(Table15[[#This Row],[Product]]="Wealth Management",Table15[[#This Row],[Revenue]]&gt;=40000),"Yes","No")</f>
        <v>Yes</v>
      </c>
    </row>
    <row r="630" spans="1:19" x14ac:dyDescent="0.3">
      <c r="A630" s="5" t="s">
        <v>688</v>
      </c>
      <c r="B630" s="6">
        <v>45984</v>
      </c>
      <c r="C630" s="7" t="s">
        <v>19</v>
      </c>
      <c r="D630" s="7" t="s">
        <v>83</v>
      </c>
      <c r="E630" s="7" t="s">
        <v>21</v>
      </c>
      <c r="F630" s="7" t="s">
        <v>40</v>
      </c>
      <c r="G630" s="7" t="s">
        <v>56</v>
      </c>
      <c r="H630" s="7" t="s">
        <v>53</v>
      </c>
      <c r="I630" s="7">
        <v>27</v>
      </c>
      <c r="J630" s="7">
        <v>22</v>
      </c>
      <c r="K630" s="20">
        <v>1736.71</v>
      </c>
      <c r="L630" s="20">
        <v>400.77</v>
      </c>
      <c r="M630" s="7">
        <v>145.9</v>
      </c>
      <c r="N630" s="20">
        <f>Table15[[#This Row],[Processing Fee]]-Table15[[#This Row],[Discount Applied]]</f>
        <v>254.86999999999998</v>
      </c>
      <c r="O630" s="7" t="str">
        <f>IF(Table15[[#This Row],[Revenue]]&gt;35000,"Achieved","Not Achieved")</f>
        <v>Not Achieved</v>
      </c>
      <c r="P630" s="8">
        <v>2</v>
      </c>
      <c r="Q630" s="7" t="str">
        <f>IF(AND(Table15[[#This Row],[CSAT Score]]&lt;=3,Table15[[#This Row],[Revenue]]&gt;=20000),"High-Risk","Stable")</f>
        <v>Stable</v>
      </c>
      <c r="R630" s="8" t="str" cm="1">
        <f t="array" ref="R630">_xlfn.IFS(Table15[[#This Row],[Revenue]]&gt;=35000,"Platinum",Table15[[#This Row],[Revenue]]&gt;=15000,"Gold",TRUE,"Standard")</f>
        <v>Standard</v>
      </c>
      <c r="S630" s="8" t="str">
        <f>IF(OR(Table15[[#This Row],[Product]]="Wealth Management",Table15[[#This Row],[Revenue]]&gt;=40000),"Yes","No")</f>
        <v>No</v>
      </c>
    </row>
    <row r="631" spans="1:19" x14ac:dyDescent="0.3">
      <c r="A631" s="5" t="s">
        <v>689</v>
      </c>
      <c r="B631" s="6">
        <v>45994</v>
      </c>
      <c r="C631" s="7" t="s">
        <v>19</v>
      </c>
      <c r="D631" s="7" t="s">
        <v>20</v>
      </c>
      <c r="E631" s="7" t="s">
        <v>39</v>
      </c>
      <c r="F631" s="7" t="s">
        <v>40</v>
      </c>
      <c r="G631" s="7" t="s">
        <v>30</v>
      </c>
      <c r="H631" s="7" t="s">
        <v>53</v>
      </c>
      <c r="I631" s="7">
        <v>66</v>
      </c>
      <c r="J631" s="7">
        <v>67</v>
      </c>
      <c r="K631" s="20">
        <v>36175.89</v>
      </c>
      <c r="L631" s="20">
        <v>395.23</v>
      </c>
      <c r="M631" s="7">
        <v>69.459999999999994</v>
      </c>
      <c r="N631" s="20">
        <f>Table15[[#This Row],[Processing Fee]]-Table15[[#This Row],[Discount Applied]]</f>
        <v>325.77000000000004</v>
      </c>
      <c r="O631" s="7" t="str">
        <f>IF(Table15[[#This Row],[Revenue]]&gt;35000,"Achieved","Not Achieved")</f>
        <v>Achieved</v>
      </c>
      <c r="P631" s="8">
        <v>1</v>
      </c>
      <c r="Q631" s="7" t="str">
        <f>IF(AND(Table15[[#This Row],[CSAT Score]]&lt;=3,Table15[[#This Row],[Revenue]]&gt;=20000),"High-Risk","Stable")</f>
        <v>High-Risk</v>
      </c>
      <c r="R631" s="8" t="str" cm="1">
        <f t="array" ref="R631">_xlfn.IFS(Table15[[#This Row],[Revenue]]&gt;=35000,"Platinum",Table15[[#This Row],[Revenue]]&gt;=15000,"Gold",TRUE,"Standard")</f>
        <v>Platinum</v>
      </c>
      <c r="S631" s="8" t="str">
        <f>IF(OR(Table15[[#This Row],[Product]]="Wealth Management",Table15[[#This Row],[Revenue]]&gt;=40000),"Yes","No")</f>
        <v>No</v>
      </c>
    </row>
    <row r="632" spans="1:19" x14ac:dyDescent="0.3">
      <c r="A632" s="5" t="s">
        <v>690</v>
      </c>
      <c r="B632" s="6">
        <v>46082</v>
      </c>
      <c r="C632" s="7" t="s">
        <v>91</v>
      </c>
      <c r="D632" s="7" t="s">
        <v>68</v>
      </c>
      <c r="E632" s="7" t="s">
        <v>39</v>
      </c>
      <c r="F632" s="7" t="s">
        <v>69</v>
      </c>
      <c r="G632" s="7" t="s">
        <v>23</v>
      </c>
      <c r="H632" s="7" t="s">
        <v>53</v>
      </c>
      <c r="I632" s="7">
        <v>31</v>
      </c>
      <c r="J632" s="7">
        <v>56</v>
      </c>
      <c r="K632" s="20">
        <v>25944.16</v>
      </c>
      <c r="L632" s="20">
        <v>487.71</v>
      </c>
      <c r="M632" s="7">
        <v>136.21</v>
      </c>
      <c r="N632" s="20">
        <f>Table15[[#This Row],[Processing Fee]]-Table15[[#This Row],[Discount Applied]]</f>
        <v>351.5</v>
      </c>
      <c r="O632" s="7" t="str">
        <f>IF(Table15[[#This Row],[Revenue]]&gt;35000,"Achieved","Not Achieved")</f>
        <v>Not Achieved</v>
      </c>
      <c r="P632" s="8">
        <v>1</v>
      </c>
      <c r="Q632" s="7" t="str">
        <f>IF(AND(Table15[[#This Row],[CSAT Score]]&lt;=3,Table15[[#This Row],[Revenue]]&gt;=20000),"High-Risk","Stable")</f>
        <v>High-Risk</v>
      </c>
      <c r="R632" s="8" t="str" cm="1">
        <f t="array" ref="R632">_xlfn.IFS(Table15[[#This Row],[Revenue]]&gt;=35000,"Platinum",Table15[[#This Row],[Revenue]]&gt;=15000,"Gold",TRUE,"Standard")</f>
        <v>Gold</v>
      </c>
      <c r="S632" s="8" t="str">
        <f>IF(OR(Table15[[#This Row],[Product]]="Wealth Management",Table15[[#This Row],[Revenue]]&gt;=40000),"Yes","No")</f>
        <v>No</v>
      </c>
    </row>
    <row r="633" spans="1:19" x14ac:dyDescent="0.3">
      <c r="A633" s="5" t="s">
        <v>691</v>
      </c>
      <c r="B633" s="6">
        <v>45919</v>
      </c>
      <c r="C633" s="7" t="s">
        <v>26</v>
      </c>
      <c r="D633" s="7" t="s">
        <v>87</v>
      </c>
      <c r="E633" s="7" t="s">
        <v>21</v>
      </c>
      <c r="F633" s="7" t="s">
        <v>22</v>
      </c>
      <c r="G633" s="7" t="s">
        <v>36</v>
      </c>
      <c r="H633" s="7" t="s">
        <v>31</v>
      </c>
      <c r="I633" s="7">
        <v>48</v>
      </c>
      <c r="J633" s="7">
        <v>119</v>
      </c>
      <c r="K633" s="20">
        <v>30484.81</v>
      </c>
      <c r="L633" s="20">
        <v>178.63</v>
      </c>
      <c r="M633" s="7">
        <v>111.87</v>
      </c>
      <c r="N633" s="20">
        <f>Table15[[#This Row],[Processing Fee]]-Table15[[#This Row],[Discount Applied]]</f>
        <v>66.759999999999991</v>
      </c>
      <c r="O633" s="7" t="str">
        <f>IF(Table15[[#This Row],[Revenue]]&gt;35000,"Achieved","Not Achieved")</f>
        <v>Not Achieved</v>
      </c>
      <c r="P633" s="8">
        <v>5</v>
      </c>
      <c r="Q633" s="7" t="str">
        <f>IF(AND(Table15[[#This Row],[CSAT Score]]&lt;=3,Table15[[#This Row],[Revenue]]&gt;=20000),"High-Risk","Stable")</f>
        <v>Stable</v>
      </c>
      <c r="R633" s="8" t="str" cm="1">
        <f t="array" ref="R633">_xlfn.IFS(Table15[[#This Row],[Revenue]]&gt;=35000,"Platinum",Table15[[#This Row],[Revenue]]&gt;=15000,"Gold",TRUE,"Standard")</f>
        <v>Gold</v>
      </c>
      <c r="S633" s="8" t="str">
        <f>IF(OR(Table15[[#This Row],[Product]]="Wealth Management",Table15[[#This Row],[Revenue]]&gt;=40000),"Yes","No")</f>
        <v>Yes</v>
      </c>
    </row>
    <row r="634" spans="1:19" x14ac:dyDescent="0.3">
      <c r="A634" s="5" t="s">
        <v>692</v>
      </c>
      <c r="B634" s="6">
        <v>46021</v>
      </c>
      <c r="C634" s="7" t="s">
        <v>33</v>
      </c>
      <c r="D634" s="7" t="s">
        <v>68</v>
      </c>
      <c r="E634" s="7" t="s">
        <v>39</v>
      </c>
      <c r="F634" s="7" t="s">
        <v>40</v>
      </c>
      <c r="G634" s="7" t="s">
        <v>56</v>
      </c>
      <c r="H634" s="7" t="s">
        <v>24</v>
      </c>
      <c r="I634" s="7">
        <v>74</v>
      </c>
      <c r="J634" s="7">
        <v>19</v>
      </c>
      <c r="K634" s="20">
        <v>31778.07</v>
      </c>
      <c r="L634" s="20">
        <v>82</v>
      </c>
      <c r="M634" s="7">
        <v>29.11</v>
      </c>
      <c r="N634" s="20">
        <f>Table15[[#This Row],[Processing Fee]]-Table15[[#This Row],[Discount Applied]]</f>
        <v>52.89</v>
      </c>
      <c r="O634" s="7" t="str">
        <f>IF(Table15[[#This Row],[Revenue]]&gt;35000,"Achieved","Not Achieved")</f>
        <v>Not Achieved</v>
      </c>
      <c r="P634" s="8">
        <v>3</v>
      </c>
      <c r="Q634" s="7" t="str">
        <f>IF(AND(Table15[[#This Row],[CSAT Score]]&lt;=3,Table15[[#This Row],[Revenue]]&gt;=20000),"High-Risk","Stable")</f>
        <v>High-Risk</v>
      </c>
      <c r="R634" s="8" t="str" cm="1">
        <f t="array" ref="R634">_xlfn.IFS(Table15[[#This Row],[Revenue]]&gt;=35000,"Platinum",Table15[[#This Row],[Revenue]]&gt;=15000,"Gold",TRUE,"Standard")</f>
        <v>Gold</v>
      </c>
      <c r="S634" s="8" t="str">
        <f>IF(OR(Table15[[#This Row],[Product]]="Wealth Management",Table15[[#This Row],[Revenue]]&gt;=40000),"Yes","No")</f>
        <v>No</v>
      </c>
    </row>
    <row r="635" spans="1:19" x14ac:dyDescent="0.3">
      <c r="A635" s="5" t="s">
        <v>693</v>
      </c>
      <c r="B635" s="6">
        <v>46026</v>
      </c>
      <c r="C635" s="7" t="s">
        <v>91</v>
      </c>
      <c r="D635" s="7" t="s">
        <v>83</v>
      </c>
      <c r="E635" s="7" t="s">
        <v>46</v>
      </c>
      <c r="F635" s="7" t="s">
        <v>40</v>
      </c>
      <c r="G635" s="7" t="s">
        <v>23</v>
      </c>
      <c r="H635" s="7" t="s">
        <v>24</v>
      </c>
      <c r="I635" s="7">
        <v>61</v>
      </c>
      <c r="J635" s="7">
        <v>57</v>
      </c>
      <c r="K635" s="20">
        <v>26588.98</v>
      </c>
      <c r="L635" s="20">
        <v>205.55</v>
      </c>
      <c r="M635" s="7">
        <v>81.22</v>
      </c>
      <c r="N635" s="20">
        <f>Table15[[#This Row],[Processing Fee]]-Table15[[#This Row],[Discount Applied]]</f>
        <v>124.33000000000001</v>
      </c>
      <c r="O635" s="7" t="str">
        <f>IF(Table15[[#This Row],[Revenue]]&gt;35000,"Achieved","Not Achieved")</f>
        <v>Not Achieved</v>
      </c>
      <c r="P635" s="8">
        <v>4</v>
      </c>
      <c r="Q635" s="7" t="str">
        <f>IF(AND(Table15[[#This Row],[CSAT Score]]&lt;=3,Table15[[#This Row],[Revenue]]&gt;=20000),"High-Risk","Stable")</f>
        <v>Stable</v>
      </c>
      <c r="R635" s="8" t="str" cm="1">
        <f t="array" ref="R635">_xlfn.IFS(Table15[[#This Row],[Revenue]]&gt;=35000,"Platinum",Table15[[#This Row],[Revenue]]&gt;=15000,"Gold",TRUE,"Standard")</f>
        <v>Gold</v>
      </c>
      <c r="S635" s="8" t="str">
        <f>IF(OR(Table15[[#This Row],[Product]]="Wealth Management",Table15[[#This Row],[Revenue]]&gt;=40000),"Yes","No")</f>
        <v>No</v>
      </c>
    </row>
    <row r="636" spans="1:19" x14ac:dyDescent="0.3">
      <c r="A636" s="5" t="s">
        <v>694</v>
      </c>
      <c r="B636" s="6">
        <v>46156</v>
      </c>
      <c r="C636" s="7" t="s">
        <v>55</v>
      </c>
      <c r="D636" s="7" t="s">
        <v>68</v>
      </c>
      <c r="E636" s="7" t="s">
        <v>59</v>
      </c>
      <c r="F636" s="7" t="s">
        <v>40</v>
      </c>
      <c r="G636" s="7" t="s">
        <v>23</v>
      </c>
      <c r="H636" s="7" t="s">
        <v>53</v>
      </c>
      <c r="I636" s="7">
        <v>43</v>
      </c>
      <c r="J636" s="7">
        <v>44</v>
      </c>
      <c r="K636" s="20">
        <v>29335.42</v>
      </c>
      <c r="L636" s="20">
        <v>384.48</v>
      </c>
      <c r="M636" s="7">
        <v>22.53</v>
      </c>
      <c r="N636" s="20">
        <f>Table15[[#This Row],[Processing Fee]]-Table15[[#This Row],[Discount Applied]]</f>
        <v>361.95000000000005</v>
      </c>
      <c r="O636" s="7" t="str">
        <f>IF(Table15[[#This Row],[Revenue]]&gt;35000,"Achieved","Not Achieved")</f>
        <v>Not Achieved</v>
      </c>
      <c r="P636" s="8">
        <v>2</v>
      </c>
      <c r="Q636" s="7" t="str">
        <f>IF(AND(Table15[[#This Row],[CSAT Score]]&lt;=3,Table15[[#This Row],[Revenue]]&gt;=20000),"High-Risk","Stable")</f>
        <v>High-Risk</v>
      </c>
      <c r="R636" s="8" t="str" cm="1">
        <f t="array" ref="R636">_xlfn.IFS(Table15[[#This Row],[Revenue]]&gt;=35000,"Platinum",Table15[[#This Row],[Revenue]]&gt;=15000,"Gold",TRUE,"Standard")</f>
        <v>Gold</v>
      </c>
      <c r="S636" s="8" t="str">
        <f>IF(OR(Table15[[#This Row],[Product]]="Wealth Management",Table15[[#This Row],[Revenue]]&gt;=40000),"Yes","No")</f>
        <v>No</v>
      </c>
    </row>
    <row r="637" spans="1:19" x14ac:dyDescent="0.3">
      <c r="A637" s="5" t="s">
        <v>695</v>
      </c>
      <c r="B637" s="6">
        <v>46118</v>
      </c>
      <c r="C637" s="7" t="s">
        <v>55</v>
      </c>
      <c r="D637" s="7" t="s">
        <v>83</v>
      </c>
      <c r="E637" s="7" t="s">
        <v>46</v>
      </c>
      <c r="F637" s="7" t="s">
        <v>22</v>
      </c>
      <c r="G637" s="7" t="s">
        <v>36</v>
      </c>
      <c r="H637" s="7" t="s">
        <v>57</v>
      </c>
      <c r="I637" s="7">
        <v>65</v>
      </c>
      <c r="J637" s="7">
        <v>98</v>
      </c>
      <c r="K637" s="20">
        <v>34347.519999999997</v>
      </c>
      <c r="L637" s="20">
        <v>247.15</v>
      </c>
      <c r="M637" s="7">
        <v>115.38</v>
      </c>
      <c r="N637" s="20">
        <f>Table15[[#This Row],[Processing Fee]]-Table15[[#This Row],[Discount Applied]]</f>
        <v>131.77000000000001</v>
      </c>
      <c r="O637" s="7" t="str">
        <f>IF(Table15[[#This Row],[Revenue]]&gt;35000,"Achieved","Not Achieved")</f>
        <v>Not Achieved</v>
      </c>
      <c r="P637" s="8">
        <v>5</v>
      </c>
      <c r="Q637" s="7" t="str">
        <f>IF(AND(Table15[[#This Row],[CSAT Score]]&lt;=3,Table15[[#This Row],[Revenue]]&gt;=20000),"High-Risk","Stable")</f>
        <v>Stable</v>
      </c>
      <c r="R637" s="8" t="str" cm="1">
        <f t="array" ref="R637">_xlfn.IFS(Table15[[#This Row],[Revenue]]&gt;=35000,"Platinum",Table15[[#This Row],[Revenue]]&gt;=15000,"Gold",TRUE,"Standard")</f>
        <v>Gold</v>
      </c>
      <c r="S637" s="8" t="str">
        <f>IF(OR(Table15[[#This Row],[Product]]="Wealth Management",Table15[[#This Row],[Revenue]]&gt;=40000),"Yes","No")</f>
        <v>Yes</v>
      </c>
    </row>
    <row r="638" spans="1:19" x14ac:dyDescent="0.3">
      <c r="A638" s="5" t="s">
        <v>696</v>
      </c>
      <c r="B638" s="6">
        <v>46136</v>
      </c>
      <c r="C638" s="7" t="s">
        <v>91</v>
      </c>
      <c r="D638" s="7" t="s">
        <v>34</v>
      </c>
      <c r="E638" s="7" t="s">
        <v>21</v>
      </c>
      <c r="F638" s="7" t="s">
        <v>22</v>
      </c>
      <c r="G638" s="7" t="s">
        <v>56</v>
      </c>
      <c r="H638" s="7" t="s">
        <v>53</v>
      </c>
      <c r="I638" s="7">
        <v>43</v>
      </c>
      <c r="J638" s="7">
        <v>35</v>
      </c>
      <c r="K638" s="20">
        <v>37779.379999999997</v>
      </c>
      <c r="L638" s="20">
        <v>418</v>
      </c>
      <c r="M638" s="7">
        <v>8.19</v>
      </c>
      <c r="N638" s="20">
        <f>Table15[[#This Row],[Processing Fee]]-Table15[[#This Row],[Discount Applied]]</f>
        <v>409.81</v>
      </c>
      <c r="O638" s="7" t="str">
        <f>IF(Table15[[#This Row],[Revenue]]&gt;35000,"Achieved","Not Achieved")</f>
        <v>Achieved</v>
      </c>
      <c r="P638" s="8">
        <v>2</v>
      </c>
      <c r="Q638" s="7" t="str">
        <f>IF(AND(Table15[[#This Row],[CSAT Score]]&lt;=3,Table15[[#This Row],[Revenue]]&gt;=20000),"High-Risk","Stable")</f>
        <v>High-Risk</v>
      </c>
      <c r="R638" s="8" t="str" cm="1">
        <f t="array" ref="R638">_xlfn.IFS(Table15[[#This Row],[Revenue]]&gt;=35000,"Platinum",Table15[[#This Row],[Revenue]]&gt;=15000,"Gold",TRUE,"Standard")</f>
        <v>Platinum</v>
      </c>
      <c r="S638" s="8" t="str">
        <f>IF(OR(Table15[[#This Row],[Product]]="Wealth Management",Table15[[#This Row],[Revenue]]&gt;=40000),"Yes","No")</f>
        <v>Yes</v>
      </c>
    </row>
    <row r="639" spans="1:19" x14ac:dyDescent="0.3">
      <c r="A639" s="5" t="s">
        <v>697</v>
      </c>
      <c r="B639" s="6">
        <v>46112</v>
      </c>
      <c r="C639" s="7" t="s">
        <v>19</v>
      </c>
      <c r="D639" s="7" t="s">
        <v>83</v>
      </c>
      <c r="E639" s="7" t="s">
        <v>21</v>
      </c>
      <c r="F639" s="7" t="s">
        <v>69</v>
      </c>
      <c r="G639" s="7" t="s">
        <v>23</v>
      </c>
      <c r="H639" s="7" t="s">
        <v>31</v>
      </c>
      <c r="I639" s="7">
        <v>70</v>
      </c>
      <c r="J639" s="7">
        <v>114</v>
      </c>
      <c r="K639" s="20">
        <v>36508.89</v>
      </c>
      <c r="L639" s="20">
        <v>297.2</v>
      </c>
      <c r="M639" s="7">
        <v>158.19</v>
      </c>
      <c r="N639" s="20">
        <f>Table15[[#This Row],[Processing Fee]]-Table15[[#This Row],[Discount Applied]]</f>
        <v>139.01</v>
      </c>
      <c r="O639" s="7" t="str">
        <f>IF(Table15[[#This Row],[Revenue]]&gt;35000,"Achieved","Not Achieved")</f>
        <v>Achieved</v>
      </c>
      <c r="P639" s="8">
        <v>1</v>
      </c>
      <c r="Q639" s="7" t="str">
        <f>IF(AND(Table15[[#This Row],[CSAT Score]]&lt;=3,Table15[[#This Row],[Revenue]]&gt;=20000),"High-Risk","Stable")</f>
        <v>High-Risk</v>
      </c>
      <c r="R639" s="8" t="str" cm="1">
        <f t="array" ref="R639">_xlfn.IFS(Table15[[#This Row],[Revenue]]&gt;=35000,"Platinum",Table15[[#This Row],[Revenue]]&gt;=15000,"Gold",TRUE,"Standard")</f>
        <v>Platinum</v>
      </c>
      <c r="S639" s="8" t="str">
        <f>IF(OR(Table15[[#This Row],[Product]]="Wealth Management",Table15[[#This Row],[Revenue]]&gt;=40000),"Yes","No")</f>
        <v>No</v>
      </c>
    </row>
    <row r="640" spans="1:19" x14ac:dyDescent="0.3">
      <c r="A640" s="5" t="s">
        <v>698</v>
      </c>
      <c r="B640" s="6">
        <v>45953</v>
      </c>
      <c r="C640" s="7" t="s">
        <v>55</v>
      </c>
      <c r="D640" s="7" t="s">
        <v>83</v>
      </c>
      <c r="E640" s="7" t="s">
        <v>46</v>
      </c>
      <c r="F640" s="7" t="s">
        <v>35</v>
      </c>
      <c r="G640" s="7" t="s">
        <v>23</v>
      </c>
      <c r="H640" s="7" t="s">
        <v>53</v>
      </c>
      <c r="I640" s="7">
        <v>48</v>
      </c>
      <c r="J640" s="7">
        <v>1</v>
      </c>
      <c r="K640" s="20">
        <v>43546.01</v>
      </c>
      <c r="L640" s="20">
        <v>468.41</v>
      </c>
      <c r="M640" s="7">
        <v>177.27</v>
      </c>
      <c r="N640" s="20">
        <f>Table15[[#This Row],[Processing Fee]]-Table15[[#This Row],[Discount Applied]]</f>
        <v>291.14</v>
      </c>
      <c r="O640" s="7" t="str">
        <f>IF(Table15[[#This Row],[Revenue]]&gt;35000,"Achieved","Not Achieved")</f>
        <v>Achieved</v>
      </c>
      <c r="P640" s="8">
        <v>4</v>
      </c>
      <c r="Q640" s="7" t="str">
        <f>IF(AND(Table15[[#This Row],[CSAT Score]]&lt;=3,Table15[[#This Row],[Revenue]]&gt;=20000),"High-Risk","Stable")</f>
        <v>Stable</v>
      </c>
      <c r="R640" s="8" t="str" cm="1">
        <f t="array" ref="R640">_xlfn.IFS(Table15[[#This Row],[Revenue]]&gt;=35000,"Platinum",Table15[[#This Row],[Revenue]]&gt;=15000,"Gold",TRUE,"Standard")</f>
        <v>Platinum</v>
      </c>
      <c r="S640" s="8" t="str">
        <f>IF(OR(Table15[[#This Row],[Product]]="Wealth Management",Table15[[#This Row],[Revenue]]&gt;=40000),"Yes","No")</f>
        <v>Yes</v>
      </c>
    </row>
    <row r="641" spans="1:19" x14ac:dyDescent="0.3">
      <c r="A641" s="5" t="s">
        <v>699</v>
      </c>
      <c r="B641" s="6">
        <v>45924</v>
      </c>
      <c r="C641" s="7" t="s">
        <v>44</v>
      </c>
      <c r="D641" s="7" t="s">
        <v>52</v>
      </c>
      <c r="E641" s="7" t="s">
        <v>39</v>
      </c>
      <c r="F641" s="7" t="s">
        <v>40</v>
      </c>
      <c r="G641" s="7" t="s">
        <v>56</v>
      </c>
      <c r="H641" s="7" t="s">
        <v>53</v>
      </c>
      <c r="I641" s="7">
        <v>63</v>
      </c>
      <c r="J641" s="7">
        <v>52</v>
      </c>
      <c r="K641" s="20">
        <v>9877.4500000000007</v>
      </c>
      <c r="L641" s="20">
        <v>476.54</v>
      </c>
      <c r="M641" s="7">
        <v>167.57</v>
      </c>
      <c r="N641" s="20">
        <f>Table15[[#This Row],[Processing Fee]]-Table15[[#This Row],[Discount Applied]]</f>
        <v>308.97000000000003</v>
      </c>
      <c r="O641" s="7" t="str">
        <f>IF(Table15[[#This Row],[Revenue]]&gt;35000,"Achieved","Not Achieved")</f>
        <v>Not Achieved</v>
      </c>
      <c r="P641" s="8">
        <v>2</v>
      </c>
      <c r="Q641" s="7" t="str">
        <f>IF(AND(Table15[[#This Row],[CSAT Score]]&lt;=3,Table15[[#This Row],[Revenue]]&gt;=20000),"High-Risk","Stable")</f>
        <v>Stable</v>
      </c>
      <c r="R641" s="8" t="str" cm="1">
        <f t="array" ref="R641">_xlfn.IFS(Table15[[#This Row],[Revenue]]&gt;=35000,"Platinum",Table15[[#This Row],[Revenue]]&gt;=15000,"Gold",TRUE,"Standard")</f>
        <v>Standard</v>
      </c>
      <c r="S641" s="8" t="str">
        <f>IF(OR(Table15[[#This Row],[Product]]="Wealth Management",Table15[[#This Row],[Revenue]]&gt;=40000),"Yes","No")</f>
        <v>No</v>
      </c>
    </row>
    <row r="642" spans="1:19" x14ac:dyDescent="0.3">
      <c r="A642" s="5" t="s">
        <v>700</v>
      </c>
      <c r="B642" s="6">
        <v>45901</v>
      </c>
      <c r="C642" s="7" t="s">
        <v>75</v>
      </c>
      <c r="D642" s="7" t="s">
        <v>83</v>
      </c>
      <c r="E642" s="7" t="s">
        <v>39</v>
      </c>
      <c r="F642" s="7" t="s">
        <v>35</v>
      </c>
      <c r="G642" s="7" t="s">
        <v>65</v>
      </c>
      <c r="H642" s="7" t="s">
        <v>31</v>
      </c>
      <c r="I642" s="7">
        <v>67</v>
      </c>
      <c r="J642" s="7">
        <v>85</v>
      </c>
      <c r="K642" s="20">
        <v>20356.82</v>
      </c>
      <c r="L642" s="20">
        <v>81.19</v>
      </c>
      <c r="M642" s="7">
        <v>264.83999999999997</v>
      </c>
      <c r="N642" s="20">
        <f>Table15[[#This Row],[Processing Fee]]-Table15[[#This Row],[Discount Applied]]</f>
        <v>-183.64999999999998</v>
      </c>
      <c r="O642" s="7" t="str">
        <f>IF(Table15[[#This Row],[Revenue]]&gt;35000,"Achieved","Not Achieved")</f>
        <v>Not Achieved</v>
      </c>
      <c r="P642" s="8">
        <v>5</v>
      </c>
      <c r="Q642" s="7" t="str">
        <f>IF(AND(Table15[[#This Row],[CSAT Score]]&lt;=3,Table15[[#This Row],[Revenue]]&gt;=20000),"High-Risk","Stable")</f>
        <v>Stable</v>
      </c>
      <c r="R642" s="8" t="str" cm="1">
        <f t="array" ref="R642">_xlfn.IFS(Table15[[#This Row],[Revenue]]&gt;=35000,"Platinum",Table15[[#This Row],[Revenue]]&gt;=15000,"Gold",TRUE,"Standard")</f>
        <v>Gold</v>
      </c>
      <c r="S642" s="8" t="str">
        <f>IF(OR(Table15[[#This Row],[Product]]="Wealth Management",Table15[[#This Row],[Revenue]]&gt;=40000),"Yes","No")</f>
        <v>No</v>
      </c>
    </row>
    <row r="643" spans="1:19" x14ac:dyDescent="0.3">
      <c r="A643" s="5" t="s">
        <v>701</v>
      </c>
      <c r="B643" s="6">
        <v>45964</v>
      </c>
      <c r="C643" s="7" t="s">
        <v>75</v>
      </c>
      <c r="D643" s="7" t="s">
        <v>63</v>
      </c>
      <c r="E643" s="7" t="s">
        <v>21</v>
      </c>
      <c r="F643" s="7" t="s">
        <v>22</v>
      </c>
      <c r="G643" s="7" t="s">
        <v>23</v>
      </c>
      <c r="H643" s="7" t="s">
        <v>53</v>
      </c>
      <c r="I643" s="7">
        <v>46</v>
      </c>
      <c r="J643" s="7">
        <v>93</v>
      </c>
      <c r="K643" s="20">
        <v>47415.91</v>
      </c>
      <c r="L643" s="20">
        <v>255.39</v>
      </c>
      <c r="M643" s="7">
        <v>184.41</v>
      </c>
      <c r="N643" s="20">
        <f>Table15[[#This Row],[Processing Fee]]-Table15[[#This Row],[Discount Applied]]</f>
        <v>70.97999999999999</v>
      </c>
      <c r="O643" s="7" t="str">
        <f>IF(Table15[[#This Row],[Revenue]]&gt;35000,"Achieved","Not Achieved")</f>
        <v>Achieved</v>
      </c>
      <c r="P643" s="8">
        <v>4</v>
      </c>
      <c r="Q643" s="7" t="str">
        <f>IF(AND(Table15[[#This Row],[CSAT Score]]&lt;=3,Table15[[#This Row],[Revenue]]&gt;=20000),"High-Risk","Stable")</f>
        <v>Stable</v>
      </c>
      <c r="R643" s="8" t="str" cm="1">
        <f t="array" ref="R643">_xlfn.IFS(Table15[[#This Row],[Revenue]]&gt;=35000,"Platinum",Table15[[#This Row],[Revenue]]&gt;=15000,"Gold",TRUE,"Standard")</f>
        <v>Platinum</v>
      </c>
      <c r="S643" s="8" t="str">
        <f>IF(OR(Table15[[#This Row],[Product]]="Wealth Management",Table15[[#This Row],[Revenue]]&gt;=40000),"Yes","No")</f>
        <v>Yes</v>
      </c>
    </row>
    <row r="644" spans="1:19" x14ac:dyDescent="0.3">
      <c r="A644" s="5" t="s">
        <v>702</v>
      </c>
      <c r="B644" s="6">
        <v>45926</v>
      </c>
      <c r="C644" s="7" t="s">
        <v>44</v>
      </c>
      <c r="D644" s="7" t="s">
        <v>20</v>
      </c>
      <c r="E644" s="7" t="s">
        <v>28</v>
      </c>
      <c r="F644" s="7" t="s">
        <v>22</v>
      </c>
      <c r="G644" s="7" t="s">
        <v>30</v>
      </c>
      <c r="H644" s="7" t="s">
        <v>24</v>
      </c>
      <c r="I644" s="7">
        <v>45</v>
      </c>
      <c r="J644" s="7">
        <v>70</v>
      </c>
      <c r="K644" s="20">
        <v>20131.23</v>
      </c>
      <c r="L644" s="20">
        <v>324.36</v>
      </c>
      <c r="M644" s="7">
        <v>20.91</v>
      </c>
      <c r="N644" s="20">
        <f>Table15[[#This Row],[Processing Fee]]-Table15[[#This Row],[Discount Applied]]</f>
        <v>303.45</v>
      </c>
      <c r="O644" s="7" t="str">
        <f>IF(Table15[[#This Row],[Revenue]]&gt;35000,"Achieved","Not Achieved")</f>
        <v>Not Achieved</v>
      </c>
      <c r="P644" s="8">
        <v>3</v>
      </c>
      <c r="Q644" s="7" t="str">
        <f>IF(AND(Table15[[#This Row],[CSAT Score]]&lt;=3,Table15[[#This Row],[Revenue]]&gt;=20000),"High-Risk","Stable")</f>
        <v>High-Risk</v>
      </c>
      <c r="R644" s="8" t="str" cm="1">
        <f t="array" ref="R644">_xlfn.IFS(Table15[[#This Row],[Revenue]]&gt;=35000,"Platinum",Table15[[#This Row],[Revenue]]&gt;=15000,"Gold",TRUE,"Standard")</f>
        <v>Gold</v>
      </c>
      <c r="S644" s="8" t="str">
        <f>IF(OR(Table15[[#This Row],[Product]]="Wealth Management",Table15[[#This Row],[Revenue]]&gt;=40000),"Yes","No")</f>
        <v>Yes</v>
      </c>
    </row>
    <row r="645" spans="1:19" x14ac:dyDescent="0.3">
      <c r="A645" s="5" t="s">
        <v>703</v>
      </c>
      <c r="B645" s="6">
        <v>46220</v>
      </c>
      <c r="C645" s="7" t="s">
        <v>91</v>
      </c>
      <c r="D645" s="7" t="s">
        <v>79</v>
      </c>
      <c r="E645" s="7" t="s">
        <v>39</v>
      </c>
      <c r="F645" s="7" t="s">
        <v>22</v>
      </c>
      <c r="G645" s="7" t="s">
        <v>56</v>
      </c>
      <c r="H645" s="7" t="s">
        <v>57</v>
      </c>
      <c r="I645" s="7">
        <v>74</v>
      </c>
      <c r="J645" s="7">
        <v>37</v>
      </c>
      <c r="K645" s="20">
        <v>6681.07</v>
      </c>
      <c r="L645" s="20">
        <v>165.14</v>
      </c>
      <c r="M645" s="7">
        <v>25.75</v>
      </c>
      <c r="N645" s="20">
        <f>Table15[[#This Row],[Processing Fee]]-Table15[[#This Row],[Discount Applied]]</f>
        <v>139.38999999999999</v>
      </c>
      <c r="O645" s="7" t="str">
        <f>IF(Table15[[#This Row],[Revenue]]&gt;35000,"Achieved","Not Achieved")</f>
        <v>Not Achieved</v>
      </c>
      <c r="P645" s="8">
        <v>5</v>
      </c>
      <c r="Q645" s="7" t="str">
        <f>IF(AND(Table15[[#This Row],[CSAT Score]]&lt;=3,Table15[[#This Row],[Revenue]]&gt;=20000),"High-Risk","Stable")</f>
        <v>Stable</v>
      </c>
      <c r="R645" s="8" t="str" cm="1">
        <f t="array" ref="R645">_xlfn.IFS(Table15[[#This Row],[Revenue]]&gt;=35000,"Platinum",Table15[[#This Row],[Revenue]]&gt;=15000,"Gold",TRUE,"Standard")</f>
        <v>Standard</v>
      </c>
      <c r="S645" s="8" t="str">
        <f>IF(OR(Table15[[#This Row],[Product]]="Wealth Management",Table15[[#This Row],[Revenue]]&gt;=40000),"Yes","No")</f>
        <v>Yes</v>
      </c>
    </row>
    <row r="646" spans="1:19" x14ac:dyDescent="0.3">
      <c r="A646" s="5" t="s">
        <v>704</v>
      </c>
      <c r="B646" s="6">
        <v>46184</v>
      </c>
      <c r="C646" s="7" t="s">
        <v>44</v>
      </c>
      <c r="D646" s="7" t="s">
        <v>38</v>
      </c>
      <c r="E646" s="7" t="s">
        <v>46</v>
      </c>
      <c r="F646" s="7" t="s">
        <v>35</v>
      </c>
      <c r="G646" s="7" t="s">
        <v>23</v>
      </c>
      <c r="H646" s="7" t="s">
        <v>53</v>
      </c>
      <c r="I646" s="7">
        <v>49</v>
      </c>
      <c r="J646" s="7">
        <v>65</v>
      </c>
      <c r="K646" s="20">
        <v>26509.53</v>
      </c>
      <c r="L646" s="20">
        <v>233.18</v>
      </c>
      <c r="M646" s="7">
        <v>111.4</v>
      </c>
      <c r="N646" s="20">
        <f>Table15[[#This Row],[Processing Fee]]-Table15[[#This Row],[Discount Applied]]</f>
        <v>121.78</v>
      </c>
      <c r="O646" s="7" t="str">
        <f>IF(Table15[[#This Row],[Revenue]]&gt;35000,"Achieved","Not Achieved")</f>
        <v>Not Achieved</v>
      </c>
      <c r="P646" s="8">
        <v>2</v>
      </c>
      <c r="Q646" s="7" t="str">
        <f>IF(AND(Table15[[#This Row],[CSAT Score]]&lt;=3,Table15[[#This Row],[Revenue]]&gt;=20000),"High-Risk","Stable")</f>
        <v>High-Risk</v>
      </c>
      <c r="R646" s="8" t="str" cm="1">
        <f t="array" ref="R646">_xlfn.IFS(Table15[[#This Row],[Revenue]]&gt;=35000,"Platinum",Table15[[#This Row],[Revenue]]&gt;=15000,"Gold",TRUE,"Standard")</f>
        <v>Gold</v>
      </c>
      <c r="S646" s="8" t="str">
        <f>IF(OR(Table15[[#This Row],[Product]]="Wealth Management",Table15[[#This Row],[Revenue]]&gt;=40000),"Yes","No")</f>
        <v>No</v>
      </c>
    </row>
    <row r="647" spans="1:19" x14ac:dyDescent="0.3">
      <c r="A647" s="5" t="s">
        <v>705</v>
      </c>
      <c r="B647" s="6">
        <v>46067</v>
      </c>
      <c r="C647" s="7" t="s">
        <v>33</v>
      </c>
      <c r="D647" s="7" t="s">
        <v>87</v>
      </c>
      <c r="E647" s="7" t="s">
        <v>39</v>
      </c>
      <c r="F647" s="7" t="s">
        <v>22</v>
      </c>
      <c r="G647" s="7" t="s">
        <v>36</v>
      </c>
      <c r="H647" s="7" t="s">
        <v>31</v>
      </c>
      <c r="I647" s="7">
        <v>39</v>
      </c>
      <c r="J647" s="7">
        <v>51</v>
      </c>
      <c r="K647" s="20">
        <v>5919.8</v>
      </c>
      <c r="L647" s="20">
        <v>354.96</v>
      </c>
      <c r="M647" s="7">
        <v>268.18</v>
      </c>
      <c r="N647" s="20">
        <f>Table15[[#This Row],[Processing Fee]]-Table15[[#This Row],[Discount Applied]]</f>
        <v>86.779999999999973</v>
      </c>
      <c r="O647" s="7" t="str">
        <f>IF(Table15[[#This Row],[Revenue]]&gt;35000,"Achieved","Not Achieved")</f>
        <v>Not Achieved</v>
      </c>
      <c r="P647" s="8">
        <v>4</v>
      </c>
      <c r="Q647" s="7" t="str">
        <f>IF(AND(Table15[[#This Row],[CSAT Score]]&lt;=3,Table15[[#This Row],[Revenue]]&gt;=20000),"High-Risk","Stable")</f>
        <v>Stable</v>
      </c>
      <c r="R647" s="8" t="str" cm="1">
        <f t="array" ref="R647">_xlfn.IFS(Table15[[#This Row],[Revenue]]&gt;=35000,"Platinum",Table15[[#This Row],[Revenue]]&gt;=15000,"Gold",TRUE,"Standard")</f>
        <v>Standard</v>
      </c>
      <c r="S647" s="8" t="str">
        <f>IF(OR(Table15[[#This Row],[Product]]="Wealth Management",Table15[[#This Row],[Revenue]]&gt;=40000),"Yes","No")</f>
        <v>Yes</v>
      </c>
    </row>
    <row r="648" spans="1:19" x14ac:dyDescent="0.3">
      <c r="A648" s="5" t="s">
        <v>706</v>
      </c>
      <c r="B648" s="6">
        <v>45879</v>
      </c>
      <c r="C648" s="7" t="s">
        <v>33</v>
      </c>
      <c r="D648" s="7" t="s">
        <v>48</v>
      </c>
      <c r="E648" s="7" t="s">
        <v>46</v>
      </c>
      <c r="F648" s="7" t="s">
        <v>69</v>
      </c>
      <c r="G648" s="7" t="s">
        <v>30</v>
      </c>
      <c r="H648" s="7" t="s">
        <v>57</v>
      </c>
      <c r="I648" s="7">
        <v>53</v>
      </c>
      <c r="J648" s="7">
        <v>1</v>
      </c>
      <c r="K648" s="20">
        <v>10541.24</v>
      </c>
      <c r="L648" s="20">
        <v>152.03</v>
      </c>
      <c r="M648" s="7">
        <v>194.87</v>
      </c>
      <c r="N648" s="20">
        <f>Table15[[#This Row],[Processing Fee]]-Table15[[#This Row],[Discount Applied]]</f>
        <v>-42.84</v>
      </c>
      <c r="O648" s="7" t="str">
        <f>IF(Table15[[#This Row],[Revenue]]&gt;35000,"Achieved","Not Achieved")</f>
        <v>Not Achieved</v>
      </c>
      <c r="P648" s="8">
        <v>5</v>
      </c>
      <c r="Q648" s="7" t="str">
        <f>IF(AND(Table15[[#This Row],[CSAT Score]]&lt;=3,Table15[[#This Row],[Revenue]]&gt;=20000),"High-Risk","Stable")</f>
        <v>Stable</v>
      </c>
      <c r="R648" s="8" t="str" cm="1">
        <f t="array" ref="R648">_xlfn.IFS(Table15[[#This Row],[Revenue]]&gt;=35000,"Platinum",Table15[[#This Row],[Revenue]]&gt;=15000,"Gold",TRUE,"Standard")</f>
        <v>Standard</v>
      </c>
      <c r="S648" s="8" t="str">
        <f>IF(OR(Table15[[#This Row],[Product]]="Wealth Management",Table15[[#This Row],[Revenue]]&gt;=40000),"Yes","No")</f>
        <v>No</v>
      </c>
    </row>
    <row r="649" spans="1:19" x14ac:dyDescent="0.3">
      <c r="A649" s="5" t="s">
        <v>707</v>
      </c>
      <c r="B649" s="6">
        <v>46121</v>
      </c>
      <c r="C649" s="7" t="s">
        <v>91</v>
      </c>
      <c r="D649" s="7" t="s">
        <v>20</v>
      </c>
      <c r="E649" s="7" t="s">
        <v>21</v>
      </c>
      <c r="F649" s="7" t="s">
        <v>22</v>
      </c>
      <c r="G649" s="7" t="s">
        <v>23</v>
      </c>
      <c r="H649" s="7" t="s">
        <v>31</v>
      </c>
      <c r="I649" s="7">
        <v>56</v>
      </c>
      <c r="J649" s="7">
        <v>91</v>
      </c>
      <c r="K649" s="20">
        <v>49916.78</v>
      </c>
      <c r="L649" s="20">
        <v>320.89</v>
      </c>
      <c r="M649" s="7">
        <v>13.88</v>
      </c>
      <c r="N649" s="20">
        <f>Table15[[#This Row],[Processing Fee]]-Table15[[#This Row],[Discount Applied]]</f>
        <v>307.01</v>
      </c>
      <c r="O649" s="7" t="str">
        <f>IF(Table15[[#This Row],[Revenue]]&gt;35000,"Achieved","Not Achieved")</f>
        <v>Achieved</v>
      </c>
      <c r="P649" s="8">
        <v>4</v>
      </c>
      <c r="Q649" s="7" t="str">
        <f>IF(AND(Table15[[#This Row],[CSAT Score]]&lt;=3,Table15[[#This Row],[Revenue]]&gt;=20000),"High-Risk","Stable")</f>
        <v>Stable</v>
      </c>
      <c r="R649" s="8" t="str" cm="1">
        <f t="array" ref="R649">_xlfn.IFS(Table15[[#This Row],[Revenue]]&gt;=35000,"Platinum",Table15[[#This Row],[Revenue]]&gt;=15000,"Gold",TRUE,"Standard")</f>
        <v>Platinum</v>
      </c>
      <c r="S649" s="8" t="str">
        <f>IF(OR(Table15[[#This Row],[Product]]="Wealth Management",Table15[[#This Row],[Revenue]]&gt;=40000),"Yes","No")</f>
        <v>Yes</v>
      </c>
    </row>
    <row r="650" spans="1:19" x14ac:dyDescent="0.3">
      <c r="A650" s="5" t="s">
        <v>708</v>
      </c>
      <c r="B650" s="6">
        <v>46075</v>
      </c>
      <c r="C650" s="7" t="s">
        <v>44</v>
      </c>
      <c r="D650" s="7" t="s">
        <v>45</v>
      </c>
      <c r="E650" s="7" t="s">
        <v>39</v>
      </c>
      <c r="F650" s="7" t="s">
        <v>29</v>
      </c>
      <c r="G650" s="7" t="s">
        <v>30</v>
      </c>
      <c r="H650" s="7" t="s">
        <v>57</v>
      </c>
      <c r="I650" s="7">
        <v>34</v>
      </c>
      <c r="J650" s="7">
        <v>21</v>
      </c>
      <c r="K650" s="20">
        <v>27297.45</v>
      </c>
      <c r="L650" s="20">
        <v>363.85</v>
      </c>
      <c r="M650" s="7">
        <v>71.150000000000006</v>
      </c>
      <c r="N650" s="20">
        <f>Table15[[#This Row],[Processing Fee]]-Table15[[#This Row],[Discount Applied]]</f>
        <v>292.70000000000005</v>
      </c>
      <c r="O650" s="7" t="str">
        <f>IF(Table15[[#This Row],[Revenue]]&gt;35000,"Achieved","Not Achieved")</f>
        <v>Not Achieved</v>
      </c>
      <c r="P650" s="8">
        <v>4</v>
      </c>
      <c r="Q650" s="7" t="str">
        <f>IF(AND(Table15[[#This Row],[CSAT Score]]&lt;=3,Table15[[#This Row],[Revenue]]&gt;=20000),"High-Risk","Stable")</f>
        <v>Stable</v>
      </c>
      <c r="R650" s="8" t="str" cm="1">
        <f t="array" ref="R650">_xlfn.IFS(Table15[[#This Row],[Revenue]]&gt;=35000,"Platinum",Table15[[#This Row],[Revenue]]&gt;=15000,"Gold",TRUE,"Standard")</f>
        <v>Gold</v>
      </c>
      <c r="S650" s="8" t="str">
        <f>IF(OR(Table15[[#This Row],[Product]]="Wealth Management",Table15[[#This Row],[Revenue]]&gt;=40000),"Yes","No")</f>
        <v>No</v>
      </c>
    </row>
    <row r="651" spans="1:19" x14ac:dyDescent="0.3">
      <c r="A651" s="5" t="s">
        <v>709</v>
      </c>
      <c r="B651" s="6">
        <v>46162</v>
      </c>
      <c r="C651" s="7" t="s">
        <v>33</v>
      </c>
      <c r="D651" s="7" t="s">
        <v>79</v>
      </c>
      <c r="E651" s="7" t="s">
        <v>46</v>
      </c>
      <c r="F651" s="7" t="s">
        <v>35</v>
      </c>
      <c r="G651" s="7" t="s">
        <v>30</v>
      </c>
      <c r="H651" s="7" t="s">
        <v>57</v>
      </c>
      <c r="I651" s="7">
        <v>34</v>
      </c>
      <c r="J651" s="7">
        <v>53</v>
      </c>
      <c r="K651" s="20">
        <v>14560.89</v>
      </c>
      <c r="L651" s="20">
        <v>90.72</v>
      </c>
      <c r="M651" s="7">
        <v>42.58</v>
      </c>
      <c r="N651" s="20">
        <f>Table15[[#This Row],[Processing Fee]]-Table15[[#This Row],[Discount Applied]]</f>
        <v>48.14</v>
      </c>
      <c r="O651" s="7" t="str">
        <f>IF(Table15[[#This Row],[Revenue]]&gt;35000,"Achieved","Not Achieved")</f>
        <v>Not Achieved</v>
      </c>
      <c r="P651" s="8">
        <v>4</v>
      </c>
      <c r="Q651" s="7" t="str">
        <f>IF(AND(Table15[[#This Row],[CSAT Score]]&lt;=3,Table15[[#This Row],[Revenue]]&gt;=20000),"High-Risk","Stable")</f>
        <v>Stable</v>
      </c>
      <c r="R651" s="8" t="str" cm="1">
        <f t="array" ref="R651">_xlfn.IFS(Table15[[#This Row],[Revenue]]&gt;=35000,"Platinum",Table15[[#This Row],[Revenue]]&gt;=15000,"Gold",TRUE,"Standard")</f>
        <v>Standard</v>
      </c>
      <c r="S651" s="8" t="str">
        <f>IF(OR(Table15[[#This Row],[Product]]="Wealth Management",Table15[[#This Row],[Revenue]]&gt;=40000),"Yes","No")</f>
        <v>No</v>
      </c>
    </row>
    <row r="652" spans="1:19" x14ac:dyDescent="0.3">
      <c r="A652" s="5" t="s">
        <v>710</v>
      </c>
      <c r="B652" s="6">
        <v>45962</v>
      </c>
      <c r="C652" s="7" t="s">
        <v>19</v>
      </c>
      <c r="D652" s="7" t="s">
        <v>34</v>
      </c>
      <c r="E652" s="7" t="s">
        <v>21</v>
      </c>
      <c r="F652" s="7" t="s">
        <v>29</v>
      </c>
      <c r="G652" s="7" t="s">
        <v>65</v>
      </c>
      <c r="H652" s="7" t="s">
        <v>53</v>
      </c>
      <c r="I652" s="7">
        <v>55</v>
      </c>
      <c r="J652" s="7">
        <v>16</v>
      </c>
      <c r="K652" s="20">
        <v>49741.36</v>
      </c>
      <c r="L652" s="20">
        <v>273.89</v>
      </c>
      <c r="M652" s="7">
        <v>151.19</v>
      </c>
      <c r="N652" s="20">
        <f>Table15[[#This Row],[Processing Fee]]-Table15[[#This Row],[Discount Applied]]</f>
        <v>122.69999999999999</v>
      </c>
      <c r="O652" s="7" t="str">
        <f>IF(Table15[[#This Row],[Revenue]]&gt;35000,"Achieved","Not Achieved")</f>
        <v>Achieved</v>
      </c>
      <c r="P652" s="8">
        <v>2</v>
      </c>
      <c r="Q652" s="7" t="str">
        <f>IF(AND(Table15[[#This Row],[CSAT Score]]&lt;=3,Table15[[#This Row],[Revenue]]&gt;=20000),"High-Risk","Stable")</f>
        <v>High-Risk</v>
      </c>
      <c r="R652" s="8" t="str" cm="1">
        <f t="array" ref="R652">_xlfn.IFS(Table15[[#This Row],[Revenue]]&gt;=35000,"Platinum",Table15[[#This Row],[Revenue]]&gt;=15000,"Gold",TRUE,"Standard")</f>
        <v>Platinum</v>
      </c>
      <c r="S652" s="8" t="str">
        <f>IF(OR(Table15[[#This Row],[Product]]="Wealth Management",Table15[[#This Row],[Revenue]]&gt;=40000),"Yes","No")</f>
        <v>Yes</v>
      </c>
    </row>
    <row r="653" spans="1:19" x14ac:dyDescent="0.3">
      <c r="A653" s="5" t="s">
        <v>711</v>
      </c>
      <c r="B653" s="6">
        <v>45955</v>
      </c>
      <c r="C653" s="7" t="s">
        <v>44</v>
      </c>
      <c r="D653" s="7" t="s">
        <v>34</v>
      </c>
      <c r="E653" s="7" t="s">
        <v>28</v>
      </c>
      <c r="F653" s="7" t="s">
        <v>22</v>
      </c>
      <c r="G653" s="7" t="s">
        <v>30</v>
      </c>
      <c r="H653" s="7" t="s">
        <v>24</v>
      </c>
      <c r="I653" s="7">
        <v>50</v>
      </c>
      <c r="J653" s="7">
        <v>108</v>
      </c>
      <c r="K653" s="20">
        <v>48344.67</v>
      </c>
      <c r="L653" s="20">
        <v>168.39</v>
      </c>
      <c r="M653" s="7">
        <v>128.04</v>
      </c>
      <c r="N653" s="20">
        <f>Table15[[#This Row],[Processing Fee]]-Table15[[#This Row],[Discount Applied]]</f>
        <v>40.349999999999994</v>
      </c>
      <c r="O653" s="7" t="str">
        <f>IF(Table15[[#This Row],[Revenue]]&gt;35000,"Achieved","Not Achieved")</f>
        <v>Achieved</v>
      </c>
      <c r="P653" s="8">
        <v>5</v>
      </c>
      <c r="Q653" s="7" t="str">
        <f>IF(AND(Table15[[#This Row],[CSAT Score]]&lt;=3,Table15[[#This Row],[Revenue]]&gt;=20000),"High-Risk","Stable")</f>
        <v>Stable</v>
      </c>
      <c r="R653" s="8" t="str" cm="1">
        <f t="array" ref="R653">_xlfn.IFS(Table15[[#This Row],[Revenue]]&gt;=35000,"Platinum",Table15[[#This Row],[Revenue]]&gt;=15000,"Gold",TRUE,"Standard")</f>
        <v>Platinum</v>
      </c>
      <c r="S653" s="8" t="str">
        <f>IF(OR(Table15[[#This Row],[Product]]="Wealth Management",Table15[[#This Row],[Revenue]]&gt;=40000),"Yes","No")</f>
        <v>Yes</v>
      </c>
    </row>
    <row r="654" spans="1:19" x14ac:dyDescent="0.3">
      <c r="A654" s="5" t="s">
        <v>712</v>
      </c>
      <c r="B654" s="6">
        <v>46187</v>
      </c>
      <c r="C654" s="7" t="s">
        <v>19</v>
      </c>
      <c r="D654" s="7" t="s">
        <v>50</v>
      </c>
      <c r="E654" s="7" t="s">
        <v>46</v>
      </c>
      <c r="F654" s="7" t="s">
        <v>69</v>
      </c>
      <c r="G654" s="7" t="s">
        <v>65</v>
      </c>
      <c r="H654" s="7" t="s">
        <v>53</v>
      </c>
      <c r="I654" s="7">
        <v>48</v>
      </c>
      <c r="J654" s="7">
        <v>61</v>
      </c>
      <c r="K654" s="20">
        <v>22316.58</v>
      </c>
      <c r="L654" s="20">
        <v>375.97</v>
      </c>
      <c r="M654" s="7">
        <v>23.98</v>
      </c>
      <c r="N654" s="20">
        <f>Table15[[#This Row],[Processing Fee]]-Table15[[#This Row],[Discount Applied]]</f>
        <v>351.99</v>
      </c>
      <c r="O654" s="7" t="str">
        <f>IF(Table15[[#This Row],[Revenue]]&gt;35000,"Achieved","Not Achieved")</f>
        <v>Not Achieved</v>
      </c>
      <c r="P654" s="8">
        <v>1</v>
      </c>
      <c r="Q654" s="7" t="str">
        <f>IF(AND(Table15[[#This Row],[CSAT Score]]&lt;=3,Table15[[#This Row],[Revenue]]&gt;=20000),"High-Risk","Stable")</f>
        <v>High-Risk</v>
      </c>
      <c r="R654" s="8" t="str" cm="1">
        <f t="array" ref="R654">_xlfn.IFS(Table15[[#This Row],[Revenue]]&gt;=35000,"Platinum",Table15[[#This Row],[Revenue]]&gt;=15000,"Gold",TRUE,"Standard")</f>
        <v>Gold</v>
      </c>
      <c r="S654" s="8" t="str">
        <f>IF(OR(Table15[[#This Row],[Product]]="Wealth Management",Table15[[#This Row],[Revenue]]&gt;=40000),"Yes","No")</f>
        <v>No</v>
      </c>
    </row>
    <row r="655" spans="1:19" x14ac:dyDescent="0.3">
      <c r="A655" s="5" t="s">
        <v>713</v>
      </c>
      <c r="B655" s="6">
        <v>45999</v>
      </c>
      <c r="C655" s="7" t="s">
        <v>33</v>
      </c>
      <c r="D655" s="7" t="s">
        <v>27</v>
      </c>
      <c r="E655" s="7" t="s">
        <v>28</v>
      </c>
      <c r="F655" s="7" t="s">
        <v>40</v>
      </c>
      <c r="G655" s="7" t="s">
        <v>56</v>
      </c>
      <c r="H655" s="7" t="s">
        <v>31</v>
      </c>
      <c r="I655" s="7">
        <v>37</v>
      </c>
      <c r="J655" s="7">
        <v>54</v>
      </c>
      <c r="K655" s="20">
        <v>13389.95</v>
      </c>
      <c r="L655" s="20">
        <v>135.30000000000001</v>
      </c>
      <c r="M655" s="7">
        <v>145.05000000000001</v>
      </c>
      <c r="N655" s="20">
        <f>Table15[[#This Row],[Processing Fee]]-Table15[[#This Row],[Discount Applied]]</f>
        <v>-9.75</v>
      </c>
      <c r="O655" s="7" t="str">
        <f>IF(Table15[[#This Row],[Revenue]]&gt;35000,"Achieved","Not Achieved")</f>
        <v>Not Achieved</v>
      </c>
      <c r="P655" s="8">
        <v>1</v>
      </c>
      <c r="Q655" s="7" t="str">
        <f>IF(AND(Table15[[#This Row],[CSAT Score]]&lt;=3,Table15[[#This Row],[Revenue]]&gt;=20000),"High-Risk","Stable")</f>
        <v>Stable</v>
      </c>
      <c r="R655" s="8" t="str" cm="1">
        <f t="array" ref="R655">_xlfn.IFS(Table15[[#This Row],[Revenue]]&gt;=35000,"Platinum",Table15[[#This Row],[Revenue]]&gt;=15000,"Gold",TRUE,"Standard")</f>
        <v>Standard</v>
      </c>
      <c r="S655" s="8" t="str">
        <f>IF(OR(Table15[[#This Row],[Product]]="Wealth Management",Table15[[#This Row],[Revenue]]&gt;=40000),"Yes","No")</f>
        <v>No</v>
      </c>
    </row>
    <row r="656" spans="1:19" x14ac:dyDescent="0.3">
      <c r="A656" s="5" t="s">
        <v>714</v>
      </c>
      <c r="B656" s="6">
        <v>46164</v>
      </c>
      <c r="C656" s="7" t="s">
        <v>75</v>
      </c>
      <c r="D656" s="7" t="s">
        <v>83</v>
      </c>
      <c r="E656" s="7" t="s">
        <v>28</v>
      </c>
      <c r="F656" s="7" t="s">
        <v>22</v>
      </c>
      <c r="G656" s="7" t="s">
        <v>65</v>
      </c>
      <c r="H656" s="7" t="s">
        <v>31</v>
      </c>
      <c r="I656" s="7">
        <v>23</v>
      </c>
      <c r="J656" s="7">
        <v>40</v>
      </c>
      <c r="K656" s="20">
        <v>42000.78</v>
      </c>
      <c r="L656" s="20">
        <v>451.51</v>
      </c>
      <c r="M656" s="7">
        <v>205.64</v>
      </c>
      <c r="N656" s="20">
        <f>Table15[[#This Row],[Processing Fee]]-Table15[[#This Row],[Discount Applied]]</f>
        <v>245.87</v>
      </c>
      <c r="O656" s="7" t="str">
        <f>IF(Table15[[#This Row],[Revenue]]&gt;35000,"Achieved","Not Achieved")</f>
        <v>Achieved</v>
      </c>
      <c r="P656" s="8">
        <v>2</v>
      </c>
      <c r="Q656" s="7" t="str">
        <f>IF(AND(Table15[[#This Row],[CSAT Score]]&lt;=3,Table15[[#This Row],[Revenue]]&gt;=20000),"High-Risk","Stable")</f>
        <v>High-Risk</v>
      </c>
      <c r="R656" s="8" t="str" cm="1">
        <f t="array" ref="R656">_xlfn.IFS(Table15[[#This Row],[Revenue]]&gt;=35000,"Platinum",Table15[[#This Row],[Revenue]]&gt;=15000,"Gold",TRUE,"Standard")</f>
        <v>Platinum</v>
      </c>
      <c r="S656" s="8" t="str">
        <f>IF(OR(Table15[[#This Row],[Product]]="Wealth Management",Table15[[#This Row],[Revenue]]&gt;=40000),"Yes","No")</f>
        <v>Yes</v>
      </c>
    </row>
    <row r="657" spans="1:19" x14ac:dyDescent="0.3">
      <c r="A657" s="5" t="s">
        <v>715</v>
      </c>
      <c r="B657" s="6">
        <v>46020</v>
      </c>
      <c r="C657" s="7" t="s">
        <v>33</v>
      </c>
      <c r="D657" s="7" t="s">
        <v>20</v>
      </c>
      <c r="E657" s="7" t="s">
        <v>59</v>
      </c>
      <c r="F657" s="7" t="s">
        <v>69</v>
      </c>
      <c r="G657" s="7" t="s">
        <v>36</v>
      </c>
      <c r="H657" s="7" t="s">
        <v>57</v>
      </c>
      <c r="I657" s="7">
        <v>36</v>
      </c>
      <c r="J657" s="7">
        <v>26</v>
      </c>
      <c r="K657" s="20">
        <v>35923.230000000003</v>
      </c>
      <c r="L657" s="20">
        <v>243.92</v>
      </c>
      <c r="M657" s="7">
        <v>155.80000000000001</v>
      </c>
      <c r="N657" s="20">
        <f>Table15[[#This Row],[Processing Fee]]-Table15[[#This Row],[Discount Applied]]</f>
        <v>88.119999999999976</v>
      </c>
      <c r="O657" s="7" t="str">
        <f>IF(Table15[[#This Row],[Revenue]]&gt;35000,"Achieved","Not Achieved")</f>
        <v>Achieved</v>
      </c>
      <c r="P657" s="8">
        <v>2</v>
      </c>
      <c r="Q657" s="7" t="str">
        <f>IF(AND(Table15[[#This Row],[CSAT Score]]&lt;=3,Table15[[#This Row],[Revenue]]&gt;=20000),"High-Risk","Stable")</f>
        <v>High-Risk</v>
      </c>
      <c r="R657" s="8" t="str" cm="1">
        <f t="array" ref="R657">_xlfn.IFS(Table15[[#This Row],[Revenue]]&gt;=35000,"Platinum",Table15[[#This Row],[Revenue]]&gt;=15000,"Gold",TRUE,"Standard")</f>
        <v>Platinum</v>
      </c>
      <c r="S657" s="8" t="str">
        <f>IF(OR(Table15[[#This Row],[Product]]="Wealth Management",Table15[[#This Row],[Revenue]]&gt;=40000),"Yes","No")</f>
        <v>No</v>
      </c>
    </row>
    <row r="658" spans="1:19" x14ac:dyDescent="0.3">
      <c r="A658" s="5" t="s">
        <v>716</v>
      </c>
      <c r="B658" s="6">
        <v>45936</v>
      </c>
      <c r="C658" s="7" t="s">
        <v>19</v>
      </c>
      <c r="D658" s="7" t="s">
        <v>77</v>
      </c>
      <c r="E658" s="7" t="s">
        <v>39</v>
      </c>
      <c r="F658" s="7" t="s">
        <v>35</v>
      </c>
      <c r="G658" s="7" t="s">
        <v>23</v>
      </c>
      <c r="H658" s="7" t="s">
        <v>57</v>
      </c>
      <c r="I658" s="7">
        <v>66</v>
      </c>
      <c r="J658" s="7">
        <v>80</v>
      </c>
      <c r="K658" s="20">
        <v>34503.599999999999</v>
      </c>
      <c r="L658" s="20">
        <v>139.1</v>
      </c>
      <c r="M658" s="7">
        <v>4.01</v>
      </c>
      <c r="N658" s="20">
        <f>Table15[[#This Row],[Processing Fee]]-Table15[[#This Row],[Discount Applied]]</f>
        <v>135.09</v>
      </c>
      <c r="O658" s="7" t="str">
        <f>IF(Table15[[#This Row],[Revenue]]&gt;35000,"Achieved","Not Achieved")</f>
        <v>Not Achieved</v>
      </c>
      <c r="P658" s="8">
        <v>4</v>
      </c>
      <c r="Q658" s="7" t="str">
        <f>IF(AND(Table15[[#This Row],[CSAT Score]]&lt;=3,Table15[[#This Row],[Revenue]]&gt;=20000),"High-Risk","Stable")</f>
        <v>Stable</v>
      </c>
      <c r="R658" s="8" t="str" cm="1">
        <f t="array" ref="R658">_xlfn.IFS(Table15[[#This Row],[Revenue]]&gt;=35000,"Platinum",Table15[[#This Row],[Revenue]]&gt;=15000,"Gold",TRUE,"Standard")</f>
        <v>Gold</v>
      </c>
      <c r="S658" s="8" t="str">
        <f>IF(OR(Table15[[#This Row],[Product]]="Wealth Management",Table15[[#This Row],[Revenue]]&gt;=40000),"Yes","No")</f>
        <v>No</v>
      </c>
    </row>
    <row r="659" spans="1:19" x14ac:dyDescent="0.3">
      <c r="A659" s="5" t="s">
        <v>717</v>
      </c>
      <c r="B659" s="6">
        <v>45930</v>
      </c>
      <c r="C659" s="7" t="s">
        <v>42</v>
      </c>
      <c r="D659" s="7" t="s">
        <v>52</v>
      </c>
      <c r="E659" s="7" t="s">
        <v>46</v>
      </c>
      <c r="F659" s="7" t="s">
        <v>29</v>
      </c>
      <c r="G659" s="7" t="s">
        <v>56</v>
      </c>
      <c r="H659" s="7" t="s">
        <v>24</v>
      </c>
      <c r="I659" s="7">
        <v>50</v>
      </c>
      <c r="J659" s="7">
        <v>92</v>
      </c>
      <c r="K659" s="20">
        <v>44709.13</v>
      </c>
      <c r="L659" s="20">
        <v>247.11</v>
      </c>
      <c r="M659" s="7">
        <v>178.09</v>
      </c>
      <c r="N659" s="20">
        <f>Table15[[#This Row],[Processing Fee]]-Table15[[#This Row],[Discount Applied]]</f>
        <v>69.02000000000001</v>
      </c>
      <c r="O659" s="7" t="str">
        <f>IF(Table15[[#This Row],[Revenue]]&gt;35000,"Achieved","Not Achieved")</f>
        <v>Achieved</v>
      </c>
      <c r="P659" s="8">
        <v>5</v>
      </c>
      <c r="Q659" s="7" t="str">
        <f>IF(AND(Table15[[#This Row],[CSAT Score]]&lt;=3,Table15[[#This Row],[Revenue]]&gt;=20000),"High-Risk","Stable")</f>
        <v>Stable</v>
      </c>
      <c r="R659" s="8" t="str" cm="1">
        <f t="array" ref="R659">_xlfn.IFS(Table15[[#This Row],[Revenue]]&gt;=35000,"Platinum",Table15[[#This Row],[Revenue]]&gt;=15000,"Gold",TRUE,"Standard")</f>
        <v>Platinum</v>
      </c>
      <c r="S659" s="8" t="str">
        <f>IF(OR(Table15[[#This Row],[Product]]="Wealth Management",Table15[[#This Row],[Revenue]]&gt;=40000),"Yes","No")</f>
        <v>Yes</v>
      </c>
    </row>
    <row r="660" spans="1:19" x14ac:dyDescent="0.3">
      <c r="A660" s="5" t="s">
        <v>718</v>
      </c>
      <c r="B660" s="6">
        <v>46101</v>
      </c>
      <c r="C660" s="7" t="s">
        <v>26</v>
      </c>
      <c r="D660" s="7" t="s">
        <v>68</v>
      </c>
      <c r="E660" s="7" t="s">
        <v>28</v>
      </c>
      <c r="F660" s="7" t="s">
        <v>29</v>
      </c>
      <c r="G660" s="7" t="s">
        <v>56</v>
      </c>
      <c r="H660" s="7" t="s">
        <v>53</v>
      </c>
      <c r="I660" s="7">
        <v>72</v>
      </c>
      <c r="J660" s="7">
        <v>65</v>
      </c>
      <c r="K660" s="20">
        <v>34626.15</v>
      </c>
      <c r="L660" s="20">
        <v>233.93</v>
      </c>
      <c r="M660" s="7">
        <v>113.86</v>
      </c>
      <c r="N660" s="20">
        <f>Table15[[#This Row],[Processing Fee]]-Table15[[#This Row],[Discount Applied]]</f>
        <v>120.07000000000001</v>
      </c>
      <c r="O660" s="7" t="str">
        <f>IF(Table15[[#This Row],[Revenue]]&gt;35000,"Achieved","Not Achieved")</f>
        <v>Not Achieved</v>
      </c>
      <c r="P660" s="8">
        <v>5</v>
      </c>
      <c r="Q660" s="7" t="str">
        <f>IF(AND(Table15[[#This Row],[CSAT Score]]&lt;=3,Table15[[#This Row],[Revenue]]&gt;=20000),"High-Risk","Stable")</f>
        <v>Stable</v>
      </c>
      <c r="R660" s="8" t="str" cm="1">
        <f t="array" ref="R660">_xlfn.IFS(Table15[[#This Row],[Revenue]]&gt;=35000,"Platinum",Table15[[#This Row],[Revenue]]&gt;=15000,"Gold",TRUE,"Standard")</f>
        <v>Gold</v>
      </c>
      <c r="S660" s="8" t="str">
        <f>IF(OR(Table15[[#This Row],[Product]]="Wealth Management",Table15[[#This Row],[Revenue]]&gt;=40000),"Yes","No")</f>
        <v>No</v>
      </c>
    </row>
    <row r="661" spans="1:19" x14ac:dyDescent="0.3">
      <c r="A661" s="5" t="s">
        <v>719</v>
      </c>
      <c r="B661" s="6">
        <v>46185</v>
      </c>
      <c r="C661" s="7" t="s">
        <v>55</v>
      </c>
      <c r="D661" s="7" t="s">
        <v>45</v>
      </c>
      <c r="E661" s="7" t="s">
        <v>59</v>
      </c>
      <c r="F661" s="7" t="s">
        <v>29</v>
      </c>
      <c r="G661" s="7" t="s">
        <v>36</v>
      </c>
      <c r="H661" s="7" t="s">
        <v>31</v>
      </c>
      <c r="I661" s="7">
        <v>49</v>
      </c>
      <c r="J661" s="7">
        <v>100</v>
      </c>
      <c r="K661" s="20">
        <v>14548</v>
      </c>
      <c r="L661" s="20">
        <v>243.01</v>
      </c>
      <c r="M661" s="7">
        <v>243.57</v>
      </c>
      <c r="N661" s="20">
        <f>Table15[[#This Row],[Processing Fee]]-Table15[[#This Row],[Discount Applied]]</f>
        <v>-0.56000000000000227</v>
      </c>
      <c r="O661" s="7" t="str">
        <f>IF(Table15[[#This Row],[Revenue]]&gt;35000,"Achieved","Not Achieved")</f>
        <v>Not Achieved</v>
      </c>
      <c r="P661" s="8">
        <v>3</v>
      </c>
      <c r="Q661" s="7" t="str">
        <f>IF(AND(Table15[[#This Row],[CSAT Score]]&lt;=3,Table15[[#This Row],[Revenue]]&gt;=20000),"High-Risk","Stable")</f>
        <v>Stable</v>
      </c>
      <c r="R661" s="8" t="str" cm="1">
        <f t="array" ref="R661">_xlfn.IFS(Table15[[#This Row],[Revenue]]&gt;=35000,"Platinum",Table15[[#This Row],[Revenue]]&gt;=15000,"Gold",TRUE,"Standard")</f>
        <v>Standard</v>
      </c>
      <c r="S661" s="8" t="str">
        <f>IF(OR(Table15[[#This Row],[Product]]="Wealth Management",Table15[[#This Row],[Revenue]]&gt;=40000),"Yes","No")</f>
        <v>No</v>
      </c>
    </row>
    <row r="662" spans="1:19" x14ac:dyDescent="0.3">
      <c r="A662" s="5" t="s">
        <v>720</v>
      </c>
      <c r="B662" s="6">
        <v>46107</v>
      </c>
      <c r="C662" s="7" t="s">
        <v>44</v>
      </c>
      <c r="D662" s="7" t="s">
        <v>34</v>
      </c>
      <c r="E662" s="7" t="s">
        <v>21</v>
      </c>
      <c r="F662" s="7" t="s">
        <v>35</v>
      </c>
      <c r="G662" s="7" t="s">
        <v>65</v>
      </c>
      <c r="H662" s="7" t="s">
        <v>57</v>
      </c>
      <c r="I662" s="7">
        <v>65</v>
      </c>
      <c r="J662" s="7">
        <v>74</v>
      </c>
      <c r="K662" s="20">
        <v>34846.230000000003</v>
      </c>
      <c r="L662" s="20">
        <v>313.5</v>
      </c>
      <c r="M662" s="7">
        <v>161.59</v>
      </c>
      <c r="N662" s="20">
        <f>Table15[[#This Row],[Processing Fee]]-Table15[[#This Row],[Discount Applied]]</f>
        <v>151.91</v>
      </c>
      <c r="O662" s="7" t="str">
        <f>IF(Table15[[#This Row],[Revenue]]&gt;35000,"Achieved","Not Achieved")</f>
        <v>Not Achieved</v>
      </c>
      <c r="P662" s="8">
        <v>3</v>
      </c>
      <c r="Q662" s="7" t="str">
        <f>IF(AND(Table15[[#This Row],[CSAT Score]]&lt;=3,Table15[[#This Row],[Revenue]]&gt;=20000),"High-Risk","Stable")</f>
        <v>High-Risk</v>
      </c>
      <c r="R662" s="8" t="str" cm="1">
        <f t="array" ref="R662">_xlfn.IFS(Table15[[#This Row],[Revenue]]&gt;=35000,"Platinum",Table15[[#This Row],[Revenue]]&gt;=15000,"Gold",TRUE,"Standard")</f>
        <v>Gold</v>
      </c>
      <c r="S662" s="8" t="str">
        <f>IF(OR(Table15[[#This Row],[Product]]="Wealth Management",Table15[[#This Row],[Revenue]]&gt;=40000),"Yes","No")</f>
        <v>No</v>
      </c>
    </row>
    <row r="663" spans="1:19" x14ac:dyDescent="0.3">
      <c r="A663" s="5" t="s">
        <v>721</v>
      </c>
      <c r="B663" s="6">
        <v>45920</v>
      </c>
      <c r="C663" s="7" t="s">
        <v>42</v>
      </c>
      <c r="D663" s="7" t="s">
        <v>87</v>
      </c>
      <c r="E663" s="7" t="s">
        <v>46</v>
      </c>
      <c r="F663" s="7" t="s">
        <v>69</v>
      </c>
      <c r="G663" s="7" t="s">
        <v>23</v>
      </c>
      <c r="H663" s="7" t="s">
        <v>24</v>
      </c>
      <c r="I663" s="7">
        <v>35</v>
      </c>
      <c r="J663" s="7">
        <v>64</v>
      </c>
      <c r="K663" s="20">
        <v>15637.77</v>
      </c>
      <c r="L663" s="20">
        <v>284.52999999999997</v>
      </c>
      <c r="M663" s="7">
        <v>37.97</v>
      </c>
      <c r="N663" s="20">
        <f>Table15[[#This Row],[Processing Fee]]-Table15[[#This Row],[Discount Applied]]</f>
        <v>246.55999999999997</v>
      </c>
      <c r="O663" s="7" t="str">
        <f>IF(Table15[[#This Row],[Revenue]]&gt;35000,"Achieved","Not Achieved")</f>
        <v>Not Achieved</v>
      </c>
      <c r="P663" s="8">
        <v>1</v>
      </c>
      <c r="Q663" s="7" t="str">
        <f>IF(AND(Table15[[#This Row],[CSAT Score]]&lt;=3,Table15[[#This Row],[Revenue]]&gt;=20000),"High-Risk","Stable")</f>
        <v>Stable</v>
      </c>
      <c r="R663" s="8" t="str" cm="1">
        <f t="array" ref="R663">_xlfn.IFS(Table15[[#This Row],[Revenue]]&gt;=35000,"Platinum",Table15[[#This Row],[Revenue]]&gt;=15000,"Gold",TRUE,"Standard")</f>
        <v>Gold</v>
      </c>
      <c r="S663" s="8" t="str">
        <f>IF(OR(Table15[[#This Row],[Product]]="Wealth Management",Table15[[#This Row],[Revenue]]&gt;=40000),"Yes","No")</f>
        <v>No</v>
      </c>
    </row>
    <row r="664" spans="1:19" x14ac:dyDescent="0.3">
      <c r="A664" s="5" t="s">
        <v>722</v>
      </c>
      <c r="B664" s="6">
        <v>45985</v>
      </c>
      <c r="C664" s="7" t="s">
        <v>33</v>
      </c>
      <c r="D664" s="7" t="s">
        <v>34</v>
      </c>
      <c r="E664" s="7" t="s">
        <v>28</v>
      </c>
      <c r="F664" s="7" t="s">
        <v>35</v>
      </c>
      <c r="G664" s="7" t="s">
        <v>65</v>
      </c>
      <c r="H664" s="7" t="s">
        <v>31</v>
      </c>
      <c r="I664" s="7">
        <v>66</v>
      </c>
      <c r="J664" s="7">
        <v>43</v>
      </c>
      <c r="K664" s="20">
        <v>38082.33</v>
      </c>
      <c r="L664" s="20">
        <v>117.4</v>
      </c>
      <c r="M664" s="7">
        <v>33.04</v>
      </c>
      <c r="N664" s="20">
        <f>Table15[[#This Row],[Processing Fee]]-Table15[[#This Row],[Discount Applied]]</f>
        <v>84.360000000000014</v>
      </c>
      <c r="O664" s="7" t="str">
        <f>IF(Table15[[#This Row],[Revenue]]&gt;35000,"Achieved","Not Achieved")</f>
        <v>Achieved</v>
      </c>
      <c r="P664" s="8">
        <v>3</v>
      </c>
      <c r="Q664" s="7" t="str">
        <f>IF(AND(Table15[[#This Row],[CSAT Score]]&lt;=3,Table15[[#This Row],[Revenue]]&gt;=20000),"High-Risk","Stable")</f>
        <v>High-Risk</v>
      </c>
      <c r="R664" s="8" t="str" cm="1">
        <f t="array" ref="R664">_xlfn.IFS(Table15[[#This Row],[Revenue]]&gt;=35000,"Platinum",Table15[[#This Row],[Revenue]]&gt;=15000,"Gold",TRUE,"Standard")</f>
        <v>Platinum</v>
      </c>
      <c r="S664" s="8" t="str">
        <f>IF(OR(Table15[[#This Row],[Product]]="Wealth Management",Table15[[#This Row],[Revenue]]&gt;=40000),"Yes","No")</f>
        <v>No</v>
      </c>
    </row>
    <row r="665" spans="1:19" x14ac:dyDescent="0.3">
      <c r="A665" s="5" t="s">
        <v>723</v>
      </c>
      <c r="B665" s="6">
        <v>45908</v>
      </c>
      <c r="C665" s="7" t="s">
        <v>75</v>
      </c>
      <c r="D665" s="7" t="s">
        <v>48</v>
      </c>
      <c r="E665" s="7" t="s">
        <v>39</v>
      </c>
      <c r="F665" s="7" t="s">
        <v>29</v>
      </c>
      <c r="G665" s="7" t="s">
        <v>30</v>
      </c>
      <c r="H665" s="7" t="s">
        <v>57</v>
      </c>
      <c r="I665" s="7">
        <v>45</v>
      </c>
      <c r="J665" s="7">
        <v>17</v>
      </c>
      <c r="K665" s="20">
        <v>31177.52</v>
      </c>
      <c r="L665" s="20">
        <v>79.510000000000005</v>
      </c>
      <c r="M665" s="7">
        <v>144.26</v>
      </c>
      <c r="N665" s="20">
        <f>Table15[[#This Row],[Processing Fee]]-Table15[[#This Row],[Discount Applied]]</f>
        <v>-64.749999999999986</v>
      </c>
      <c r="O665" s="7" t="str">
        <f>IF(Table15[[#This Row],[Revenue]]&gt;35000,"Achieved","Not Achieved")</f>
        <v>Not Achieved</v>
      </c>
      <c r="P665" s="8">
        <v>3</v>
      </c>
      <c r="Q665" s="7" t="str">
        <f>IF(AND(Table15[[#This Row],[CSAT Score]]&lt;=3,Table15[[#This Row],[Revenue]]&gt;=20000),"High-Risk","Stable")</f>
        <v>High-Risk</v>
      </c>
      <c r="R665" s="8" t="str" cm="1">
        <f t="array" ref="R665">_xlfn.IFS(Table15[[#This Row],[Revenue]]&gt;=35000,"Platinum",Table15[[#This Row],[Revenue]]&gt;=15000,"Gold",TRUE,"Standard")</f>
        <v>Gold</v>
      </c>
      <c r="S665" s="8" t="str">
        <f>IF(OR(Table15[[#This Row],[Product]]="Wealth Management",Table15[[#This Row],[Revenue]]&gt;=40000),"Yes","No")</f>
        <v>No</v>
      </c>
    </row>
    <row r="666" spans="1:19" x14ac:dyDescent="0.3">
      <c r="A666" s="5" t="s">
        <v>724</v>
      </c>
      <c r="B666" s="6">
        <v>46137</v>
      </c>
      <c r="C666" s="7" t="s">
        <v>91</v>
      </c>
      <c r="D666" s="7" t="s">
        <v>38</v>
      </c>
      <c r="E666" s="7" t="s">
        <v>59</v>
      </c>
      <c r="F666" s="7" t="s">
        <v>22</v>
      </c>
      <c r="G666" s="7" t="s">
        <v>65</v>
      </c>
      <c r="H666" s="7" t="s">
        <v>31</v>
      </c>
      <c r="I666" s="7">
        <v>71</v>
      </c>
      <c r="J666" s="7">
        <v>59</v>
      </c>
      <c r="K666" s="20">
        <v>4331.87</v>
      </c>
      <c r="L666" s="20">
        <v>378.24</v>
      </c>
      <c r="M666" s="7">
        <v>46.94</v>
      </c>
      <c r="N666" s="20">
        <f>Table15[[#This Row],[Processing Fee]]-Table15[[#This Row],[Discount Applied]]</f>
        <v>331.3</v>
      </c>
      <c r="O666" s="7" t="str">
        <f>IF(Table15[[#This Row],[Revenue]]&gt;35000,"Achieved","Not Achieved")</f>
        <v>Not Achieved</v>
      </c>
      <c r="P666" s="8">
        <v>1</v>
      </c>
      <c r="Q666" s="7" t="str">
        <f>IF(AND(Table15[[#This Row],[CSAT Score]]&lt;=3,Table15[[#This Row],[Revenue]]&gt;=20000),"High-Risk","Stable")</f>
        <v>Stable</v>
      </c>
      <c r="R666" s="8" t="str" cm="1">
        <f t="array" ref="R666">_xlfn.IFS(Table15[[#This Row],[Revenue]]&gt;=35000,"Platinum",Table15[[#This Row],[Revenue]]&gt;=15000,"Gold",TRUE,"Standard")</f>
        <v>Standard</v>
      </c>
      <c r="S666" s="8" t="str">
        <f>IF(OR(Table15[[#This Row],[Product]]="Wealth Management",Table15[[#This Row],[Revenue]]&gt;=40000),"Yes","No")</f>
        <v>Yes</v>
      </c>
    </row>
    <row r="667" spans="1:19" x14ac:dyDescent="0.3">
      <c r="A667" s="5" t="s">
        <v>725</v>
      </c>
      <c r="B667" s="6">
        <v>45930</v>
      </c>
      <c r="C667" s="7" t="s">
        <v>33</v>
      </c>
      <c r="D667" s="7" t="s">
        <v>34</v>
      </c>
      <c r="E667" s="7" t="s">
        <v>28</v>
      </c>
      <c r="F667" s="7" t="s">
        <v>40</v>
      </c>
      <c r="G667" s="7" t="s">
        <v>56</v>
      </c>
      <c r="H667" s="7" t="s">
        <v>24</v>
      </c>
      <c r="I667" s="7">
        <v>58</v>
      </c>
      <c r="J667" s="7">
        <v>23</v>
      </c>
      <c r="K667" s="20">
        <v>25885.35</v>
      </c>
      <c r="L667" s="20">
        <v>301.87</v>
      </c>
      <c r="M667" s="7">
        <v>169.99</v>
      </c>
      <c r="N667" s="20">
        <f>Table15[[#This Row],[Processing Fee]]-Table15[[#This Row],[Discount Applied]]</f>
        <v>131.88</v>
      </c>
      <c r="O667" s="7" t="str">
        <f>IF(Table15[[#This Row],[Revenue]]&gt;35000,"Achieved","Not Achieved")</f>
        <v>Not Achieved</v>
      </c>
      <c r="P667" s="8">
        <v>1</v>
      </c>
      <c r="Q667" s="7" t="str">
        <f>IF(AND(Table15[[#This Row],[CSAT Score]]&lt;=3,Table15[[#This Row],[Revenue]]&gt;=20000),"High-Risk","Stable")</f>
        <v>High-Risk</v>
      </c>
      <c r="R667" s="8" t="str" cm="1">
        <f t="array" ref="R667">_xlfn.IFS(Table15[[#This Row],[Revenue]]&gt;=35000,"Platinum",Table15[[#This Row],[Revenue]]&gt;=15000,"Gold",TRUE,"Standard")</f>
        <v>Gold</v>
      </c>
      <c r="S667" s="8" t="str">
        <f>IF(OR(Table15[[#This Row],[Product]]="Wealth Management",Table15[[#This Row],[Revenue]]&gt;=40000),"Yes","No")</f>
        <v>No</v>
      </c>
    </row>
    <row r="668" spans="1:19" x14ac:dyDescent="0.3">
      <c r="A668" s="5" t="s">
        <v>726</v>
      </c>
      <c r="B668" s="6">
        <v>45921</v>
      </c>
      <c r="C668" s="7" t="s">
        <v>75</v>
      </c>
      <c r="D668" s="7" t="s">
        <v>48</v>
      </c>
      <c r="E668" s="7" t="s">
        <v>39</v>
      </c>
      <c r="F668" s="7" t="s">
        <v>35</v>
      </c>
      <c r="G668" s="7" t="s">
        <v>23</v>
      </c>
      <c r="H668" s="7" t="s">
        <v>24</v>
      </c>
      <c r="I668" s="7">
        <v>62</v>
      </c>
      <c r="J668" s="7">
        <v>7</v>
      </c>
      <c r="K668" s="20">
        <v>17493.400000000001</v>
      </c>
      <c r="L668" s="20">
        <v>211.55</v>
      </c>
      <c r="M668" s="7">
        <v>145.24</v>
      </c>
      <c r="N668" s="20">
        <f>Table15[[#This Row],[Processing Fee]]-Table15[[#This Row],[Discount Applied]]</f>
        <v>66.31</v>
      </c>
      <c r="O668" s="7" t="str">
        <f>IF(Table15[[#This Row],[Revenue]]&gt;35000,"Achieved","Not Achieved")</f>
        <v>Not Achieved</v>
      </c>
      <c r="P668" s="8">
        <v>3</v>
      </c>
      <c r="Q668" s="7" t="str">
        <f>IF(AND(Table15[[#This Row],[CSAT Score]]&lt;=3,Table15[[#This Row],[Revenue]]&gt;=20000),"High-Risk","Stable")</f>
        <v>Stable</v>
      </c>
      <c r="R668" s="8" t="str" cm="1">
        <f t="array" ref="R668">_xlfn.IFS(Table15[[#This Row],[Revenue]]&gt;=35000,"Platinum",Table15[[#This Row],[Revenue]]&gt;=15000,"Gold",TRUE,"Standard")</f>
        <v>Gold</v>
      </c>
      <c r="S668" s="8" t="str">
        <f>IF(OR(Table15[[#This Row],[Product]]="Wealth Management",Table15[[#This Row],[Revenue]]&gt;=40000),"Yes","No")</f>
        <v>No</v>
      </c>
    </row>
    <row r="669" spans="1:19" x14ac:dyDescent="0.3">
      <c r="A669" s="5" t="s">
        <v>727</v>
      </c>
      <c r="B669" s="6">
        <v>45980</v>
      </c>
      <c r="C669" s="7" t="s">
        <v>26</v>
      </c>
      <c r="D669" s="7" t="s">
        <v>20</v>
      </c>
      <c r="E669" s="7" t="s">
        <v>28</v>
      </c>
      <c r="F669" s="7" t="s">
        <v>35</v>
      </c>
      <c r="G669" s="7" t="s">
        <v>65</v>
      </c>
      <c r="H669" s="7" t="s">
        <v>31</v>
      </c>
      <c r="I669" s="7">
        <v>67</v>
      </c>
      <c r="J669" s="7">
        <v>44</v>
      </c>
      <c r="K669" s="20">
        <v>16764.25</v>
      </c>
      <c r="L669" s="20">
        <v>413.76</v>
      </c>
      <c r="M669" s="7">
        <v>252.56</v>
      </c>
      <c r="N669" s="20">
        <f>Table15[[#This Row],[Processing Fee]]-Table15[[#This Row],[Discount Applied]]</f>
        <v>161.19999999999999</v>
      </c>
      <c r="O669" s="7" t="str">
        <f>IF(Table15[[#This Row],[Revenue]]&gt;35000,"Achieved","Not Achieved")</f>
        <v>Not Achieved</v>
      </c>
      <c r="P669" s="8">
        <v>5</v>
      </c>
      <c r="Q669" s="7" t="str">
        <f>IF(AND(Table15[[#This Row],[CSAT Score]]&lt;=3,Table15[[#This Row],[Revenue]]&gt;=20000),"High-Risk","Stable")</f>
        <v>Stable</v>
      </c>
      <c r="R669" s="8" t="str" cm="1">
        <f t="array" ref="R669">_xlfn.IFS(Table15[[#This Row],[Revenue]]&gt;=35000,"Platinum",Table15[[#This Row],[Revenue]]&gt;=15000,"Gold",TRUE,"Standard")</f>
        <v>Gold</v>
      </c>
      <c r="S669" s="8" t="str">
        <f>IF(OR(Table15[[#This Row],[Product]]="Wealth Management",Table15[[#This Row],[Revenue]]&gt;=40000),"Yes","No")</f>
        <v>No</v>
      </c>
    </row>
    <row r="670" spans="1:19" x14ac:dyDescent="0.3">
      <c r="A670" s="5" t="s">
        <v>728</v>
      </c>
      <c r="B670" s="6">
        <v>46067</v>
      </c>
      <c r="C670" s="7" t="s">
        <v>33</v>
      </c>
      <c r="D670" s="7" t="s">
        <v>20</v>
      </c>
      <c r="E670" s="7" t="s">
        <v>46</v>
      </c>
      <c r="F670" s="7" t="s">
        <v>69</v>
      </c>
      <c r="G670" s="7" t="s">
        <v>23</v>
      </c>
      <c r="H670" s="7" t="s">
        <v>53</v>
      </c>
      <c r="I670" s="7">
        <v>73</v>
      </c>
      <c r="J670" s="7">
        <v>53</v>
      </c>
      <c r="K670" s="20">
        <v>30311.69</v>
      </c>
      <c r="L670" s="20">
        <v>224.63</v>
      </c>
      <c r="M670" s="7">
        <v>59.8</v>
      </c>
      <c r="N670" s="20">
        <f>Table15[[#This Row],[Processing Fee]]-Table15[[#This Row],[Discount Applied]]</f>
        <v>164.82999999999998</v>
      </c>
      <c r="O670" s="7" t="str">
        <f>IF(Table15[[#This Row],[Revenue]]&gt;35000,"Achieved","Not Achieved")</f>
        <v>Not Achieved</v>
      </c>
      <c r="P670" s="8">
        <v>3</v>
      </c>
      <c r="Q670" s="7" t="str">
        <f>IF(AND(Table15[[#This Row],[CSAT Score]]&lt;=3,Table15[[#This Row],[Revenue]]&gt;=20000),"High-Risk","Stable")</f>
        <v>High-Risk</v>
      </c>
      <c r="R670" s="8" t="str" cm="1">
        <f t="array" ref="R670">_xlfn.IFS(Table15[[#This Row],[Revenue]]&gt;=35000,"Platinum",Table15[[#This Row],[Revenue]]&gt;=15000,"Gold",TRUE,"Standard")</f>
        <v>Gold</v>
      </c>
      <c r="S670" s="8" t="str">
        <f>IF(OR(Table15[[#This Row],[Product]]="Wealth Management",Table15[[#This Row],[Revenue]]&gt;=40000),"Yes","No")</f>
        <v>No</v>
      </c>
    </row>
    <row r="671" spans="1:19" x14ac:dyDescent="0.3">
      <c r="A671" s="5" t="s">
        <v>729</v>
      </c>
      <c r="B671" s="6">
        <v>45959</v>
      </c>
      <c r="C671" s="7" t="s">
        <v>19</v>
      </c>
      <c r="D671" s="7" t="s">
        <v>52</v>
      </c>
      <c r="E671" s="7" t="s">
        <v>46</v>
      </c>
      <c r="F671" s="7" t="s">
        <v>69</v>
      </c>
      <c r="G671" s="7" t="s">
        <v>23</v>
      </c>
      <c r="H671" s="7" t="s">
        <v>31</v>
      </c>
      <c r="I671" s="7">
        <v>74</v>
      </c>
      <c r="J671" s="7">
        <v>71</v>
      </c>
      <c r="K671" s="20">
        <v>16455.080000000002</v>
      </c>
      <c r="L671" s="20">
        <v>408.18</v>
      </c>
      <c r="M671" s="7">
        <v>94.98</v>
      </c>
      <c r="N671" s="20">
        <f>Table15[[#This Row],[Processing Fee]]-Table15[[#This Row],[Discount Applied]]</f>
        <v>313.2</v>
      </c>
      <c r="O671" s="7" t="str">
        <f>IF(Table15[[#This Row],[Revenue]]&gt;35000,"Achieved","Not Achieved")</f>
        <v>Not Achieved</v>
      </c>
      <c r="P671" s="8">
        <v>4</v>
      </c>
      <c r="Q671" s="7" t="str">
        <f>IF(AND(Table15[[#This Row],[CSAT Score]]&lt;=3,Table15[[#This Row],[Revenue]]&gt;=20000),"High-Risk","Stable")</f>
        <v>Stable</v>
      </c>
      <c r="R671" s="8" t="str" cm="1">
        <f t="array" ref="R671">_xlfn.IFS(Table15[[#This Row],[Revenue]]&gt;=35000,"Platinum",Table15[[#This Row],[Revenue]]&gt;=15000,"Gold",TRUE,"Standard")</f>
        <v>Gold</v>
      </c>
      <c r="S671" s="8" t="str">
        <f>IF(OR(Table15[[#This Row],[Product]]="Wealth Management",Table15[[#This Row],[Revenue]]&gt;=40000),"Yes","No")</f>
        <v>No</v>
      </c>
    </row>
    <row r="672" spans="1:19" x14ac:dyDescent="0.3">
      <c r="A672" s="5" t="s">
        <v>730</v>
      </c>
      <c r="B672" s="6">
        <v>46162</v>
      </c>
      <c r="C672" s="7" t="s">
        <v>91</v>
      </c>
      <c r="D672" s="7" t="s">
        <v>27</v>
      </c>
      <c r="E672" s="7" t="s">
        <v>46</v>
      </c>
      <c r="F672" s="7" t="s">
        <v>35</v>
      </c>
      <c r="G672" s="7" t="s">
        <v>30</v>
      </c>
      <c r="H672" s="7" t="s">
        <v>57</v>
      </c>
      <c r="I672" s="7">
        <v>72</v>
      </c>
      <c r="J672" s="7">
        <v>108</v>
      </c>
      <c r="K672" s="20">
        <v>38956.239999999998</v>
      </c>
      <c r="L672" s="20">
        <v>187.59</v>
      </c>
      <c r="M672" s="7">
        <v>134.24</v>
      </c>
      <c r="N672" s="20">
        <f>Table15[[#This Row],[Processing Fee]]-Table15[[#This Row],[Discount Applied]]</f>
        <v>53.349999999999994</v>
      </c>
      <c r="O672" s="7" t="str">
        <f>IF(Table15[[#This Row],[Revenue]]&gt;35000,"Achieved","Not Achieved")</f>
        <v>Achieved</v>
      </c>
      <c r="P672" s="8">
        <v>4</v>
      </c>
      <c r="Q672" s="7" t="str">
        <f>IF(AND(Table15[[#This Row],[CSAT Score]]&lt;=3,Table15[[#This Row],[Revenue]]&gt;=20000),"High-Risk","Stable")</f>
        <v>Stable</v>
      </c>
      <c r="R672" s="8" t="str" cm="1">
        <f t="array" ref="R672">_xlfn.IFS(Table15[[#This Row],[Revenue]]&gt;=35000,"Platinum",Table15[[#This Row],[Revenue]]&gt;=15000,"Gold",TRUE,"Standard")</f>
        <v>Platinum</v>
      </c>
      <c r="S672" s="8" t="str">
        <f>IF(OR(Table15[[#This Row],[Product]]="Wealth Management",Table15[[#This Row],[Revenue]]&gt;=40000),"Yes","No")</f>
        <v>No</v>
      </c>
    </row>
    <row r="673" spans="1:19" x14ac:dyDescent="0.3">
      <c r="A673" s="5" t="s">
        <v>731</v>
      </c>
      <c r="B673" s="6">
        <v>46118</v>
      </c>
      <c r="C673" s="7" t="s">
        <v>75</v>
      </c>
      <c r="D673" s="7" t="s">
        <v>50</v>
      </c>
      <c r="E673" s="7" t="s">
        <v>59</v>
      </c>
      <c r="F673" s="7" t="s">
        <v>29</v>
      </c>
      <c r="G673" s="7" t="s">
        <v>30</v>
      </c>
      <c r="H673" s="7" t="s">
        <v>53</v>
      </c>
      <c r="I673" s="7">
        <v>58</v>
      </c>
      <c r="J673" s="7">
        <v>79</v>
      </c>
      <c r="K673" s="20">
        <v>4004.18</v>
      </c>
      <c r="L673" s="20">
        <v>82.78</v>
      </c>
      <c r="M673" s="7">
        <v>6.29</v>
      </c>
      <c r="N673" s="20">
        <f>Table15[[#This Row],[Processing Fee]]-Table15[[#This Row],[Discount Applied]]</f>
        <v>76.489999999999995</v>
      </c>
      <c r="O673" s="7" t="str">
        <f>IF(Table15[[#This Row],[Revenue]]&gt;35000,"Achieved","Not Achieved")</f>
        <v>Not Achieved</v>
      </c>
      <c r="P673" s="8">
        <v>4</v>
      </c>
      <c r="Q673" s="7" t="str">
        <f>IF(AND(Table15[[#This Row],[CSAT Score]]&lt;=3,Table15[[#This Row],[Revenue]]&gt;=20000),"High-Risk","Stable")</f>
        <v>Stable</v>
      </c>
      <c r="R673" s="8" t="str" cm="1">
        <f t="array" ref="R673">_xlfn.IFS(Table15[[#This Row],[Revenue]]&gt;=35000,"Platinum",Table15[[#This Row],[Revenue]]&gt;=15000,"Gold",TRUE,"Standard")</f>
        <v>Standard</v>
      </c>
      <c r="S673" s="8" t="str">
        <f>IF(OR(Table15[[#This Row],[Product]]="Wealth Management",Table15[[#This Row],[Revenue]]&gt;=40000),"Yes","No")</f>
        <v>No</v>
      </c>
    </row>
    <row r="674" spans="1:19" x14ac:dyDescent="0.3">
      <c r="A674" s="5" t="s">
        <v>732</v>
      </c>
      <c r="B674" s="6">
        <v>46119</v>
      </c>
      <c r="C674" s="7" t="s">
        <v>75</v>
      </c>
      <c r="D674" s="7" t="s">
        <v>79</v>
      </c>
      <c r="E674" s="7" t="s">
        <v>46</v>
      </c>
      <c r="F674" s="7" t="s">
        <v>40</v>
      </c>
      <c r="G674" s="7" t="s">
        <v>56</v>
      </c>
      <c r="H674" s="7" t="s">
        <v>57</v>
      </c>
      <c r="I674" s="7">
        <v>43</v>
      </c>
      <c r="J674" s="7">
        <v>34</v>
      </c>
      <c r="K674" s="20">
        <v>33189.22</v>
      </c>
      <c r="L674" s="20">
        <v>469.69</v>
      </c>
      <c r="M674" s="7">
        <v>145.30000000000001</v>
      </c>
      <c r="N674" s="20">
        <f>Table15[[#This Row],[Processing Fee]]-Table15[[#This Row],[Discount Applied]]</f>
        <v>324.39</v>
      </c>
      <c r="O674" s="7" t="str">
        <f>IF(Table15[[#This Row],[Revenue]]&gt;35000,"Achieved","Not Achieved")</f>
        <v>Not Achieved</v>
      </c>
      <c r="P674" s="8">
        <v>2</v>
      </c>
      <c r="Q674" s="7" t="str">
        <f>IF(AND(Table15[[#This Row],[CSAT Score]]&lt;=3,Table15[[#This Row],[Revenue]]&gt;=20000),"High-Risk","Stable")</f>
        <v>High-Risk</v>
      </c>
      <c r="R674" s="8" t="str" cm="1">
        <f t="array" ref="R674">_xlfn.IFS(Table15[[#This Row],[Revenue]]&gt;=35000,"Platinum",Table15[[#This Row],[Revenue]]&gt;=15000,"Gold",TRUE,"Standard")</f>
        <v>Gold</v>
      </c>
      <c r="S674" s="8" t="str">
        <f>IF(OR(Table15[[#This Row],[Product]]="Wealth Management",Table15[[#This Row],[Revenue]]&gt;=40000),"Yes","No")</f>
        <v>No</v>
      </c>
    </row>
    <row r="675" spans="1:19" x14ac:dyDescent="0.3">
      <c r="A675" s="5" t="s">
        <v>733</v>
      </c>
      <c r="B675" s="6">
        <v>46176</v>
      </c>
      <c r="C675" s="7" t="s">
        <v>75</v>
      </c>
      <c r="D675" s="7" t="s">
        <v>34</v>
      </c>
      <c r="E675" s="7" t="s">
        <v>39</v>
      </c>
      <c r="F675" s="7" t="s">
        <v>69</v>
      </c>
      <c r="G675" s="7" t="s">
        <v>36</v>
      </c>
      <c r="H675" s="7" t="s">
        <v>31</v>
      </c>
      <c r="I675" s="7">
        <v>45</v>
      </c>
      <c r="J675" s="7">
        <v>46</v>
      </c>
      <c r="K675" s="20">
        <v>40555.14</v>
      </c>
      <c r="L675" s="20">
        <v>227.55</v>
      </c>
      <c r="M675" s="7">
        <v>250.74</v>
      </c>
      <c r="N675" s="20">
        <f>Table15[[#This Row],[Processing Fee]]-Table15[[#This Row],[Discount Applied]]</f>
        <v>-23.189999999999998</v>
      </c>
      <c r="O675" s="7" t="str">
        <f>IF(Table15[[#This Row],[Revenue]]&gt;35000,"Achieved","Not Achieved")</f>
        <v>Achieved</v>
      </c>
      <c r="P675" s="8">
        <v>4</v>
      </c>
      <c r="Q675" s="7" t="str">
        <f>IF(AND(Table15[[#This Row],[CSAT Score]]&lt;=3,Table15[[#This Row],[Revenue]]&gt;=20000),"High-Risk","Stable")</f>
        <v>Stable</v>
      </c>
      <c r="R675" s="8" t="str" cm="1">
        <f t="array" ref="R675">_xlfn.IFS(Table15[[#This Row],[Revenue]]&gt;=35000,"Platinum",Table15[[#This Row],[Revenue]]&gt;=15000,"Gold",TRUE,"Standard")</f>
        <v>Platinum</v>
      </c>
      <c r="S675" s="8" t="str">
        <f>IF(OR(Table15[[#This Row],[Product]]="Wealth Management",Table15[[#This Row],[Revenue]]&gt;=40000),"Yes","No")</f>
        <v>Yes</v>
      </c>
    </row>
    <row r="676" spans="1:19" x14ac:dyDescent="0.3">
      <c r="A676" s="5" t="s">
        <v>734</v>
      </c>
      <c r="B676" s="6">
        <v>45900</v>
      </c>
      <c r="C676" s="7" t="s">
        <v>26</v>
      </c>
      <c r="D676" s="7" t="s">
        <v>87</v>
      </c>
      <c r="E676" s="7" t="s">
        <v>28</v>
      </c>
      <c r="F676" s="7" t="s">
        <v>29</v>
      </c>
      <c r="G676" s="7" t="s">
        <v>23</v>
      </c>
      <c r="H676" s="7" t="s">
        <v>53</v>
      </c>
      <c r="I676" s="7">
        <v>62</v>
      </c>
      <c r="J676" s="7">
        <v>109</v>
      </c>
      <c r="K676" s="20">
        <v>33805.17</v>
      </c>
      <c r="L676" s="20">
        <v>406.71</v>
      </c>
      <c r="M676" s="7">
        <v>83.03</v>
      </c>
      <c r="N676" s="20">
        <f>Table15[[#This Row],[Processing Fee]]-Table15[[#This Row],[Discount Applied]]</f>
        <v>323.67999999999995</v>
      </c>
      <c r="O676" s="7" t="str">
        <f>IF(Table15[[#This Row],[Revenue]]&gt;35000,"Achieved","Not Achieved")</f>
        <v>Not Achieved</v>
      </c>
      <c r="P676" s="8">
        <v>5</v>
      </c>
      <c r="Q676" s="7" t="str">
        <f>IF(AND(Table15[[#This Row],[CSAT Score]]&lt;=3,Table15[[#This Row],[Revenue]]&gt;=20000),"High-Risk","Stable")</f>
        <v>Stable</v>
      </c>
      <c r="R676" s="8" t="str" cm="1">
        <f t="array" ref="R676">_xlfn.IFS(Table15[[#This Row],[Revenue]]&gt;=35000,"Platinum",Table15[[#This Row],[Revenue]]&gt;=15000,"Gold",TRUE,"Standard")</f>
        <v>Gold</v>
      </c>
      <c r="S676" s="8" t="str">
        <f>IF(OR(Table15[[#This Row],[Product]]="Wealth Management",Table15[[#This Row],[Revenue]]&gt;=40000),"Yes","No")</f>
        <v>No</v>
      </c>
    </row>
    <row r="677" spans="1:19" x14ac:dyDescent="0.3">
      <c r="A677" s="5" t="s">
        <v>735</v>
      </c>
      <c r="B677" s="6">
        <v>46157</v>
      </c>
      <c r="C677" s="7" t="s">
        <v>33</v>
      </c>
      <c r="D677" s="7" t="s">
        <v>34</v>
      </c>
      <c r="E677" s="7" t="s">
        <v>21</v>
      </c>
      <c r="F677" s="7" t="s">
        <v>22</v>
      </c>
      <c r="G677" s="7" t="s">
        <v>36</v>
      </c>
      <c r="H677" s="7" t="s">
        <v>57</v>
      </c>
      <c r="I677" s="7">
        <v>27</v>
      </c>
      <c r="J677" s="7">
        <v>68</v>
      </c>
      <c r="K677" s="20">
        <v>25112.85</v>
      </c>
      <c r="L677" s="20">
        <v>175.61</v>
      </c>
      <c r="M677" s="7">
        <v>152.97999999999999</v>
      </c>
      <c r="N677" s="20">
        <f>Table15[[#This Row],[Processing Fee]]-Table15[[#This Row],[Discount Applied]]</f>
        <v>22.630000000000024</v>
      </c>
      <c r="O677" s="7" t="str">
        <f>IF(Table15[[#This Row],[Revenue]]&gt;35000,"Achieved","Not Achieved")</f>
        <v>Not Achieved</v>
      </c>
      <c r="P677" s="8">
        <v>2</v>
      </c>
      <c r="Q677" s="7" t="str">
        <f>IF(AND(Table15[[#This Row],[CSAT Score]]&lt;=3,Table15[[#This Row],[Revenue]]&gt;=20000),"High-Risk","Stable")</f>
        <v>High-Risk</v>
      </c>
      <c r="R677" s="8" t="str" cm="1">
        <f t="array" ref="R677">_xlfn.IFS(Table15[[#This Row],[Revenue]]&gt;=35000,"Platinum",Table15[[#This Row],[Revenue]]&gt;=15000,"Gold",TRUE,"Standard")</f>
        <v>Gold</v>
      </c>
      <c r="S677" s="8" t="str">
        <f>IF(OR(Table15[[#This Row],[Product]]="Wealth Management",Table15[[#This Row],[Revenue]]&gt;=40000),"Yes","No")</f>
        <v>Yes</v>
      </c>
    </row>
    <row r="678" spans="1:19" x14ac:dyDescent="0.3">
      <c r="A678" s="5" t="s">
        <v>736</v>
      </c>
      <c r="B678" s="6">
        <v>45888</v>
      </c>
      <c r="C678" s="7" t="s">
        <v>26</v>
      </c>
      <c r="D678" s="7" t="s">
        <v>50</v>
      </c>
      <c r="E678" s="7" t="s">
        <v>39</v>
      </c>
      <c r="F678" s="7" t="s">
        <v>69</v>
      </c>
      <c r="G678" s="7" t="s">
        <v>56</v>
      </c>
      <c r="H678" s="7" t="s">
        <v>31</v>
      </c>
      <c r="I678" s="7">
        <v>42</v>
      </c>
      <c r="J678" s="7">
        <v>78</v>
      </c>
      <c r="K678" s="20">
        <v>47540.2</v>
      </c>
      <c r="L678" s="20">
        <v>340.86</v>
      </c>
      <c r="M678" s="7">
        <v>52.38</v>
      </c>
      <c r="N678" s="20">
        <f>Table15[[#This Row],[Processing Fee]]-Table15[[#This Row],[Discount Applied]]</f>
        <v>288.48</v>
      </c>
      <c r="O678" s="7" t="str">
        <f>IF(Table15[[#This Row],[Revenue]]&gt;35000,"Achieved","Not Achieved")</f>
        <v>Achieved</v>
      </c>
      <c r="P678" s="8">
        <v>2</v>
      </c>
      <c r="Q678" s="7" t="str">
        <f>IF(AND(Table15[[#This Row],[CSAT Score]]&lt;=3,Table15[[#This Row],[Revenue]]&gt;=20000),"High-Risk","Stable")</f>
        <v>High-Risk</v>
      </c>
      <c r="R678" s="8" t="str" cm="1">
        <f t="array" ref="R678">_xlfn.IFS(Table15[[#This Row],[Revenue]]&gt;=35000,"Platinum",Table15[[#This Row],[Revenue]]&gt;=15000,"Gold",TRUE,"Standard")</f>
        <v>Platinum</v>
      </c>
      <c r="S678" s="8" t="str">
        <f>IF(OR(Table15[[#This Row],[Product]]="Wealth Management",Table15[[#This Row],[Revenue]]&gt;=40000),"Yes","No")</f>
        <v>Yes</v>
      </c>
    </row>
    <row r="679" spans="1:19" x14ac:dyDescent="0.3">
      <c r="A679" s="5" t="s">
        <v>737</v>
      </c>
      <c r="B679" s="6">
        <v>46043</v>
      </c>
      <c r="C679" s="7" t="s">
        <v>44</v>
      </c>
      <c r="D679" s="7" t="s">
        <v>61</v>
      </c>
      <c r="E679" s="7" t="s">
        <v>39</v>
      </c>
      <c r="F679" s="7" t="s">
        <v>29</v>
      </c>
      <c r="G679" s="7" t="s">
        <v>23</v>
      </c>
      <c r="H679" s="7" t="s">
        <v>31</v>
      </c>
      <c r="I679" s="7">
        <v>37</v>
      </c>
      <c r="J679" s="7">
        <v>78</v>
      </c>
      <c r="K679" s="20">
        <v>15346.96</v>
      </c>
      <c r="L679" s="20">
        <v>442.99</v>
      </c>
      <c r="M679" s="7">
        <v>96.68</v>
      </c>
      <c r="N679" s="20">
        <f>Table15[[#This Row],[Processing Fee]]-Table15[[#This Row],[Discount Applied]]</f>
        <v>346.31</v>
      </c>
      <c r="O679" s="7" t="str">
        <f>IF(Table15[[#This Row],[Revenue]]&gt;35000,"Achieved","Not Achieved")</f>
        <v>Not Achieved</v>
      </c>
      <c r="P679" s="8">
        <v>4</v>
      </c>
      <c r="Q679" s="7" t="str">
        <f>IF(AND(Table15[[#This Row],[CSAT Score]]&lt;=3,Table15[[#This Row],[Revenue]]&gt;=20000),"High-Risk","Stable")</f>
        <v>Stable</v>
      </c>
      <c r="R679" s="8" t="str" cm="1">
        <f t="array" ref="R679">_xlfn.IFS(Table15[[#This Row],[Revenue]]&gt;=35000,"Platinum",Table15[[#This Row],[Revenue]]&gt;=15000,"Gold",TRUE,"Standard")</f>
        <v>Gold</v>
      </c>
      <c r="S679" s="8" t="str">
        <f>IF(OR(Table15[[#This Row],[Product]]="Wealth Management",Table15[[#This Row],[Revenue]]&gt;=40000),"Yes","No")</f>
        <v>No</v>
      </c>
    </row>
    <row r="680" spans="1:19" x14ac:dyDescent="0.3">
      <c r="A680" s="5" t="s">
        <v>738</v>
      </c>
      <c r="B680" s="6">
        <v>46004</v>
      </c>
      <c r="C680" s="7" t="s">
        <v>55</v>
      </c>
      <c r="D680" s="7" t="s">
        <v>87</v>
      </c>
      <c r="E680" s="7" t="s">
        <v>46</v>
      </c>
      <c r="F680" s="7" t="s">
        <v>29</v>
      </c>
      <c r="G680" s="7" t="s">
        <v>23</v>
      </c>
      <c r="H680" s="7" t="s">
        <v>53</v>
      </c>
      <c r="I680" s="7">
        <v>38</v>
      </c>
      <c r="J680" s="7">
        <v>16</v>
      </c>
      <c r="K680" s="20">
        <v>1448.81</v>
      </c>
      <c r="L680" s="20">
        <v>68.739999999999995</v>
      </c>
      <c r="M680" s="7">
        <v>194.86</v>
      </c>
      <c r="N680" s="20">
        <f>Table15[[#This Row],[Processing Fee]]-Table15[[#This Row],[Discount Applied]]</f>
        <v>-126.12000000000002</v>
      </c>
      <c r="O680" s="7" t="str">
        <f>IF(Table15[[#This Row],[Revenue]]&gt;35000,"Achieved","Not Achieved")</f>
        <v>Not Achieved</v>
      </c>
      <c r="P680" s="8">
        <v>3</v>
      </c>
      <c r="Q680" s="7" t="str">
        <f>IF(AND(Table15[[#This Row],[CSAT Score]]&lt;=3,Table15[[#This Row],[Revenue]]&gt;=20000),"High-Risk","Stable")</f>
        <v>Stable</v>
      </c>
      <c r="R680" s="8" t="str" cm="1">
        <f t="array" ref="R680">_xlfn.IFS(Table15[[#This Row],[Revenue]]&gt;=35000,"Platinum",Table15[[#This Row],[Revenue]]&gt;=15000,"Gold",TRUE,"Standard")</f>
        <v>Standard</v>
      </c>
      <c r="S680" s="8" t="str">
        <f>IF(OR(Table15[[#This Row],[Product]]="Wealth Management",Table15[[#This Row],[Revenue]]&gt;=40000),"Yes","No")</f>
        <v>No</v>
      </c>
    </row>
    <row r="681" spans="1:19" x14ac:dyDescent="0.3">
      <c r="A681" s="5" t="s">
        <v>739</v>
      </c>
      <c r="B681" s="6">
        <v>46138</v>
      </c>
      <c r="C681" s="7" t="s">
        <v>55</v>
      </c>
      <c r="D681" s="7" t="s">
        <v>63</v>
      </c>
      <c r="E681" s="7" t="s">
        <v>59</v>
      </c>
      <c r="F681" s="7" t="s">
        <v>40</v>
      </c>
      <c r="G681" s="7" t="s">
        <v>36</v>
      </c>
      <c r="H681" s="7" t="s">
        <v>31</v>
      </c>
      <c r="I681" s="7">
        <v>69</v>
      </c>
      <c r="J681" s="7">
        <v>71</v>
      </c>
      <c r="K681" s="20">
        <v>21883.47</v>
      </c>
      <c r="L681" s="20">
        <v>423.79</v>
      </c>
      <c r="M681" s="7">
        <v>295.91000000000003</v>
      </c>
      <c r="N681" s="20">
        <f>Table15[[#This Row],[Processing Fee]]-Table15[[#This Row],[Discount Applied]]</f>
        <v>127.88</v>
      </c>
      <c r="O681" s="7" t="str">
        <f>IF(Table15[[#This Row],[Revenue]]&gt;35000,"Achieved","Not Achieved")</f>
        <v>Not Achieved</v>
      </c>
      <c r="P681" s="8">
        <v>1</v>
      </c>
      <c r="Q681" s="7" t="str">
        <f>IF(AND(Table15[[#This Row],[CSAT Score]]&lt;=3,Table15[[#This Row],[Revenue]]&gt;=20000),"High-Risk","Stable")</f>
        <v>High-Risk</v>
      </c>
      <c r="R681" s="8" t="str" cm="1">
        <f t="array" ref="R681">_xlfn.IFS(Table15[[#This Row],[Revenue]]&gt;=35000,"Platinum",Table15[[#This Row],[Revenue]]&gt;=15000,"Gold",TRUE,"Standard")</f>
        <v>Gold</v>
      </c>
      <c r="S681" s="8" t="str">
        <f>IF(OR(Table15[[#This Row],[Product]]="Wealth Management",Table15[[#This Row],[Revenue]]&gt;=40000),"Yes","No")</f>
        <v>No</v>
      </c>
    </row>
    <row r="682" spans="1:19" x14ac:dyDescent="0.3">
      <c r="A682" s="5" t="s">
        <v>740</v>
      </c>
      <c r="B682" s="6">
        <v>46191</v>
      </c>
      <c r="C682" s="7" t="s">
        <v>44</v>
      </c>
      <c r="D682" s="7" t="s">
        <v>83</v>
      </c>
      <c r="E682" s="7" t="s">
        <v>28</v>
      </c>
      <c r="F682" s="7" t="s">
        <v>40</v>
      </c>
      <c r="G682" s="7" t="s">
        <v>65</v>
      </c>
      <c r="H682" s="7" t="s">
        <v>24</v>
      </c>
      <c r="I682" s="7">
        <v>61</v>
      </c>
      <c r="J682" s="7">
        <v>96</v>
      </c>
      <c r="K682" s="20">
        <v>2134.09</v>
      </c>
      <c r="L682" s="20">
        <v>307.10000000000002</v>
      </c>
      <c r="M682" s="7">
        <v>102.52</v>
      </c>
      <c r="N682" s="20">
        <f>Table15[[#This Row],[Processing Fee]]-Table15[[#This Row],[Discount Applied]]</f>
        <v>204.58000000000004</v>
      </c>
      <c r="O682" s="7" t="str">
        <f>IF(Table15[[#This Row],[Revenue]]&gt;35000,"Achieved","Not Achieved")</f>
        <v>Not Achieved</v>
      </c>
      <c r="P682" s="8">
        <v>3</v>
      </c>
      <c r="Q682" s="7" t="str">
        <f>IF(AND(Table15[[#This Row],[CSAT Score]]&lt;=3,Table15[[#This Row],[Revenue]]&gt;=20000),"High-Risk","Stable")</f>
        <v>Stable</v>
      </c>
      <c r="R682" s="8" t="str" cm="1">
        <f t="array" ref="R682">_xlfn.IFS(Table15[[#This Row],[Revenue]]&gt;=35000,"Platinum",Table15[[#This Row],[Revenue]]&gt;=15000,"Gold",TRUE,"Standard")</f>
        <v>Standard</v>
      </c>
      <c r="S682" s="8" t="str">
        <f>IF(OR(Table15[[#This Row],[Product]]="Wealth Management",Table15[[#This Row],[Revenue]]&gt;=40000),"Yes","No")</f>
        <v>No</v>
      </c>
    </row>
    <row r="683" spans="1:19" x14ac:dyDescent="0.3">
      <c r="A683" s="5" t="s">
        <v>741</v>
      </c>
      <c r="B683" s="6">
        <v>45922</v>
      </c>
      <c r="C683" s="7" t="s">
        <v>33</v>
      </c>
      <c r="D683" s="7" t="s">
        <v>79</v>
      </c>
      <c r="E683" s="7" t="s">
        <v>59</v>
      </c>
      <c r="F683" s="7" t="s">
        <v>22</v>
      </c>
      <c r="G683" s="7" t="s">
        <v>30</v>
      </c>
      <c r="H683" s="7" t="s">
        <v>57</v>
      </c>
      <c r="I683" s="7">
        <v>30</v>
      </c>
      <c r="J683" s="7">
        <v>19</v>
      </c>
      <c r="K683" s="20">
        <v>47719.87</v>
      </c>
      <c r="L683" s="20">
        <v>323.36</v>
      </c>
      <c r="M683" s="7">
        <v>186.85</v>
      </c>
      <c r="N683" s="20">
        <f>Table15[[#This Row],[Processing Fee]]-Table15[[#This Row],[Discount Applied]]</f>
        <v>136.51000000000002</v>
      </c>
      <c r="O683" s="7" t="str">
        <f>IF(Table15[[#This Row],[Revenue]]&gt;35000,"Achieved","Not Achieved")</f>
        <v>Achieved</v>
      </c>
      <c r="P683" s="8">
        <v>3</v>
      </c>
      <c r="Q683" s="7" t="str">
        <f>IF(AND(Table15[[#This Row],[CSAT Score]]&lt;=3,Table15[[#This Row],[Revenue]]&gt;=20000),"High-Risk","Stable")</f>
        <v>High-Risk</v>
      </c>
      <c r="R683" s="8" t="str" cm="1">
        <f t="array" ref="R683">_xlfn.IFS(Table15[[#This Row],[Revenue]]&gt;=35000,"Platinum",Table15[[#This Row],[Revenue]]&gt;=15000,"Gold",TRUE,"Standard")</f>
        <v>Platinum</v>
      </c>
      <c r="S683" s="8" t="str">
        <f>IF(OR(Table15[[#This Row],[Product]]="Wealth Management",Table15[[#This Row],[Revenue]]&gt;=40000),"Yes","No")</f>
        <v>Yes</v>
      </c>
    </row>
    <row r="684" spans="1:19" x14ac:dyDescent="0.3">
      <c r="A684" s="5" t="s">
        <v>742</v>
      </c>
      <c r="B684" s="6">
        <v>46034</v>
      </c>
      <c r="C684" s="7" t="s">
        <v>19</v>
      </c>
      <c r="D684" s="7" t="s">
        <v>63</v>
      </c>
      <c r="E684" s="7" t="s">
        <v>28</v>
      </c>
      <c r="F684" s="7" t="s">
        <v>29</v>
      </c>
      <c r="G684" s="7" t="s">
        <v>65</v>
      </c>
      <c r="H684" s="7" t="s">
        <v>57</v>
      </c>
      <c r="I684" s="7">
        <v>30</v>
      </c>
      <c r="J684" s="7">
        <v>2</v>
      </c>
      <c r="K684" s="20">
        <v>10890.94</v>
      </c>
      <c r="L684" s="20">
        <v>285.42</v>
      </c>
      <c r="M684" s="7">
        <v>104.55</v>
      </c>
      <c r="N684" s="20">
        <f>Table15[[#This Row],[Processing Fee]]-Table15[[#This Row],[Discount Applied]]</f>
        <v>180.87</v>
      </c>
      <c r="O684" s="7" t="str">
        <f>IF(Table15[[#This Row],[Revenue]]&gt;35000,"Achieved","Not Achieved")</f>
        <v>Not Achieved</v>
      </c>
      <c r="P684" s="8">
        <v>2</v>
      </c>
      <c r="Q684" s="7" t="str">
        <f>IF(AND(Table15[[#This Row],[CSAT Score]]&lt;=3,Table15[[#This Row],[Revenue]]&gt;=20000),"High-Risk","Stable")</f>
        <v>Stable</v>
      </c>
      <c r="R684" s="8" t="str" cm="1">
        <f t="array" ref="R684">_xlfn.IFS(Table15[[#This Row],[Revenue]]&gt;=35000,"Platinum",Table15[[#This Row],[Revenue]]&gt;=15000,"Gold",TRUE,"Standard")</f>
        <v>Standard</v>
      </c>
      <c r="S684" s="8" t="str">
        <f>IF(OR(Table15[[#This Row],[Product]]="Wealth Management",Table15[[#This Row],[Revenue]]&gt;=40000),"Yes","No")</f>
        <v>No</v>
      </c>
    </row>
    <row r="685" spans="1:19" x14ac:dyDescent="0.3">
      <c r="A685" s="5" t="s">
        <v>743</v>
      </c>
      <c r="B685" s="6">
        <v>45915</v>
      </c>
      <c r="C685" s="7" t="s">
        <v>26</v>
      </c>
      <c r="D685" s="7" t="s">
        <v>61</v>
      </c>
      <c r="E685" s="7" t="s">
        <v>28</v>
      </c>
      <c r="F685" s="7" t="s">
        <v>29</v>
      </c>
      <c r="G685" s="7" t="s">
        <v>36</v>
      </c>
      <c r="H685" s="7" t="s">
        <v>31</v>
      </c>
      <c r="I685" s="7">
        <v>27</v>
      </c>
      <c r="J685" s="7">
        <v>10</v>
      </c>
      <c r="K685" s="20">
        <v>39551.89</v>
      </c>
      <c r="L685" s="20">
        <v>443.51</v>
      </c>
      <c r="M685" s="7">
        <v>87.48</v>
      </c>
      <c r="N685" s="20">
        <f>Table15[[#This Row],[Processing Fee]]-Table15[[#This Row],[Discount Applied]]</f>
        <v>356.03</v>
      </c>
      <c r="O685" s="7" t="str">
        <f>IF(Table15[[#This Row],[Revenue]]&gt;35000,"Achieved","Not Achieved")</f>
        <v>Achieved</v>
      </c>
      <c r="P685" s="8">
        <v>2</v>
      </c>
      <c r="Q685" s="7" t="str">
        <f>IF(AND(Table15[[#This Row],[CSAT Score]]&lt;=3,Table15[[#This Row],[Revenue]]&gt;=20000),"High-Risk","Stable")</f>
        <v>High-Risk</v>
      </c>
      <c r="R685" s="8" t="str" cm="1">
        <f t="array" ref="R685">_xlfn.IFS(Table15[[#This Row],[Revenue]]&gt;=35000,"Platinum",Table15[[#This Row],[Revenue]]&gt;=15000,"Gold",TRUE,"Standard")</f>
        <v>Platinum</v>
      </c>
      <c r="S685" s="8" t="str">
        <f>IF(OR(Table15[[#This Row],[Product]]="Wealth Management",Table15[[#This Row],[Revenue]]&gt;=40000),"Yes","No")</f>
        <v>No</v>
      </c>
    </row>
    <row r="686" spans="1:19" x14ac:dyDescent="0.3">
      <c r="A686" s="5" t="s">
        <v>744</v>
      </c>
      <c r="B686" s="6">
        <v>45955</v>
      </c>
      <c r="C686" s="7" t="s">
        <v>91</v>
      </c>
      <c r="D686" s="7" t="s">
        <v>61</v>
      </c>
      <c r="E686" s="7" t="s">
        <v>59</v>
      </c>
      <c r="F686" s="7" t="s">
        <v>40</v>
      </c>
      <c r="G686" s="7" t="s">
        <v>30</v>
      </c>
      <c r="H686" s="7" t="s">
        <v>31</v>
      </c>
      <c r="I686" s="7">
        <v>68</v>
      </c>
      <c r="J686" s="7">
        <v>50</v>
      </c>
      <c r="K686" s="20">
        <v>38841.32</v>
      </c>
      <c r="L686" s="20">
        <v>69.55</v>
      </c>
      <c r="M686" s="7">
        <v>80.069999999999993</v>
      </c>
      <c r="N686" s="20">
        <f>Table15[[#This Row],[Processing Fee]]-Table15[[#This Row],[Discount Applied]]</f>
        <v>-10.519999999999996</v>
      </c>
      <c r="O686" s="7" t="str">
        <f>IF(Table15[[#This Row],[Revenue]]&gt;35000,"Achieved","Not Achieved")</f>
        <v>Achieved</v>
      </c>
      <c r="P686" s="8">
        <v>2</v>
      </c>
      <c r="Q686" s="7" t="str">
        <f>IF(AND(Table15[[#This Row],[CSAT Score]]&lt;=3,Table15[[#This Row],[Revenue]]&gt;=20000),"High-Risk","Stable")</f>
        <v>High-Risk</v>
      </c>
      <c r="R686" s="8" t="str" cm="1">
        <f t="array" ref="R686">_xlfn.IFS(Table15[[#This Row],[Revenue]]&gt;=35000,"Platinum",Table15[[#This Row],[Revenue]]&gt;=15000,"Gold",TRUE,"Standard")</f>
        <v>Platinum</v>
      </c>
      <c r="S686" s="8" t="str">
        <f>IF(OR(Table15[[#This Row],[Product]]="Wealth Management",Table15[[#This Row],[Revenue]]&gt;=40000),"Yes","No")</f>
        <v>No</v>
      </c>
    </row>
    <row r="687" spans="1:19" x14ac:dyDescent="0.3">
      <c r="A687" s="5" t="s">
        <v>745</v>
      </c>
      <c r="B687" s="6">
        <v>46043</v>
      </c>
      <c r="C687" s="7" t="s">
        <v>75</v>
      </c>
      <c r="D687" s="7" t="s">
        <v>50</v>
      </c>
      <c r="E687" s="7" t="s">
        <v>39</v>
      </c>
      <c r="F687" s="7" t="s">
        <v>69</v>
      </c>
      <c r="G687" s="7" t="s">
        <v>65</v>
      </c>
      <c r="H687" s="7" t="s">
        <v>24</v>
      </c>
      <c r="I687" s="7">
        <v>70</v>
      </c>
      <c r="J687" s="7">
        <v>81</v>
      </c>
      <c r="K687" s="20">
        <v>11277.58</v>
      </c>
      <c r="L687" s="20">
        <v>167.46</v>
      </c>
      <c r="M687" s="7">
        <v>185.9</v>
      </c>
      <c r="N687" s="20">
        <f>Table15[[#This Row],[Processing Fee]]-Table15[[#This Row],[Discount Applied]]</f>
        <v>-18.439999999999998</v>
      </c>
      <c r="O687" s="7" t="str">
        <f>IF(Table15[[#This Row],[Revenue]]&gt;35000,"Achieved","Not Achieved")</f>
        <v>Not Achieved</v>
      </c>
      <c r="P687" s="8">
        <v>5</v>
      </c>
      <c r="Q687" s="7" t="str">
        <f>IF(AND(Table15[[#This Row],[CSAT Score]]&lt;=3,Table15[[#This Row],[Revenue]]&gt;=20000),"High-Risk","Stable")</f>
        <v>Stable</v>
      </c>
      <c r="R687" s="8" t="str" cm="1">
        <f t="array" ref="R687">_xlfn.IFS(Table15[[#This Row],[Revenue]]&gt;=35000,"Platinum",Table15[[#This Row],[Revenue]]&gt;=15000,"Gold",TRUE,"Standard")</f>
        <v>Standard</v>
      </c>
      <c r="S687" s="8" t="str">
        <f>IF(OR(Table15[[#This Row],[Product]]="Wealth Management",Table15[[#This Row],[Revenue]]&gt;=40000),"Yes","No")</f>
        <v>No</v>
      </c>
    </row>
    <row r="688" spans="1:19" x14ac:dyDescent="0.3">
      <c r="A688" s="5" t="s">
        <v>746</v>
      </c>
      <c r="B688" s="6">
        <v>46221</v>
      </c>
      <c r="C688" s="7" t="s">
        <v>75</v>
      </c>
      <c r="D688" s="7" t="s">
        <v>34</v>
      </c>
      <c r="E688" s="7" t="s">
        <v>28</v>
      </c>
      <c r="F688" s="7" t="s">
        <v>69</v>
      </c>
      <c r="G688" s="7" t="s">
        <v>30</v>
      </c>
      <c r="H688" s="7" t="s">
        <v>53</v>
      </c>
      <c r="I688" s="7">
        <v>58</v>
      </c>
      <c r="J688" s="7">
        <v>101</v>
      </c>
      <c r="K688" s="20">
        <v>31250.71</v>
      </c>
      <c r="L688" s="20">
        <v>444.09</v>
      </c>
      <c r="M688" s="7">
        <v>34.49</v>
      </c>
      <c r="N688" s="20">
        <f>Table15[[#This Row],[Processing Fee]]-Table15[[#This Row],[Discount Applied]]</f>
        <v>409.59999999999997</v>
      </c>
      <c r="O688" s="7" t="str">
        <f>IF(Table15[[#This Row],[Revenue]]&gt;35000,"Achieved","Not Achieved")</f>
        <v>Not Achieved</v>
      </c>
      <c r="P688" s="8">
        <v>5</v>
      </c>
      <c r="Q688" s="7" t="str">
        <f>IF(AND(Table15[[#This Row],[CSAT Score]]&lt;=3,Table15[[#This Row],[Revenue]]&gt;=20000),"High-Risk","Stable")</f>
        <v>Stable</v>
      </c>
      <c r="R688" s="8" t="str" cm="1">
        <f t="array" ref="R688">_xlfn.IFS(Table15[[#This Row],[Revenue]]&gt;=35000,"Platinum",Table15[[#This Row],[Revenue]]&gt;=15000,"Gold",TRUE,"Standard")</f>
        <v>Gold</v>
      </c>
      <c r="S688" s="8" t="str">
        <f>IF(OR(Table15[[#This Row],[Product]]="Wealth Management",Table15[[#This Row],[Revenue]]&gt;=40000),"Yes","No")</f>
        <v>No</v>
      </c>
    </row>
    <row r="689" spans="1:19" x14ac:dyDescent="0.3">
      <c r="A689" s="5" t="s">
        <v>747</v>
      </c>
      <c r="B689" s="6">
        <v>46208</v>
      </c>
      <c r="C689" s="7" t="s">
        <v>33</v>
      </c>
      <c r="D689" s="7" t="s">
        <v>50</v>
      </c>
      <c r="E689" s="7" t="s">
        <v>59</v>
      </c>
      <c r="F689" s="7" t="s">
        <v>35</v>
      </c>
      <c r="G689" s="7" t="s">
        <v>23</v>
      </c>
      <c r="H689" s="7" t="s">
        <v>31</v>
      </c>
      <c r="I689" s="7">
        <v>47</v>
      </c>
      <c r="J689" s="7">
        <v>12</v>
      </c>
      <c r="K689" s="20">
        <v>2879.91</v>
      </c>
      <c r="L689" s="20">
        <v>388.56</v>
      </c>
      <c r="M689" s="7">
        <v>173.9</v>
      </c>
      <c r="N689" s="20">
        <f>Table15[[#This Row],[Processing Fee]]-Table15[[#This Row],[Discount Applied]]</f>
        <v>214.66</v>
      </c>
      <c r="O689" s="7" t="str">
        <f>IF(Table15[[#This Row],[Revenue]]&gt;35000,"Achieved","Not Achieved")</f>
        <v>Not Achieved</v>
      </c>
      <c r="P689" s="8">
        <v>1</v>
      </c>
      <c r="Q689" s="7" t="str">
        <f>IF(AND(Table15[[#This Row],[CSAT Score]]&lt;=3,Table15[[#This Row],[Revenue]]&gt;=20000),"High-Risk","Stable")</f>
        <v>Stable</v>
      </c>
      <c r="R689" s="8" t="str" cm="1">
        <f t="array" ref="R689">_xlfn.IFS(Table15[[#This Row],[Revenue]]&gt;=35000,"Platinum",Table15[[#This Row],[Revenue]]&gt;=15000,"Gold",TRUE,"Standard")</f>
        <v>Standard</v>
      </c>
      <c r="S689" s="8" t="str">
        <f>IF(OR(Table15[[#This Row],[Product]]="Wealth Management",Table15[[#This Row],[Revenue]]&gt;=40000),"Yes","No")</f>
        <v>No</v>
      </c>
    </row>
    <row r="690" spans="1:19" x14ac:dyDescent="0.3">
      <c r="A690" s="5" t="s">
        <v>748</v>
      </c>
      <c r="B690" s="6">
        <v>46140</v>
      </c>
      <c r="C690" s="7" t="s">
        <v>19</v>
      </c>
      <c r="D690" s="7" t="s">
        <v>50</v>
      </c>
      <c r="E690" s="7" t="s">
        <v>28</v>
      </c>
      <c r="F690" s="7" t="s">
        <v>40</v>
      </c>
      <c r="G690" s="7" t="s">
        <v>65</v>
      </c>
      <c r="H690" s="7" t="s">
        <v>31</v>
      </c>
      <c r="I690" s="7">
        <v>72</v>
      </c>
      <c r="J690" s="7">
        <v>70</v>
      </c>
      <c r="K690" s="20">
        <v>24436.94</v>
      </c>
      <c r="L690" s="20">
        <v>57.94</v>
      </c>
      <c r="M690" s="7">
        <v>166.66</v>
      </c>
      <c r="N690" s="20">
        <f>Table15[[#This Row],[Processing Fee]]-Table15[[#This Row],[Discount Applied]]</f>
        <v>-108.72</v>
      </c>
      <c r="O690" s="7" t="str">
        <f>IF(Table15[[#This Row],[Revenue]]&gt;35000,"Achieved","Not Achieved")</f>
        <v>Not Achieved</v>
      </c>
      <c r="P690" s="8">
        <v>2</v>
      </c>
      <c r="Q690" s="7" t="str">
        <f>IF(AND(Table15[[#This Row],[CSAT Score]]&lt;=3,Table15[[#This Row],[Revenue]]&gt;=20000),"High-Risk","Stable")</f>
        <v>High-Risk</v>
      </c>
      <c r="R690" s="8" t="str" cm="1">
        <f t="array" ref="R690">_xlfn.IFS(Table15[[#This Row],[Revenue]]&gt;=35000,"Platinum",Table15[[#This Row],[Revenue]]&gt;=15000,"Gold",TRUE,"Standard")</f>
        <v>Gold</v>
      </c>
      <c r="S690" s="8" t="str">
        <f>IF(OR(Table15[[#This Row],[Product]]="Wealth Management",Table15[[#This Row],[Revenue]]&gt;=40000),"Yes","No")</f>
        <v>No</v>
      </c>
    </row>
    <row r="691" spans="1:19" x14ac:dyDescent="0.3">
      <c r="A691" s="5" t="s">
        <v>749</v>
      </c>
      <c r="B691" s="6">
        <v>46220</v>
      </c>
      <c r="C691" s="7" t="s">
        <v>55</v>
      </c>
      <c r="D691" s="7" t="s">
        <v>61</v>
      </c>
      <c r="E691" s="7" t="s">
        <v>21</v>
      </c>
      <c r="F691" s="7" t="s">
        <v>35</v>
      </c>
      <c r="G691" s="7" t="s">
        <v>30</v>
      </c>
      <c r="H691" s="7" t="s">
        <v>31</v>
      </c>
      <c r="I691" s="7">
        <v>53</v>
      </c>
      <c r="J691" s="7">
        <v>22</v>
      </c>
      <c r="K691" s="20">
        <v>1225.03</v>
      </c>
      <c r="L691" s="20">
        <v>282.64999999999998</v>
      </c>
      <c r="M691" s="7">
        <v>221.88</v>
      </c>
      <c r="N691" s="20">
        <f>Table15[[#This Row],[Processing Fee]]-Table15[[#This Row],[Discount Applied]]</f>
        <v>60.769999999999982</v>
      </c>
      <c r="O691" s="7" t="str">
        <f>IF(Table15[[#This Row],[Revenue]]&gt;35000,"Achieved","Not Achieved")</f>
        <v>Not Achieved</v>
      </c>
      <c r="P691" s="8">
        <v>4</v>
      </c>
      <c r="Q691" s="7" t="str">
        <f>IF(AND(Table15[[#This Row],[CSAT Score]]&lt;=3,Table15[[#This Row],[Revenue]]&gt;=20000),"High-Risk","Stable")</f>
        <v>Stable</v>
      </c>
      <c r="R691" s="8" t="str" cm="1">
        <f t="array" ref="R691">_xlfn.IFS(Table15[[#This Row],[Revenue]]&gt;=35000,"Platinum",Table15[[#This Row],[Revenue]]&gt;=15000,"Gold",TRUE,"Standard")</f>
        <v>Standard</v>
      </c>
      <c r="S691" s="8" t="str">
        <f>IF(OR(Table15[[#This Row],[Product]]="Wealth Management",Table15[[#This Row],[Revenue]]&gt;=40000),"Yes","No")</f>
        <v>No</v>
      </c>
    </row>
    <row r="692" spans="1:19" x14ac:dyDescent="0.3">
      <c r="A692" s="5" t="s">
        <v>750</v>
      </c>
      <c r="B692" s="6">
        <v>46077</v>
      </c>
      <c r="C692" s="7" t="s">
        <v>55</v>
      </c>
      <c r="D692" s="7" t="s">
        <v>79</v>
      </c>
      <c r="E692" s="7" t="s">
        <v>39</v>
      </c>
      <c r="F692" s="7" t="s">
        <v>40</v>
      </c>
      <c r="G692" s="7" t="s">
        <v>30</v>
      </c>
      <c r="H692" s="7" t="s">
        <v>31</v>
      </c>
      <c r="I692" s="7">
        <v>21</v>
      </c>
      <c r="J692" s="7">
        <v>32</v>
      </c>
      <c r="K692" s="20">
        <v>46096.62</v>
      </c>
      <c r="L692" s="20">
        <v>288.31</v>
      </c>
      <c r="M692" s="7">
        <v>149.77000000000001</v>
      </c>
      <c r="N692" s="20">
        <f>Table15[[#This Row],[Processing Fee]]-Table15[[#This Row],[Discount Applied]]</f>
        <v>138.54</v>
      </c>
      <c r="O692" s="7" t="str">
        <f>IF(Table15[[#This Row],[Revenue]]&gt;35000,"Achieved","Not Achieved")</f>
        <v>Achieved</v>
      </c>
      <c r="P692" s="8">
        <v>2</v>
      </c>
      <c r="Q692" s="7" t="str">
        <f>IF(AND(Table15[[#This Row],[CSAT Score]]&lt;=3,Table15[[#This Row],[Revenue]]&gt;=20000),"High-Risk","Stable")</f>
        <v>High-Risk</v>
      </c>
      <c r="R692" s="8" t="str" cm="1">
        <f t="array" ref="R692">_xlfn.IFS(Table15[[#This Row],[Revenue]]&gt;=35000,"Platinum",Table15[[#This Row],[Revenue]]&gt;=15000,"Gold",TRUE,"Standard")</f>
        <v>Platinum</v>
      </c>
      <c r="S692" s="8" t="str">
        <f>IF(OR(Table15[[#This Row],[Product]]="Wealth Management",Table15[[#This Row],[Revenue]]&gt;=40000),"Yes","No")</f>
        <v>Yes</v>
      </c>
    </row>
    <row r="693" spans="1:19" x14ac:dyDescent="0.3">
      <c r="A693" s="5" t="s">
        <v>751</v>
      </c>
      <c r="B693" s="6">
        <v>46061</v>
      </c>
      <c r="C693" s="7" t="s">
        <v>75</v>
      </c>
      <c r="D693" s="7" t="s">
        <v>63</v>
      </c>
      <c r="E693" s="7" t="s">
        <v>46</v>
      </c>
      <c r="F693" s="7" t="s">
        <v>22</v>
      </c>
      <c r="G693" s="7" t="s">
        <v>30</v>
      </c>
      <c r="H693" s="7" t="s">
        <v>57</v>
      </c>
      <c r="I693" s="7">
        <v>64</v>
      </c>
      <c r="J693" s="7">
        <v>105</v>
      </c>
      <c r="K693" s="20">
        <v>48816.26</v>
      </c>
      <c r="L693" s="20">
        <v>230.4</v>
      </c>
      <c r="M693" s="7">
        <v>54.46</v>
      </c>
      <c r="N693" s="20">
        <f>Table15[[#This Row],[Processing Fee]]-Table15[[#This Row],[Discount Applied]]</f>
        <v>175.94</v>
      </c>
      <c r="O693" s="7" t="str">
        <f>IF(Table15[[#This Row],[Revenue]]&gt;35000,"Achieved","Not Achieved")</f>
        <v>Achieved</v>
      </c>
      <c r="P693" s="8">
        <v>5</v>
      </c>
      <c r="Q693" s="7" t="str">
        <f>IF(AND(Table15[[#This Row],[CSAT Score]]&lt;=3,Table15[[#This Row],[Revenue]]&gt;=20000),"High-Risk","Stable")</f>
        <v>Stable</v>
      </c>
      <c r="R693" s="8" t="str" cm="1">
        <f t="array" ref="R693">_xlfn.IFS(Table15[[#This Row],[Revenue]]&gt;=35000,"Platinum",Table15[[#This Row],[Revenue]]&gt;=15000,"Gold",TRUE,"Standard")</f>
        <v>Platinum</v>
      </c>
      <c r="S693" s="8" t="str">
        <f>IF(OR(Table15[[#This Row],[Product]]="Wealth Management",Table15[[#This Row],[Revenue]]&gt;=40000),"Yes","No")</f>
        <v>Yes</v>
      </c>
    </row>
    <row r="694" spans="1:19" x14ac:dyDescent="0.3">
      <c r="A694" s="5" t="s">
        <v>752</v>
      </c>
      <c r="B694" s="6">
        <v>46017</v>
      </c>
      <c r="C694" s="7" t="s">
        <v>33</v>
      </c>
      <c r="D694" s="7" t="s">
        <v>68</v>
      </c>
      <c r="E694" s="7" t="s">
        <v>28</v>
      </c>
      <c r="F694" s="7" t="s">
        <v>29</v>
      </c>
      <c r="G694" s="7" t="s">
        <v>65</v>
      </c>
      <c r="H694" s="7" t="s">
        <v>31</v>
      </c>
      <c r="I694" s="7">
        <v>73</v>
      </c>
      <c r="J694" s="7">
        <v>84</v>
      </c>
      <c r="K694" s="20">
        <v>11503</v>
      </c>
      <c r="L694" s="20">
        <v>183.83</v>
      </c>
      <c r="M694" s="7">
        <v>50.82</v>
      </c>
      <c r="N694" s="20">
        <f>Table15[[#This Row],[Processing Fee]]-Table15[[#This Row],[Discount Applied]]</f>
        <v>133.01000000000002</v>
      </c>
      <c r="O694" s="7" t="str">
        <f>IF(Table15[[#This Row],[Revenue]]&gt;35000,"Achieved","Not Achieved")</f>
        <v>Not Achieved</v>
      </c>
      <c r="P694" s="8">
        <v>2</v>
      </c>
      <c r="Q694" s="7" t="str">
        <f>IF(AND(Table15[[#This Row],[CSAT Score]]&lt;=3,Table15[[#This Row],[Revenue]]&gt;=20000),"High-Risk","Stable")</f>
        <v>Stable</v>
      </c>
      <c r="R694" s="8" t="str" cm="1">
        <f t="array" ref="R694">_xlfn.IFS(Table15[[#This Row],[Revenue]]&gt;=35000,"Platinum",Table15[[#This Row],[Revenue]]&gt;=15000,"Gold",TRUE,"Standard")</f>
        <v>Standard</v>
      </c>
      <c r="S694" s="8" t="str">
        <f>IF(OR(Table15[[#This Row],[Product]]="Wealth Management",Table15[[#This Row],[Revenue]]&gt;=40000),"Yes","No")</f>
        <v>No</v>
      </c>
    </row>
    <row r="695" spans="1:19" x14ac:dyDescent="0.3">
      <c r="A695" s="5" t="s">
        <v>753</v>
      </c>
      <c r="B695" s="6">
        <v>46008</v>
      </c>
      <c r="C695" s="7" t="s">
        <v>26</v>
      </c>
      <c r="D695" s="7" t="s">
        <v>34</v>
      </c>
      <c r="E695" s="7" t="s">
        <v>21</v>
      </c>
      <c r="F695" s="7" t="s">
        <v>22</v>
      </c>
      <c r="G695" s="7" t="s">
        <v>56</v>
      </c>
      <c r="H695" s="7" t="s">
        <v>57</v>
      </c>
      <c r="I695" s="7">
        <v>54</v>
      </c>
      <c r="J695" s="7">
        <v>1</v>
      </c>
      <c r="K695" s="20">
        <v>10801.25</v>
      </c>
      <c r="L695" s="20">
        <v>356.78</v>
      </c>
      <c r="M695" s="7">
        <v>124.16</v>
      </c>
      <c r="N695" s="20">
        <f>Table15[[#This Row],[Processing Fee]]-Table15[[#This Row],[Discount Applied]]</f>
        <v>232.61999999999998</v>
      </c>
      <c r="O695" s="7" t="str">
        <f>IF(Table15[[#This Row],[Revenue]]&gt;35000,"Achieved","Not Achieved")</f>
        <v>Not Achieved</v>
      </c>
      <c r="P695" s="8">
        <v>5</v>
      </c>
      <c r="Q695" s="7" t="str">
        <f>IF(AND(Table15[[#This Row],[CSAT Score]]&lt;=3,Table15[[#This Row],[Revenue]]&gt;=20000),"High-Risk","Stable")</f>
        <v>Stable</v>
      </c>
      <c r="R695" s="8" t="str" cm="1">
        <f t="array" ref="R695">_xlfn.IFS(Table15[[#This Row],[Revenue]]&gt;=35000,"Platinum",Table15[[#This Row],[Revenue]]&gt;=15000,"Gold",TRUE,"Standard")</f>
        <v>Standard</v>
      </c>
      <c r="S695" s="8" t="str">
        <f>IF(OR(Table15[[#This Row],[Product]]="Wealth Management",Table15[[#This Row],[Revenue]]&gt;=40000),"Yes","No")</f>
        <v>Yes</v>
      </c>
    </row>
    <row r="696" spans="1:19" x14ac:dyDescent="0.3">
      <c r="A696" s="5" t="s">
        <v>754</v>
      </c>
      <c r="B696" s="6">
        <v>46219</v>
      </c>
      <c r="C696" s="7" t="s">
        <v>55</v>
      </c>
      <c r="D696" s="7" t="s">
        <v>61</v>
      </c>
      <c r="E696" s="7" t="s">
        <v>46</v>
      </c>
      <c r="F696" s="7" t="s">
        <v>40</v>
      </c>
      <c r="G696" s="7" t="s">
        <v>65</v>
      </c>
      <c r="H696" s="7" t="s">
        <v>31</v>
      </c>
      <c r="I696" s="7">
        <v>24</v>
      </c>
      <c r="J696" s="7">
        <v>54</v>
      </c>
      <c r="K696" s="20">
        <v>37809.15</v>
      </c>
      <c r="L696" s="20">
        <v>143.51</v>
      </c>
      <c r="M696" s="7">
        <v>215.7</v>
      </c>
      <c r="N696" s="20">
        <f>Table15[[#This Row],[Processing Fee]]-Table15[[#This Row],[Discount Applied]]</f>
        <v>-72.19</v>
      </c>
      <c r="O696" s="7" t="str">
        <f>IF(Table15[[#This Row],[Revenue]]&gt;35000,"Achieved","Not Achieved")</f>
        <v>Achieved</v>
      </c>
      <c r="P696" s="8">
        <v>2</v>
      </c>
      <c r="Q696" s="7" t="str">
        <f>IF(AND(Table15[[#This Row],[CSAT Score]]&lt;=3,Table15[[#This Row],[Revenue]]&gt;=20000),"High-Risk","Stable")</f>
        <v>High-Risk</v>
      </c>
      <c r="R696" s="8" t="str" cm="1">
        <f t="array" ref="R696">_xlfn.IFS(Table15[[#This Row],[Revenue]]&gt;=35000,"Platinum",Table15[[#This Row],[Revenue]]&gt;=15000,"Gold",TRUE,"Standard")</f>
        <v>Platinum</v>
      </c>
      <c r="S696" s="8" t="str">
        <f>IF(OR(Table15[[#This Row],[Product]]="Wealth Management",Table15[[#This Row],[Revenue]]&gt;=40000),"Yes","No")</f>
        <v>No</v>
      </c>
    </row>
    <row r="697" spans="1:19" x14ac:dyDescent="0.3">
      <c r="A697" s="5" t="s">
        <v>755</v>
      </c>
      <c r="B697" s="6">
        <v>46014</v>
      </c>
      <c r="C697" s="7" t="s">
        <v>26</v>
      </c>
      <c r="D697" s="7" t="s">
        <v>63</v>
      </c>
      <c r="E697" s="7" t="s">
        <v>46</v>
      </c>
      <c r="F697" s="7" t="s">
        <v>29</v>
      </c>
      <c r="G697" s="7" t="s">
        <v>36</v>
      </c>
      <c r="H697" s="7" t="s">
        <v>53</v>
      </c>
      <c r="I697" s="7">
        <v>37</v>
      </c>
      <c r="J697" s="7">
        <v>111</v>
      </c>
      <c r="K697" s="20">
        <v>13042.28</v>
      </c>
      <c r="L697" s="20">
        <v>409.53</v>
      </c>
      <c r="M697" s="7">
        <v>113.9</v>
      </c>
      <c r="N697" s="20">
        <f>Table15[[#This Row],[Processing Fee]]-Table15[[#This Row],[Discount Applied]]</f>
        <v>295.63</v>
      </c>
      <c r="O697" s="7" t="str">
        <f>IF(Table15[[#This Row],[Revenue]]&gt;35000,"Achieved","Not Achieved")</f>
        <v>Not Achieved</v>
      </c>
      <c r="P697" s="8">
        <v>4</v>
      </c>
      <c r="Q697" s="7" t="str">
        <f>IF(AND(Table15[[#This Row],[CSAT Score]]&lt;=3,Table15[[#This Row],[Revenue]]&gt;=20000),"High-Risk","Stable")</f>
        <v>Stable</v>
      </c>
      <c r="R697" s="8" t="str" cm="1">
        <f t="array" ref="R697">_xlfn.IFS(Table15[[#This Row],[Revenue]]&gt;=35000,"Platinum",Table15[[#This Row],[Revenue]]&gt;=15000,"Gold",TRUE,"Standard")</f>
        <v>Standard</v>
      </c>
      <c r="S697" s="8" t="str">
        <f>IF(OR(Table15[[#This Row],[Product]]="Wealth Management",Table15[[#This Row],[Revenue]]&gt;=40000),"Yes","No")</f>
        <v>No</v>
      </c>
    </row>
    <row r="698" spans="1:19" x14ac:dyDescent="0.3">
      <c r="A698" s="5" t="s">
        <v>756</v>
      </c>
      <c r="B698" s="6">
        <v>46142</v>
      </c>
      <c r="C698" s="7" t="s">
        <v>19</v>
      </c>
      <c r="D698" s="7" t="s">
        <v>27</v>
      </c>
      <c r="E698" s="7" t="s">
        <v>28</v>
      </c>
      <c r="F698" s="7" t="s">
        <v>69</v>
      </c>
      <c r="G698" s="7" t="s">
        <v>65</v>
      </c>
      <c r="H698" s="7" t="s">
        <v>24</v>
      </c>
      <c r="I698" s="7">
        <v>24</v>
      </c>
      <c r="J698" s="7">
        <v>117</v>
      </c>
      <c r="K698" s="20">
        <v>44806.29</v>
      </c>
      <c r="L698" s="20">
        <v>411.37</v>
      </c>
      <c r="M698" s="7">
        <v>147.66999999999999</v>
      </c>
      <c r="N698" s="20">
        <f>Table15[[#This Row],[Processing Fee]]-Table15[[#This Row],[Discount Applied]]</f>
        <v>263.70000000000005</v>
      </c>
      <c r="O698" s="7" t="str">
        <f>IF(Table15[[#This Row],[Revenue]]&gt;35000,"Achieved","Not Achieved")</f>
        <v>Achieved</v>
      </c>
      <c r="P698" s="8">
        <v>1</v>
      </c>
      <c r="Q698" s="7" t="str">
        <f>IF(AND(Table15[[#This Row],[CSAT Score]]&lt;=3,Table15[[#This Row],[Revenue]]&gt;=20000),"High-Risk","Stable")</f>
        <v>High-Risk</v>
      </c>
      <c r="R698" s="8" t="str" cm="1">
        <f t="array" ref="R698">_xlfn.IFS(Table15[[#This Row],[Revenue]]&gt;=35000,"Platinum",Table15[[#This Row],[Revenue]]&gt;=15000,"Gold",TRUE,"Standard")</f>
        <v>Platinum</v>
      </c>
      <c r="S698" s="8" t="str">
        <f>IF(OR(Table15[[#This Row],[Product]]="Wealth Management",Table15[[#This Row],[Revenue]]&gt;=40000),"Yes","No")</f>
        <v>Yes</v>
      </c>
    </row>
    <row r="699" spans="1:19" x14ac:dyDescent="0.3">
      <c r="A699" s="5" t="s">
        <v>757</v>
      </c>
      <c r="B699" s="6">
        <v>45895</v>
      </c>
      <c r="C699" s="7" t="s">
        <v>55</v>
      </c>
      <c r="D699" s="7" t="s">
        <v>68</v>
      </c>
      <c r="E699" s="7" t="s">
        <v>59</v>
      </c>
      <c r="F699" s="7" t="s">
        <v>69</v>
      </c>
      <c r="G699" s="7" t="s">
        <v>30</v>
      </c>
      <c r="H699" s="7" t="s">
        <v>53</v>
      </c>
      <c r="I699" s="7">
        <v>63</v>
      </c>
      <c r="J699" s="7">
        <v>58</v>
      </c>
      <c r="K699" s="20">
        <v>28909.49</v>
      </c>
      <c r="L699" s="20">
        <v>236.87</v>
      </c>
      <c r="M699" s="7">
        <v>28.3</v>
      </c>
      <c r="N699" s="20">
        <f>Table15[[#This Row],[Processing Fee]]-Table15[[#This Row],[Discount Applied]]</f>
        <v>208.57</v>
      </c>
      <c r="O699" s="7" t="str">
        <f>IF(Table15[[#This Row],[Revenue]]&gt;35000,"Achieved","Not Achieved")</f>
        <v>Not Achieved</v>
      </c>
      <c r="P699" s="8">
        <v>4</v>
      </c>
      <c r="Q699" s="7" t="str">
        <f>IF(AND(Table15[[#This Row],[CSAT Score]]&lt;=3,Table15[[#This Row],[Revenue]]&gt;=20000),"High-Risk","Stable")</f>
        <v>Stable</v>
      </c>
      <c r="R699" s="8" t="str" cm="1">
        <f t="array" ref="R699">_xlfn.IFS(Table15[[#This Row],[Revenue]]&gt;=35000,"Platinum",Table15[[#This Row],[Revenue]]&gt;=15000,"Gold",TRUE,"Standard")</f>
        <v>Gold</v>
      </c>
      <c r="S699" s="8" t="str">
        <f>IF(OR(Table15[[#This Row],[Product]]="Wealth Management",Table15[[#This Row],[Revenue]]&gt;=40000),"Yes","No")</f>
        <v>No</v>
      </c>
    </row>
    <row r="700" spans="1:19" x14ac:dyDescent="0.3">
      <c r="A700" s="5" t="s">
        <v>758</v>
      </c>
      <c r="B700" s="6">
        <v>45905</v>
      </c>
      <c r="C700" s="7" t="s">
        <v>55</v>
      </c>
      <c r="D700" s="7" t="s">
        <v>68</v>
      </c>
      <c r="E700" s="7" t="s">
        <v>28</v>
      </c>
      <c r="F700" s="7" t="s">
        <v>35</v>
      </c>
      <c r="G700" s="7" t="s">
        <v>23</v>
      </c>
      <c r="H700" s="7" t="s">
        <v>31</v>
      </c>
      <c r="I700" s="7">
        <v>74</v>
      </c>
      <c r="J700" s="7">
        <v>70</v>
      </c>
      <c r="K700" s="20">
        <v>17863.490000000002</v>
      </c>
      <c r="L700" s="20">
        <v>177.6</v>
      </c>
      <c r="M700" s="7">
        <v>264.74</v>
      </c>
      <c r="N700" s="20">
        <f>Table15[[#This Row],[Processing Fee]]-Table15[[#This Row],[Discount Applied]]</f>
        <v>-87.140000000000015</v>
      </c>
      <c r="O700" s="7" t="str">
        <f>IF(Table15[[#This Row],[Revenue]]&gt;35000,"Achieved","Not Achieved")</f>
        <v>Not Achieved</v>
      </c>
      <c r="P700" s="8">
        <v>5</v>
      </c>
      <c r="Q700" s="7" t="str">
        <f>IF(AND(Table15[[#This Row],[CSAT Score]]&lt;=3,Table15[[#This Row],[Revenue]]&gt;=20000),"High-Risk","Stable")</f>
        <v>Stable</v>
      </c>
      <c r="R700" s="8" t="str" cm="1">
        <f t="array" ref="R700">_xlfn.IFS(Table15[[#This Row],[Revenue]]&gt;=35000,"Platinum",Table15[[#This Row],[Revenue]]&gt;=15000,"Gold",TRUE,"Standard")</f>
        <v>Gold</v>
      </c>
      <c r="S700" s="8" t="str">
        <f>IF(OR(Table15[[#This Row],[Product]]="Wealth Management",Table15[[#This Row],[Revenue]]&gt;=40000),"Yes","No")</f>
        <v>No</v>
      </c>
    </row>
    <row r="701" spans="1:19" x14ac:dyDescent="0.3">
      <c r="A701" s="5" t="s">
        <v>759</v>
      </c>
      <c r="B701" s="6">
        <v>45870</v>
      </c>
      <c r="C701" s="7" t="s">
        <v>42</v>
      </c>
      <c r="D701" s="7" t="s">
        <v>20</v>
      </c>
      <c r="E701" s="7" t="s">
        <v>21</v>
      </c>
      <c r="F701" s="7" t="s">
        <v>40</v>
      </c>
      <c r="G701" s="7" t="s">
        <v>65</v>
      </c>
      <c r="H701" s="7" t="s">
        <v>31</v>
      </c>
      <c r="I701" s="7">
        <v>46</v>
      </c>
      <c r="J701" s="7">
        <v>83</v>
      </c>
      <c r="K701" s="20">
        <v>41718.339999999997</v>
      </c>
      <c r="L701" s="20">
        <v>177.75</v>
      </c>
      <c r="M701" s="7">
        <v>174.72</v>
      </c>
      <c r="N701" s="20">
        <f>Table15[[#This Row],[Processing Fee]]-Table15[[#This Row],[Discount Applied]]</f>
        <v>3.0300000000000011</v>
      </c>
      <c r="O701" s="7" t="str">
        <f>IF(Table15[[#This Row],[Revenue]]&gt;35000,"Achieved","Not Achieved")</f>
        <v>Achieved</v>
      </c>
      <c r="P701" s="8">
        <v>3</v>
      </c>
      <c r="Q701" s="7" t="str">
        <f>IF(AND(Table15[[#This Row],[CSAT Score]]&lt;=3,Table15[[#This Row],[Revenue]]&gt;=20000),"High-Risk","Stable")</f>
        <v>High-Risk</v>
      </c>
      <c r="R701" s="8" t="str" cm="1">
        <f t="array" ref="R701">_xlfn.IFS(Table15[[#This Row],[Revenue]]&gt;=35000,"Platinum",Table15[[#This Row],[Revenue]]&gt;=15000,"Gold",TRUE,"Standard")</f>
        <v>Platinum</v>
      </c>
      <c r="S701" s="8" t="str">
        <f>IF(OR(Table15[[#This Row],[Product]]="Wealth Management",Table15[[#This Row],[Revenue]]&gt;=40000),"Yes","No")</f>
        <v>Yes</v>
      </c>
    </row>
    <row r="702" spans="1:19" x14ac:dyDescent="0.3">
      <c r="A702" s="5" t="s">
        <v>760</v>
      </c>
      <c r="B702" s="6">
        <v>45986</v>
      </c>
      <c r="C702" s="7" t="s">
        <v>55</v>
      </c>
      <c r="D702" s="7" t="s">
        <v>52</v>
      </c>
      <c r="E702" s="7" t="s">
        <v>46</v>
      </c>
      <c r="F702" s="7" t="s">
        <v>40</v>
      </c>
      <c r="G702" s="7" t="s">
        <v>65</v>
      </c>
      <c r="H702" s="7" t="s">
        <v>31</v>
      </c>
      <c r="I702" s="7">
        <v>24</v>
      </c>
      <c r="J702" s="7">
        <v>18</v>
      </c>
      <c r="K702" s="20">
        <v>24923.63</v>
      </c>
      <c r="L702" s="20">
        <v>267.02999999999997</v>
      </c>
      <c r="M702" s="7">
        <v>38.06</v>
      </c>
      <c r="N702" s="20">
        <f>Table15[[#This Row],[Processing Fee]]-Table15[[#This Row],[Discount Applied]]</f>
        <v>228.96999999999997</v>
      </c>
      <c r="O702" s="7" t="str">
        <f>IF(Table15[[#This Row],[Revenue]]&gt;35000,"Achieved","Not Achieved")</f>
        <v>Not Achieved</v>
      </c>
      <c r="P702" s="8">
        <v>4</v>
      </c>
      <c r="Q702" s="7" t="str">
        <f>IF(AND(Table15[[#This Row],[CSAT Score]]&lt;=3,Table15[[#This Row],[Revenue]]&gt;=20000),"High-Risk","Stable")</f>
        <v>Stable</v>
      </c>
      <c r="R702" s="8" t="str" cm="1">
        <f t="array" ref="R702">_xlfn.IFS(Table15[[#This Row],[Revenue]]&gt;=35000,"Platinum",Table15[[#This Row],[Revenue]]&gt;=15000,"Gold",TRUE,"Standard")</f>
        <v>Gold</v>
      </c>
      <c r="S702" s="8" t="str">
        <f>IF(OR(Table15[[#This Row],[Product]]="Wealth Management",Table15[[#This Row],[Revenue]]&gt;=40000),"Yes","No")</f>
        <v>No</v>
      </c>
    </row>
    <row r="703" spans="1:19" x14ac:dyDescent="0.3">
      <c r="A703" s="5" t="s">
        <v>761</v>
      </c>
      <c r="B703" s="6">
        <v>46205</v>
      </c>
      <c r="C703" s="7" t="s">
        <v>44</v>
      </c>
      <c r="D703" s="7" t="s">
        <v>34</v>
      </c>
      <c r="E703" s="7" t="s">
        <v>28</v>
      </c>
      <c r="F703" s="7" t="s">
        <v>69</v>
      </c>
      <c r="G703" s="7" t="s">
        <v>30</v>
      </c>
      <c r="H703" s="7" t="s">
        <v>53</v>
      </c>
      <c r="I703" s="7">
        <v>21</v>
      </c>
      <c r="J703" s="7">
        <v>6</v>
      </c>
      <c r="K703" s="20">
        <v>45625.83</v>
      </c>
      <c r="L703" s="20">
        <v>373.81</v>
      </c>
      <c r="M703" s="7">
        <v>92.39</v>
      </c>
      <c r="N703" s="20">
        <f>Table15[[#This Row],[Processing Fee]]-Table15[[#This Row],[Discount Applied]]</f>
        <v>281.42</v>
      </c>
      <c r="O703" s="7" t="str">
        <f>IF(Table15[[#This Row],[Revenue]]&gt;35000,"Achieved","Not Achieved")</f>
        <v>Achieved</v>
      </c>
      <c r="P703" s="8">
        <v>2</v>
      </c>
      <c r="Q703" s="7" t="str">
        <f>IF(AND(Table15[[#This Row],[CSAT Score]]&lt;=3,Table15[[#This Row],[Revenue]]&gt;=20000),"High-Risk","Stable")</f>
        <v>High-Risk</v>
      </c>
      <c r="R703" s="8" t="str" cm="1">
        <f t="array" ref="R703">_xlfn.IFS(Table15[[#This Row],[Revenue]]&gt;=35000,"Platinum",Table15[[#This Row],[Revenue]]&gt;=15000,"Gold",TRUE,"Standard")</f>
        <v>Platinum</v>
      </c>
      <c r="S703" s="8" t="str">
        <f>IF(OR(Table15[[#This Row],[Product]]="Wealth Management",Table15[[#This Row],[Revenue]]&gt;=40000),"Yes","No")</f>
        <v>Yes</v>
      </c>
    </row>
    <row r="704" spans="1:19" x14ac:dyDescent="0.3">
      <c r="A704" s="5" t="s">
        <v>762</v>
      </c>
      <c r="B704" s="6">
        <v>46161</v>
      </c>
      <c r="C704" s="7" t="s">
        <v>91</v>
      </c>
      <c r="D704" s="7" t="s">
        <v>68</v>
      </c>
      <c r="E704" s="7" t="s">
        <v>59</v>
      </c>
      <c r="F704" s="7" t="s">
        <v>22</v>
      </c>
      <c r="G704" s="7" t="s">
        <v>23</v>
      </c>
      <c r="H704" s="7" t="s">
        <v>31</v>
      </c>
      <c r="I704" s="7">
        <v>27</v>
      </c>
      <c r="J704" s="7">
        <v>45</v>
      </c>
      <c r="K704" s="20">
        <v>46436.7</v>
      </c>
      <c r="L704" s="20">
        <v>211.49</v>
      </c>
      <c r="M704" s="7">
        <v>253.44</v>
      </c>
      <c r="N704" s="20">
        <f>Table15[[#This Row],[Processing Fee]]-Table15[[#This Row],[Discount Applied]]</f>
        <v>-41.949999999999989</v>
      </c>
      <c r="O704" s="7" t="str">
        <f>IF(Table15[[#This Row],[Revenue]]&gt;35000,"Achieved","Not Achieved")</f>
        <v>Achieved</v>
      </c>
      <c r="P704" s="8">
        <v>1</v>
      </c>
      <c r="Q704" s="7" t="str">
        <f>IF(AND(Table15[[#This Row],[CSAT Score]]&lt;=3,Table15[[#This Row],[Revenue]]&gt;=20000),"High-Risk","Stable")</f>
        <v>High-Risk</v>
      </c>
      <c r="R704" s="8" t="str" cm="1">
        <f t="array" ref="R704">_xlfn.IFS(Table15[[#This Row],[Revenue]]&gt;=35000,"Platinum",Table15[[#This Row],[Revenue]]&gt;=15000,"Gold",TRUE,"Standard")</f>
        <v>Platinum</v>
      </c>
      <c r="S704" s="8" t="str">
        <f>IF(OR(Table15[[#This Row],[Product]]="Wealth Management",Table15[[#This Row],[Revenue]]&gt;=40000),"Yes","No")</f>
        <v>Yes</v>
      </c>
    </row>
    <row r="705" spans="1:19" x14ac:dyDescent="0.3">
      <c r="A705" s="5" t="s">
        <v>763</v>
      </c>
      <c r="B705" s="6">
        <v>46216</v>
      </c>
      <c r="C705" s="7" t="s">
        <v>44</v>
      </c>
      <c r="D705" s="7" t="s">
        <v>61</v>
      </c>
      <c r="E705" s="7" t="s">
        <v>28</v>
      </c>
      <c r="F705" s="7" t="s">
        <v>29</v>
      </c>
      <c r="G705" s="7" t="s">
        <v>23</v>
      </c>
      <c r="H705" s="7" t="s">
        <v>53</v>
      </c>
      <c r="I705" s="7">
        <v>50</v>
      </c>
      <c r="J705" s="7">
        <v>97</v>
      </c>
      <c r="K705" s="20">
        <v>8688.2999999999993</v>
      </c>
      <c r="L705" s="20">
        <v>324.52</v>
      </c>
      <c r="M705" s="7">
        <v>179.51</v>
      </c>
      <c r="N705" s="20">
        <f>Table15[[#This Row],[Processing Fee]]-Table15[[#This Row],[Discount Applied]]</f>
        <v>145.01</v>
      </c>
      <c r="O705" s="7" t="str">
        <f>IF(Table15[[#This Row],[Revenue]]&gt;35000,"Achieved","Not Achieved")</f>
        <v>Not Achieved</v>
      </c>
      <c r="P705" s="8">
        <v>2</v>
      </c>
      <c r="Q705" s="7" t="str">
        <f>IF(AND(Table15[[#This Row],[CSAT Score]]&lt;=3,Table15[[#This Row],[Revenue]]&gt;=20000),"High-Risk","Stable")</f>
        <v>Stable</v>
      </c>
      <c r="R705" s="8" t="str" cm="1">
        <f t="array" ref="R705">_xlfn.IFS(Table15[[#This Row],[Revenue]]&gt;=35000,"Platinum",Table15[[#This Row],[Revenue]]&gt;=15000,"Gold",TRUE,"Standard")</f>
        <v>Standard</v>
      </c>
      <c r="S705" s="8" t="str">
        <f>IF(OR(Table15[[#This Row],[Product]]="Wealth Management",Table15[[#This Row],[Revenue]]&gt;=40000),"Yes","No")</f>
        <v>No</v>
      </c>
    </row>
    <row r="706" spans="1:19" x14ac:dyDescent="0.3">
      <c r="A706" s="5" t="s">
        <v>764</v>
      </c>
      <c r="B706" s="6">
        <v>45887</v>
      </c>
      <c r="C706" s="7" t="s">
        <v>33</v>
      </c>
      <c r="D706" s="7" t="s">
        <v>20</v>
      </c>
      <c r="E706" s="7" t="s">
        <v>39</v>
      </c>
      <c r="F706" s="7" t="s">
        <v>22</v>
      </c>
      <c r="G706" s="7" t="s">
        <v>36</v>
      </c>
      <c r="H706" s="7" t="s">
        <v>57</v>
      </c>
      <c r="I706" s="7">
        <v>70</v>
      </c>
      <c r="J706" s="7">
        <v>23</v>
      </c>
      <c r="K706" s="20">
        <v>615.01</v>
      </c>
      <c r="L706" s="20">
        <v>222.12</v>
      </c>
      <c r="M706" s="7">
        <v>52.93</v>
      </c>
      <c r="N706" s="20">
        <f>Table15[[#This Row],[Processing Fee]]-Table15[[#This Row],[Discount Applied]]</f>
        <v>169.19</v>
      </c>
      <c r="O706" s="7" t="str">
        <f>IF(Table15[[#This Row],[Revenue]]&gt;35000,"Achieved","Not Achieved")</f>
        <v>Not Achieved</v>
      </c>
      <c r="P706" s="8">
        <v>2</v>
      </c>
      <c r="Q706" s="7" t="str">
        <f>IF(AND(Table15[[#This Row],[CSAT Score]]&lt;=3,Table15[[#This Row],[Revenue]]&gt;=20000),"High-Risk","Stable")</f>
        <v>Stable</v>
      </c>
      <c r="R706" s="8" t="str" cm="1">
        <f t="array" ref="R706">_xlfn.IFS(Table15[[#This Row],[Revenue]]&gt;=35000,"Platinum",Table15[[#This Row],[Revenue]]&gt;=15000,"Gold",TRUE,"Standard")</f>
        <v>Standard</v>
      </c>
      <c r="S706" s="8" t="str">
        <f>IF(OR(Table15[[#This Row],[Product]]="Wealth Management",Table15[[#This Row],[Revenue]]&gt;=40000),"Yes","No")</f>
        <v>Yes</v>
      </c>
    </row>
    <row r="707" spans="1:19" x14ac:dyDescent="0.3">
      <c r="A707" s="5" t="s">
        <v>765</v>
      </c>
      <c r="B707" s="6">
        <v>46188</v>
      </c>
      <c r="C707" s="7" t="s">
        <v>33</v>
      </c>
      <c r="D707" s="7" t="s">
        <v>63</v>
      </c>
      <c r="E707" s="7" t="s">
        <v>59</v>
      </c>
      <c r="F707" s="7" t="s">
        <v>22</v>
      </c>
      <c r="G707" s="7" t="s">
        <v>65</v>
      </c>
      <c r="H707" s="7" t="s">
        <v>24</v>
      </c>
      <c r="I707" s="7">
        <v>29</v>
      </c>
      <c r="J707" s="7">
        <v>23</v>
      </c>
      <c r="K707" s="20">
        <v>49204.58</v>
      </c>
      <c r="L707" s="20">
        <v>187.04</v>
      </c>
      <c r="M707" s="7">
        <v>142.25</v>
      </c>
      <c r="N707" s="20">
        <f>Table15[[#This Row],[Processing Fee]]-Table15[[#This Row],[Discount Applied]]</f>
        <v>44.789999999999992</v>
      </c>
      <c r="O707" s="7" t="str">
        <f>IF(Table15[[#This Row],[Revenue]]&gt;35000,"Achieved","Not Achieved")</f>
        <v>Achieved</v>
      </c>
      <c r="P707" s="8">
        <v>4</v>
      </c>
      <c r="Q707" s="7" t="str">
        <f>IF(AND(Table15[[#This Row],[CSAT Score]]&lt;=3,Table15[[#This Row],[Revenue]]&gt;=20000),"High-Risk","Stable")</f>
        <v>Stable</v>
      </c>
      <c r="R707" s="8" t="str" cm="1">
        <f t="array" ref="R707">_xlfn.IFS(Table15[[#This Row],[Revenue]]&gt;=35000,"Platinum",Table15[[#This Row],[Revenue]]&gt;=15000,"Gold",TRUE,"Standard")</f>
        <v>Platinum</v>
      </c>
      <c r="S707" s="8" t="str">
        <f>IF(OR(Table15[[#This Row],[Product]]="Wealth Management",Table15[[#This Row],[Revenue]]&gt;=40000),"Yes","No")</f>
        <v>Yes</v>
      </c>
    </row>
    <row r="708" spans="1:19" x14ac:dyDescent="0.3">
      <c r="A708" s="5" t="s">
        <v>766</v>
      </c>
      <c r="B708" s="6">
        <v>46198</v>
      </c>
      <c r="C708" s="7" t="s">
        <v>26</v>
      </c>
      <c r="D708" s="7" t="s">
        <v>27</v>
      </c>
      <c r="E708" s="7" t="s">
        <v>21</v>
      </c>
      <c r="F708" s="7" t="s">
        <v>69</v>
      </c>
      <c r="G708" s="7" t="s">
        <v>23</v>
      </c>
      <c r="H708" s="7" t="s">
        <v>24</v>
      </c>
      <c r="I708" s="7">
        <v>55</v>
      </c>
      <c r="J708" s="7">
        <v>26</v>
      </c>
      <c r="K708" s="20">
        <v>45353.81</v>
      </c>
      <c r="L708" s="20">
        <v>61.19</v>
      </c>
      <c r="M708" s="7">
        <v>20</v>
      </c>
      <c r="N708" s="20">
        <f>Table15[[#This Row],[Processing Fee]]-Table15[[#This Row],[Discount Applied]]</f>
        <v>41.19</v>
      </c>
      <c r="O708" s="7" t="str">
        <f>IF(Table15[[#This Row],[Revenue]]&gt;35000,"Achieved","Not Achieved")</f>
        <v>Achieved</v>
      </c>
      <c r="P708" s="8">
        <v>1</v>
      </c>
      <c r="Q708" s="7" t="str">
        <f>IF(AND(Table15[[#This Row],[CSAT Score]]&lt;=3,Table15[[#This Row],[Revenue]]&gt;=20000),"High-Risk","Stable")</f>
        <v>High-Risk</v>
      </c>
      <c r="R708" s="8" t="str" cm="1">
        <f t="array" ref="R708">_xlfn.IFS(Table15[[#This Row],[Revenue]]&gt;=35000,"Platinum",Table15[[#This Row],[Revenue]]&gt;=15000,"Gold",TRUE,"Standard")</f>
        <v>Platinum</v>
      </c>
      <c r="S708" s="8" t="str">
        <f>IF(OR(Table15[[#This Row],[Product]]="Wealth Management",Table15[[#This Row],[Revenue]]&gt;=40000),"Yes","No")</f>
        <v>Yes</v>
      </c>
    </row>
    <row r="709" spans="1:19" x14ac:dyDescent="0.3">
      <c r="A709" s="5" t="s">
        <v>767</v>
      </c>
      <c r="B709" s="6">
        <v>46114</v>
      </c>
      <c r="C709" s="7" t="s">
        <v>44</v>
      </c>
      <c r="D709" s="7" t="s">
        <v>48</v>
      </c>
      <c r="E709" s="7" t="s">
        <v>46</v>
      </c>
      <c r="F709" s="7" t="s">
        <v>69</v>
      </c>
      <c r="G709" s="7" t="s">
        <v>23</v>
      </c>
      <c r="H709" s="7" t="s">
        <v>53</v>
      </c>
      <c r="I709" s="7">
        <v>28</v>
      </c>
      <c r="J709" s="7">
        <v>77</v>
      </c>
      <c r="K709" s="20">
        <v>3244.54</v>
      </c>
      <c r="L709" s="20">
        <v>51.76</v>
      </c>
      <c r="M709" s="7">
        <v>6.71</v>
      </c>
      <c r="N709" s="20">
        <f>Table15[[#This Row],[Processing Fee]]-Table15[[#This Row],[Discount Applied]]</f>
        <v>45.05</v>
      </c>
      <c r="O709" s="7" t="str">
        <f>IF(Table15[[#This Row],[Revenue]]&gt;35000,"Achieved","Not Achieved")</f>
        <v>Not Achieved</v>
      </c>
      <c r="P709" s="8">
        <v>3</v>
      </c>
      <c r="Q709" s="7" t="str">
        <f>IF(AND(Table15[[#This Row],[CSAT Score]]&lt;=3,Table15[[#This Row],[Revenue]]&gt;=20000),"High-Risk","Stable")</f>
        <v>Stable</v>
      </c>
      <c r="R709" s="8" t="str" cm="1">
        <f t="array" ref="R709">_xlfn.IFS(Table15[[#This Row],[Revenue]]&gt;=35000,"Platinum",Table15[[#This Row],[Revenue]]&gt;=15000,"Gold",TRUE,"Standard")</f>
        <v>Standard</v>
      </c>
      <c r="S709" s="8" t="str">
        <f>IF(OR(Table15[[#This Row],[Product]]="Wealth Management",Table15[[#This Row],[Revenue]]&gt;=40000),"Yes","No")</f>
        <v>No</v>
      </c>
    </row>
    <row r="710" spans="1:19" x14ac:dyDescent="0.3">
      <c r="A710" s="5" t="s">
        <v>768</v>
      </c>
      <c r="B710" s="6">
        <v>46099</v>
      </c>
      <c r="C710" s="7" t="s">
        <v>44</v>
      </c>
      <c r="D710" s="7" t="s">
        <v>34</v>
      </c>
      <c r="E710" s="7" t="s">
        <v>28</v>
      </c>
      <c r="F710" s="7" t="s">
        <v>69</v>
      </c>
      <c r="G710" s="7" t="s">
        <v>56</v>
      </c>
      <c r="H710" s="7" t="s">
        <v>57</v>
      </c>
      <c r="I710" s="7">
        <v>44</v>
      </c>
      <c r="J710" s="7">
        <v>7</v>
      </c>
      <c r="K710" s="20">
        <v>41735.199999999997</v>
      </c>
      <c r="L710" s="20">
        <v>152.24</v>
      </c>
      <c r="M710" s="7">
        <v>112.08</v>
      </c>
      <c r="N710" s="20">
        <f>Table15[[#This Row],[Processing Fee]]-Table15[[#This Row],[Discount Applied]]</f>
        <v>40.160000000000011</v>
      </c>
      <c r="O710" s="7" t="str">
        <f>IF(Table15[[#This Row],[Revenue]]&gt;35000,"Achieved","Not Achieved")</f>
        <v>Achieved</v>
      </c>
      <c r="P710" s="8">
        <v>2</v>
      </c>
      <c r="Q710" s="7" t="str">
        <f>IF(AND(Table15[[#This Row],[CSAT Score]]&lt;=3,Table15[[#This Row],[Revenue]]&gt;=20000),"High-Risk","Stable")</f>
        <v>High-Risk</v>
      </c>
      <c r="R710" s="8" t="str" cm="1">
        <f t="array" ref="R710">_xlfn.IFS(Table15[[#This Row],[Revenue]]&gt;=35000,"Platinum",Table15[[#This Row],[Revenue]]&gt;=15000,"Gold",TRUE,"Standard")</f>
        <v>Platinum</v>
      </c>
      <c r="S710" s="8" t="str">
        <f>IF(OR(Table15[[#This Row],[Product]]="Wealth Management",Table15[[#This Row],[Revenue]]&gt;=40000),"Yes","No")</f>
        <v>Yes</v>
      </c>
    </row>
    <row r="711" spans="1:19" x14ac:dyDescent="0.3">
      <c r="A711" s="5" t="s">
        <v>769</v>
      </c>
      <c r="B711" s="6">
        <v>46118</v>
      </c>
      <c r="C711" s="7" t="s">
        <v>44</v>
      </c>
      <c r="D711" s="7" t="s">
        <v>79</v>
      </c>
      <c r="E711" s="7" t="s">
        <v>59</v>
      </c>
      <c r="F711" s="7" t="s">
        <v>35</v>
      </c>
      <c r="G711" s="7" t="s">
        <v>56</v>
      </c>
      <c r="H711" s="7" t="s">
        <v>53</v>
      </c>
      <c r="I711" s="7">
        <v>39</v>
      </c>
      <c r="J711" s="7">
        <v>79</v>
      </c>
      <c r="K711" s="20">
        <v>23161.34</v>
      </c>
      <c r="L711" s="20">
        <v>232.88</v>
      </c>
      <c r="M711" s="7">
        <v>138.97</v>
      </c>
      <c r="N711" s="20">
        <f>Table15[[#This Row],[Processing Fee]]-Table15[[#This Row],[Discount Applied]]</f>
        <v>93.91</v>
      </c>
      <c r="O711" s="7" t="str">
        <f>IF(Table15[[#This Row],[Revenue]]&gt;35000,"Achieved","Not Achieved")</f>
        <v>Not Achieved</v>
      </c>
      <c r="P711" s="8">
        <v>1</v>
      </c>
      <c r="Q711" s="7" t="str">
        <f>IF(AND(Table15[[#This Row],[CSAT Score]]&lt;=3,Table15[[#This Row],[Revenue]]&gt;=20000),"High-Risk","Stable")</f>
        <v>High-Risk</v>
      </c>
      <c r="R711" s="8" t="str" cm="1">
        <f t="array" ref="R711">_xlfn.IFS(Table15[[#This Row],[Revenue]]&gt;=35000,"Platinum",Table15[[#This Row],[Revenue]]&gt;=15000,"Gold",TRUE,"Standard")</f>
        <v>Gold</v>
      </c>
      <c r="S711" s="8" t="str">
        <f>IF(OR(Table15[[#This Row],[Product]]="Wealth Management",Table15[[#This Row],[Revenue]]&gt;=40000),"Yes","No")</f>
        <v>No</v>
      </c>
    </row>
    <row r="712" spans="1:19" x14ac:dyDescent="0.3">
      <c r="A712" s="5" t="s">
        <v>770</v>
      </c>
      <c r="B712" s="6">
        <v>46203</v>
      </c>
      <c r="C712" s="7" t="s">
        <v>19</v>
      </c>
      <c r="D712" s="7" t="s">
        <v>50</v>
      </c>
      <c r="E712" s="7" t="s">
        <v>39</v>
      </c>
      <c r="F712" s="7" t="s">
        <v>22</v>
      </c>
      <c r="G712" s="7" t="s">
        <v>23</v>
      </c>
      <c r="H712" s="7" t="s">
        <v>57</v>
      </c>
      <c r="I712" s="7">
        <v>56</v>
      </c>
      <c r="J712" s="7">
        <v>44</v>
      </c>
      <c r="K712" s="20">
        <v>13318.6</v>
      </c>
      <c r="L712" s="20">
        <v>433.07</v>
      </c>
      <c r="M712" s="7">
        <v>159.16</v>
      </c>
      <c r="N712" s="20">
        <f>Table15[[#This Row],[Processing Fee]]-Table15[[#This Row],[Discount Applied]]</f>
        <v>273.90999999999997</v>
      </c>
      <c r="O712" s="7" t="str">
        <f>IF(Table15[[#This Row],[Revenue]]&gt;35000,"Achieved","Not Achieved")</f>
        <v>Not Achieved</v>
      </c>
      <c r="P712" s="8">
        <v>3</v>
      </c>
      <c r="Q712" s="7" t="str">
        <f>IF(AND(Table15[[#This Row],[CSAT Score]]&lt;=3,Table15[[#This Row],[Revenue]]&gt;=20000),"High-Risk","Stable")</f>
        <v>Stable</v>
      </c>
      <c r="R712" s="8" t="str" cm="1">
        <f t="array" ref="R712">_xlfn.IFS(Table15[[#This Row],[Revenue]]&gt;=35000,"Platinum",Table15[[#This Row],[Revenue]]&gt;=15000,"Gold",TRUE,"Standard")</f>
        <v>Standard</v>
      </c>
      <c r="S712" s="8" t="str">
        <f>IF(OR(Table15[[#This Row],[Product]]="Wealth Management",Table15[[#This Row],[Revenue]]&gt;=40000),"Yes","No")</f>
        <v>Yes</v>
      </c>
    </row>
    <row r="713" spans="1:19" x14ac:dyDescent="0.3">
      <c r="A713" s="5" t="s">
        <v>771</v>
      </c>
      <c r="B713" s="6">
        <v>46208</v>
      </c>
      <c r="C713" s="7" t="s">
        <v>55</v>
      </c>
      <c r="D713" s="7" t="s">
        <v>87</v>
      </c>
      <c r="E713" s="7" t="s">
        <v>59</v>
      </c>
      <c r="F713" s="7" t="s">
        <v>40</v>
      </c>
      <c r="G713" s="7" t="s">
        <v>36</v>
      </c>
      <c r="H713" s="7" t="s">
        <v>31</v>
      </c>
      <c r="I713" s="7">
        <v>70</v>
      </c>
      <c r="J713" s="7">
        <v>27</v>
      </c>
      <c r="K713" s="20">
        <v>43997.95</v>
      </c>
      <c r="L713" s="20">
        <v>409.32</v>
      </c>
      <c r="M713" s="7">
        <v>102.06</v>
      </c>
      <c r="N713" s="20">
        <f>Table15[[#This Row],[Processing Fee]]-Table15[[#This Row],[Discount Applied]]</f>
        <v>307.26</v>
      </c>
      <c r="O713" s="7" t="str">
        <f>IF(Table15[[#This Row],[Revenue]]&gt;35000,"Achieved","Not Achieved")</f>
        <v>Achieved</v>
      </c>
      <c r="P713" s="8">
        <v>2</v>
      </c>
      <c r="Q713" s="7" t="str">
        <f>IF(AND(Table15[[#This Row],[CSAT Score]]&lt;=3,Table15[[#This Row],[Revenue]]&gt;=20000),"High-Risk","Stable")</f>
        <v>High-Risk</v>
      </c>
      <c r="R713" s="8" t="str" cm="1">
        <f t="array" ref="R713">_xlfn.IFS(Table15[[#This Row],[Revenue]]&gt;=35000,"Platinum",Table15[[#This Row],[Revenue]]&gt;=15000,"Gold",TRUE,"Standard")</f>
        <v>Platinum</v>
      </c>
      <c r="S713" s="8" t="str">
        <f>IF(OR(Table15[[#This Row],[Product]]="Wealth Management",Table15[[#This Row],[Revenue]]&gt;=40000),"Yes","No")</f>
        <v>Yes</v>
      </c>
    </row>
    <row r="714" spans="1:19" x14ac:dyDescent="0.3">
      <c r="A714" s="5" t="s">
        <v>772</v>
      </c>
      <c r="B714" s="6">
        <v>46032</v>
      </c>
      <c r="C714" s="7" t="s">
        <v>91</v>
      </c>
      <c r="D714" s="7" t="s">
        <v>87</v>
      </c>
      <c r="E714" s="7" t="s">
        <v>39</v>
      </c>
      <c r="F714" s="7" t="s">
        <v>29</v>
      </c>
      <c r="G714" s="7" t="s">
        <v>23</v>
      </c>
      <c r="H714" s="7" t="s">
        <v>57</v>
      </c>
      <c r="I714" s="7">
        <v>72</v>
      </c>
      <c r="J714" s="7">
        <v>26</v>
      </c>
      <c r="K714" s="20">
        <v>10235.030000000001</v>
      </c>
      <c r="L714" s="20">
        <v>170.22</v>
      </c>
      <c r="M714" s="7">
        <v>1.31</v>
      </c>
      <c r="N714" s="20">
        <f>Table15[[#This Row],[Processing Fee]]-Table15[[#This Row],[Discount Applied]]</f>
        <v>168.91</v>
      </c>
      <c r="O714" s="7" t="str">
        <f>IF(Table15[[#This Row],[Revenue]]&gt;35000,"Achieved","Not Achieved")</f>
        <v>Not Achieved</v>
      </c>
      <c r="P714" s="8">
        <v>1</v>
      </c>
      <c r="Q714" s="7" t="str">
        <f>IF(AND(Table15[[#This Row],[CSAT Score]]&lt;=3,Table15[[#This Row],[Revenue]]&gt;=20000),"High-Risk","Stable")</f>
        <v>Stable</v>
      </c>
      <c r="R714" s="8" t="str" cm="1">
        <f t="array" ref="R714">_xlfn.IFS(Table15[[#This Row],[Revenue]]&gt;=35000,"Platinum",Table15[[#This Row],[Revenue]]&gt;=15000,"Gold",TRUE,"Standard")</f>
        <v>Standard</v>
      </c>
      <c r="S714" s="8" t="str">
        <f>IF(OR(Table15[[#This Row],[Product]]="Wealth Management",Table15[[#This Row],[Revenue]]&gt;=40000),"Yes","No")</f>
        <v>No</v>
      </c>
    </row>
    <row r="715" spans="1:19" x14ac:dyDescent="0.3">
      <c r="A715" s="5" t="s">
        <v>773</v>
      </c>
      <c r="B715" s="6">
        <v>46007</v>
      </c>
      <c r="C715" s="7" t="s">
        <v>26</v>
      </c>
      <c r="D715" s="7" t="s">
        <v>63</v>
      </c>
      <c r="E715" s="7" t="s">
        <v>21</v>
      </c>
      <c r="F715" s="7" t="s">
        <v>35</v>
      </c>
      <c r="G715" s="7" t="s">
        <v>30</v>
      </c>
      <c r="H715" s="7" t="s">
        <v>57</v>
      </c>
      <c r="I715" s="7">
        <v>63</v>
      </c>
      <c r="J715" s="7">
        <v>97</v>
      </c>
      <c r="K715" s="20">
        <v>47391.35</v>
      </c>
      <c r="L715" s="20">
        <v>160.04</v>
      </c>
      <c r="M715" s="7">
        <v>95.9</v>
      </c>
      <c r="N715" s="20">
        <f>Table15[[#This Row],[Processing Fee]]-Table15[[#This Row],[Discount Applied]]</f>
        <v>64.139999999999986</v>
      </c>
      <c r="O715" s="7" t="str">
        <f>IF(Table15[[#This Row],[Revenue]]&gt;35000,"Achieved","Not Achieved")</f>
        <v>Achieved</v>
      </c>
      <c r="P715" s="8">
        <v>4</v>
      </c>
      <c r="Q715" s="7" t="str">
        <f>IF(AND(Table15[[#This Row],[CSAT Score]]&lt;=3,Table15[[#This Row],[Revenue]]&gt;=20000),"High-Risk","Stable")</f>
        <v>Stable</v>
      </c>
      <c r="R715" s="8" t="str" cm="1">
        <f t="array" ref="R715">_xlfn.IFS(Table15[[#This Row],[Revenue]]&gt;=35000,"Platinum",Table15[[#This Row],[Revenue]]&gt;=15000,"Gold",TRUE,"Standard")</f>
        <v>Platinum</v>
      </c>
      <c r="S715" s="8" t="str">
        <f>IF(OR(Table15[[#This Row],[Product]]="Wealth Management",Table15[[#This Row],[Revenue]]&gt;=40000),"Yes","No")</f>
        <v>Yes</v>
      </c>
    </row>
    <row r="716" spans="1:19" x14ac:dyDescent="0.3">
      <c r="A716" s="5" t="s">
        <v>774</v>
      </c>
      <c r="B716" s="6">
        <v>46167</v>
      </c>
      <c r="C716" s="7" t="s">
        <v>44</v>
      </c>
      <c r="D716" s="7" t="s">
        <v>77</v>
      </c>
      <c r="E716" s="7" t="s">
        <v>46</v>
      </c>
      <c r="F716" s="7" t="s">
        <v>40</v>
      </c>
      <c r="G716" s="7" t="s">
        <v>65</v>
      </c>
      <c r="H716" s="7" t="s">
        <v>57</v>
      </c>
      <c r="I716" s="7">
        <v>47</v>
      </c>
      <c r="J716" s="7">
        <v>79</v>
      </c>
      <c r="K716" s="20">
        <v>10678.26</v>
      </c>
      <c r="L716" s="20">
        <v>152.29</v>
      </c>
      <c r="M716" s="7">
        <v>3.17</v>
      </c>
      <c r="N716" s="20">
        <f>Table15[[#This Row],[Processing Fee]]-Table15[[#This Row],[Discount Applied]]</f>
        <v>149.12</v>
      </c>
      <c r="O716" s="7" t="str">
        <f>IF(Table15[[#This Row],[Revenue]]&gt;35000,"Achieved","Not Achieved")</f>
        <v>Not Achieved</v>
      </c>
      <c r="P716" s="8">
        <v>2</v>
      </c>
      <c r="Q716" s="7" t="str">
        <f>IF(AND(Table15[[#This Row],[CSAT Score]]&lt;=3,Table15[[#This Row],[Revenue]]&gt;=20000),"High-Risk","Stable")</f>
        <v>Stable</v>
      </c>
      <c r="R716" s="8" t="str" cm="1">
        <f t="array" ref="R716">_xlfn.IFS(Table15[[#This Row],[Revenue]]&gt;=35000,"Platinum",Table15[[#This Row],[Revenue]]&gt;=15000,"Gold",TRUE,"Standard")</f>
        <v>Standard</v>
      </c>
      <c r="S716" s="8" t="str">
        <f>IF(OR(Table15[[#This Row],[Product]]="Wealth Management",Table15[[#This Row],[Revenue]]&gt;=40000),"Yes","No")</f>
        <v>No</v>
      </c>
    </row>
    <row r="717" spans="1:19" x14ac:dyDescent="0.3">
      <c r="A717" s="5" t="s">
        <v>775</v>
      </c>
      <c r="B717" s="6">
        <v>45894</v>
      </c>
      <c r="C717" s="7" t="s">
        <v>44</v>
      </c>
      <c r="D717" s="7" t="s">
        <v>77</v>
      </c>
      <c r="E717" s="7" t="s">
        <v>21</v>
      </c>
      <c r="F717" s="7" t="s">
        <v>22</v>
      </c>
      <c r="G717" s="7" t="s">
        <v>36</v>
      </c>
      <c r="H717" s="7" t="s">
        <v>24</v>
      </c>
      <c r="I717" s="7">
        <v>52</v>
      </c>
      <c r="J717" s="7">
        <v>36</v>
      </c>
      <c r="K717" s="20">
        <v>30877.32</v>
      </c>
      <c r="L717" s="20">
        <v>202.66</v>
      </c>
      <c r="M717" s="7">
        <v>18.399999999999999</v>
      </c>
      <c r="N717" s="20">
        <f>Table15[[#This Row],[Processing Fee]]-Table15[[#This Row],[Discount Applied]]</f>
        <v>184.26</v>
      </c>
      <c r="O717" s="7" t="str">
        <f>IF(Table15[[#This Row],[Revenue]]&gt;35000,"Achieved","Not Achieved")</f>
        <v>Not Achieved</v>
      </c>
      <c r="P717" s="8">
        <v>2</v>
      </c>
      <c r="Q717" s="7" t="str">
        <f>IF(AND(Table15[[#This Row],[CSAT Score]]&lt;=3,Table15[[#This Row],[Revenue]]&gt;=20000),"High-Risk","Stable")</f>
        <v>High-Risk</v>
      </c>
      <c r="R717" s="8" t="str" cm="1">
        <f t="array" ref="R717">_xlfn.IFS(Table15[[#This Row],[Revenue]]&gt;=35000,"Platinum",Table15[[#This Row],[Revenue]]&gt;=15000,"Gold",TRUE,"Standard")</f>
        <v>Gold</v>
      </c>
      <c r="S717" s="8" t="str">
        <f>IF(OR(Table15[[#This Row],[Product]]="Wealth Management",Table15[[#This Row],[Revenue]]&gt;=40000),"Yes","No")</f>
        <v>Yes</v>
      </c>
    </row>
    <row r="718" spans="1:19" x14ac:dyDescent="0.3">
      <c r="A718" s="5" t="s">
        <v>776</v>
      </c>
      <c r="B718" s="6">
        <v>46126</v>
      </c>
      <c r="C718" s="7" t="s">
        <v>42</v>
      </c>
      <c r="D718" s="7" t="s">
        <v>63</v>
      </c>
      <c r="E718" s="7" t="s">
        <v>28</v>
      </c>
      <c r="F718" s="7" t="s">
        <v>69</v>
      </c>
      <c r="G718" s="7" t="s">
        <v>30</v>
      </c>
      <c r="H718" s="7" t="s">
        <v>57</v>
      </c>
      <c r="I718" s="7">
        <v>34</v>
      </c>
      <c r="J718" s="7">
        <v>109</v>
      </c>
      <c r="K718" s="20">
        <v>11542.77</v>
      </c>
      <c r="L718" s="20">
        <v>274.19</v>
      </c>
      <c r="M718" s="7">
        <v>65.34</v>
      </c>
      <c r="N718" s="20">
        <f>Table15[[#This Row],[Processing Fee]]-Table15[[#This Row],[Discount Applied]]</f>
        <v>208.85</v>
      </c>
      <c r="O718" s="7" t="str">
        <f>IF(Table15[[#This Row],[Revenue]]&gt;35000,"Achieved","Not Achieved")</f>
        <v>Not Achieved</v>
      </c>
      <c r="P718" s="8">
        <v>1</v>
      </c>
      <c r="Q718" s="7" t="str">
        <f>IF(AND(Table15[[#This Row],[CSAT Score]]&lt;=3,Table15[[#This Row],[Revenue]]&gt;=20000),"High-Risk","Stable")</f>
        <v>Stable</v>
      </c>
      <c r="R718" s="8" t="str" cm="1">
        <f t="array" ref="R718">_xlfn.IFS(Table15[[#This Row],[Revenue]]&gt;=35000,"Platinum",Table15[[#This Row],[Revenue]]&gt;=15000,"Gold",TRUE,"Standard")</f>
        <v>Standard</v>
      </c>
      <c r="S718" s="8" t="str">
        <f>IF(OR(Table15[[#This Row],[Product]]="Wealth Management",Table15[[#This Row],[Revenue]]&gt;=40000),"Yes","No")</f>
        <v>No</v>
      </c>
    </row>
    <row r="719" spans="1:19" x14ac:dyDescent="0.3">
      <c r="A719" s="5" t="s">
        <v>777</v>
      </c>
      <c r="B719" s="6">
        <v>46211</v>
      </c>
      <c r="C719" s="7" t="s">
        <v>26</v>
      </c>
      <c r="D719" s="7" t="s">
        <v>61</v>
      </c>
      <c r="E719" s="7" t="s">
        <v>59</v>
      </c>
      <c r="F719" s="7" t="s">
        <v>22</v>
      </c>
      <c r="G719" s="7" t="s">
        <v>36</v>
      </c>
      <c r="H719" s="7" t="s">
        <v>31</v>
      </c>
      <c r="I719" s="7">
        <v>38</v>
      </c>
      <c r="J719" s="7">
        <v>55</v>
      </c>
      <c r="K719" s="20">
        <v>27510.6</v>
      </c>
      <c r="L719" s="20">
        <v>247.4</v>
      </c>
      <c r="M719" s="7">
        <v>131.15</v>
      </c>
      <c r="N719" s="20">
        <f>Table15[[#This Row],[Processing Fee]]-Table15[[#This Row],[Discount Applied]]</f>
        <v>116.25</v>
      </c>
      <c r="O719" s="7" t="str">
        <f>IF(Table15[[#This Row],[Revenue]]&gt;35000,"Achieved","Not Achieved")</f>
        <v>Not Achieved</v>
      </c>
      <c r="P719" s="8">
        <v>2</v>
      </c>
      <c r="Q719" s="7" t="str">
        <f>IF(AND(Table15[[#This Row],[CSAT Score]]&lt;=3,Table15[[#This Row],[Revenue]]&gt;=20000),"High-Risk","Stable")</f>
        <v>High-Risk</v>
      </c>
      <c r="R719" s="8" t="str" cm="1">
        <f t="array" ref="R719">_xlfn.IFS(Table15[[#This Row],[Revenue]]&gt;=35000,"Platinum",Table15[[#This Row],[Revenue]]&gt;=15000,"Gold",TRUE,"Standard")</f>
        <v>Gold</v>
      </c>
      <c r="S719" s="8" t="str">
        <f>IF(OR(Table15[[#This Row],[Product]]="Wealth Management",Table15[[#This Row],[Revenue]]&gt;=40000),"Yes","No")</f>
        <v>Yes</v>
      </c>
    </row>
    <row r="720" spans="1:19" x14ac:dyDescent="0.3">
      <c r="A720" s="5" t="s">
        <v>778</v>
      </c>
      <c r="B720" s="6">
        <v>45902</v>
      </c>
      <c r="C720" s="7" t="s">
        <v>44</v>
      </c>
      <c r="D720" s="7" t="s">
        <v>68</v>
      </c>
      <c r="E720" s="7" t="s">
        <v>39</v>
      </c>
      <c r="F720" s="7" t="s">
        <v>29</v>
      </c>
      <c r="G720" s="7" t="s">
        <v>30</v>
      </c>
      <c r="H720" s="7" t="s">
        <v>31</v>
      </c>
      <c r="I720" s="7">
        <v>48</v>
      </c>
      <c r="J720" s="7">
        <v>64</v>
      </c>
      <c r="K720" s="20">
        <v>34356.769999999997</v>
      </c>
      <c r="L720" s="20">
        <v>148.22</v>
      </c>
      <c r="M720" s="7">
        <v>83.84</v>
      </c>
      <c r="N720" s="20">
        <f>Table15[[#This Row],[Processing Fee]]-Table15[[#This Row],[Discount Applied]]</f>
        <v>64.38</v>
      </c>
      <c r="O720" s="7" t="str">
        <f>IF(Table15[[#This Row],[Revenue]]&gt;35000,"Achieved","Not Achieved")</f>
        <v>Not Achieved</v>
      </c>
      <c r="P720" s="8">
        <v>3</v>
      </c>
      <c r="Q720" s="7" t="str">
        <f>IF(AND(Table15[[#This Row],[CSAT Score]]&lt;=3,Table15[[#This Row],[Revenue]]&gt;=20000),"High-Risk","Stable")</f>
        <v>High-Risk</v>
      </c>
      <c r="R720" s="8" t="str" cm="1">
        <f t="array" ref="R720">_xlfn.IFS(Table15[[#This Row],[Revenue]]&gt;=35000,"Platinum",Table15[[#This Row],[Revenue]]&gt;=15000,"Gold",TRUE,"Standard")</f>
        <v>Gold</v>
      </c>
      <c r="S720" s="8" t="str">
        <f>IF(OR(Table15[[#This Row],[Product]]="Wealth Management",Table15[[#This Row],[Revenue]]&gt;=40000),"Yes","No")</f>
        <v>No</v>
      </c>
    </row>
    <row r="721" spans="1:19" x14ac:dyDescent="0.3">
      <c r="A721" s="5" t="s">
        <v>779</v>
      </c>
      <c r="B721" s="6">
        <v>46073</v>
      </c>
      <c r="C721" s="7" t="s">
        <v>26</v>
      </c>
      <c r="D721" s="7" t="s">
        <v>52</v>
      </c>
      <c r="E721" s="7" t="s">
        <v>39</v>
      </c>
      <c r="F721" s="7" t="s">
        <v>35</v>
      </c>
      <c r="G721" s="7" t="s">
        <v>65</v>
      </c>
      <c r="H721" s="7" t="s">
        <v>31</v>
      </c>
      <c r="I721" s="7">
        <v>49</v>
      </c>
      <c r="J721" s="7">
        <v>91</v>
      </c>
      <c r="K721" s="20">
        <v>9916.2800000000007</v>
      </c>
      <c r="L721" s="20">
        <v>108.7</v>
      </c>
      <c r="M721" s="7">
        <v>174.56</v>
      </c>
      <c r="N721" s="20">
        <f>Table15[[#This Row],[Processing Fee]]-Table15[[#This Row],[Discount Applied]]</f>
        <v>-65.86</v>
      </c>
      <c r="O721" s="7" t="str">
        <f>IF(Table15[[#This Row],[Revenue]]&gt;35000,"Achieved","Not Achieved")</f>
        <v>Not Achieved</v>
      </c>
      <c r="P721" s="8">
        <v>2</v>
      </c>
      <c r="Q721" s="7" t="str">
        <f>IF(AND(Table15[[#This Row],[CSAT Score]]&lt;=3,Table15[[#This Row],[Revenue]]&gt;=20000),"High-Risk","Stable")</f>
        <v>Stable</v>
      </c>
      <c r="R721" s="8" t="str" cm="1">
        <f t="array" ref="R721">_xlfn.IFS(Table15[[#This Row],[Revenue]]&gt;=35000,"Platinum",Table15[[#This Row],[Revenue]]&gt;=15000,"Gold",TRUE,"Standard")</f>
        <v>Standard</v>
      </c>
      <c r="S721" s="8" t="str">
        <f>IF(OR(Table15[[#This Row],[Product]]="Wealth Management",Table15[[#This Row],[Revenue]]&gt;=40000),"Yes","No")</f>
        <v>No</v>
      </c>
    </row>
    <row r="722" spans="1:19" x14ac:dyDescent="0.3">
      <c r="A722" s="5" t="s">
        <v>780</v>
      </c>
      <c r="B722" s="6">
        <v>46146</v>
      </c>
      <c r="C722" s="7" t="s">
        <v>55</v>
      </c>
      <c r="D722" s="7" t="s">
        <v>34</v>
      </c>
      <c r="E722" s="7" t="s">
        <v>59</v>
      </c>
      <c r="F722" s="7" t="s">
        <v>35</v>
      </c>
      <c r="G722" s="7" t="s">
        <v>65</v>
      </c>
      <c r="H722" s="7" t="s">
        <v>57</v>
      </c>
      <c r="I722" s="7">
        <v>36</v>
      </c>
      <c r="J722" s="7">
        <v>57</v>
      </c>
      <c r="K722" s="20">
        <v>26283.85</v>
      </c>
      <c r="L722" s="20">
        <v>55.66</v>
      </c>
      <c r="M722" s="7">
        <v>11.07</v>
      </c>
      <c r="N722" s="20">
        <f>Table15[[#This Row],[Processing Fee]]-Table15[[#This Row],[Discount Applied]]</f>
        <v>44.589999999999996</v>
      </c>
      <c r="O722" s="7" t="str">
        <f>IF(Table15[[#This Row],[Revenue]]&gt;35000,"Achieved","Not Achieved")</f>
        <v>Not Achieved</v>
      </c>
      <c r="P722" s="8">
        <v>5</v>
      </c>
      <c r="Q722" s="7" t="str">
        <f>IF(AND(Table15[[#This Row],[CSAT Score]]&lt;=3,Table15[[#This Row],[Revenue]]&gt;=20000),"High-Risk","Stable")</f>
        <v>Stable</v>
      </c>
      <c r="R722" s="8" t="str" cm="1">
        <f t="array" ref="R722">_xlfn.IFS(Table15[[#This Row],[Revenue]]&gt;=35000,"Platinum",Table15[[#This Row],[Revenue]]&gt;=15000,"Gold",TRUE,"Standard")</f>
        <v>Gold</v>
      </c>
      <c r="S722" s="8" t="str">
        <f>IF(OR(Table15[[#This Row],[Product]]="Wealth Management",Table15[[#This Row],[Revenue]]&gt;=40000),"Yes","No")</f>
        <v>No</v>
      </c>
    </row>
    <row r="723" spans="1:19" x14ac:dyDescent="0.3">
      <c r="A723" s="5" t="s">
        <v>781</v>
      </c>
      <c r="B723" s="6">
        <v>45990</v>
      </c>
      <c r="C723" s="7" t="s">
        <v>42</v>
      </c>
      <c r="D723" s="7" t="s">
        <v>87</v>
      </c>
      <c r="E723" s="7" t="s">
        <v>59</v>
      </c>
      <c r="F723" s="7" t="s">
        <v>29</v>
      </c>
      <c r="G723" s="7" t="s">
        <v>56</v>
      </c>
      <c r="H723" s="7" t="s">
        <v>53</v>
      </c>
      <c r="I723" s="7">
        <v>55</v>
      </c>
      <c r="J723" s="7">
        <v>69</v>
      </c>
      <c r="K723" s="20">
        <v>23718.46</v>
      </c>
      <c r="L723" s="20">
        <v>119.28</v>
      </c>
      <c r="M723" s="7">
        <v>28.92</v>
      </c>
      <c r="N723" s="20">
        <f>Table15[[#This Row],[Processing Fee]]-Table15[[#This Row],[Discount Applied]]</f>
        <v>90.36</v>
      </c>
      <c r="O723" s="7" t="str">
        <f>IF(Table15[[#This Row],[Revenue]]&gt;35000,"Achieved","Not Achieved")</f>
        <v>Not Achieved</v>
      </c>
      <c r="P723" s="8">
        <v>3</v>
      </c>
      <c r="Q723" s="7" t="str">
        <f>IF(AND(Table15[[#This Row],[CSAT Score]]&lt;=3,Table15[[#This Row],[Revenue]]&gt;=20000),"High-Risk","Stable")</f>
        <v>High-Risk</v>
      </c>
      <c r="R723" s="8" t="str" cm="1">
        <f t="array" ref="R723">_xlfn.IFS(Table15[[#This Row],[Revenue]]&gt;=35000,"Platinum",Table15[[#This Row],[Revenue]]&gt;=15000,"Gold",TRUE,"Standard")</f>
        <v>Gold</v>
      </c>
      <c r="S723" s="8" t="str">
        <f>IF(OR(Table15[[#This Row],[Product]]="Wealth Management",Table15[[#This Row],[Revenue]]&gt;=40000),"Yes","No")</f>
        <v>No</v>
      </c>
    </row>
    <row r="724" spans="1:19" x14ac:dyDescent="0.3">
      <c r="A724" s="5" t="s">
        <v>782</v>
      </c>
      <c r="B724" s="6">
        <v>46215</v>
      </c>
      <c r="C724" s="7" t="s">
        <v>26</v>
      </c>
      <c r="D724" s="7" t="s">
        <v>87</v>
      </c>
      <c r="E724" s="7" t="s">
        <v>28</v>
      </c>
      <c r="F724" s="7" t="s">
        <v>40</v>
      </c>
      <c r="G724" s="7" t="s">
        <v>30</v>
      </c>
      <c r="H724" s="7" t="s">
        <v>53</v>
      </c>
      <c r="I724" s="7">
        <v>67</v>
      </c>
      <c r="J724" s="7">
        <v>61</v>
      </c>
      <c r="K724" s="20">
        <v>4016.35</v>
      </c>
      <c r="L724" s="20">
        <v>367.41</v>
      </c>
      <c r="M724" s="7">
        <v>139.05000000000001</v>
      </c>
      <c r="N724" s="20">
        <f>Table15[[#This Row],[Processing Fee]]-Table15[[#This Row],[Discount Applied]]</f>
        <v>228.36</v>
      </c>
      <c r="O724" s="7" t="str">
        <f>IF(Table15[[#This Row],[Revenue]]&gt;35000,"Achieved","Not Achieved")</f>
        <v>Not Achieved</v>
      </c>
      <c r="P724" s="8">
        <v>1</v>
      </c>
      <c r="Q724" s="7" t="str">
        <f>IF(AND(Table15[[#This Row],[CSAT Score]]&lt;=3,Table15[[#This Row],[Revenue]]&gt;=20000),"High-Risk","Stable")</f>
        <v>Stable</v>
      </c>
      <c r="R724" s="8" t="str" cm="1">
        <f t="array" ref="R724">_xlfn.IFS(Table15[[#This Row],[Revenue]]&gt;=35000,"Platinum",Table15[[#This Row],[Revenue]]&gt;=15000,"Gold",TRUE,"Standard")</f>
        <v>Standard</v>
      </c>
      <c r="S724" s="8" t="str">
        <f>IF(OR(Table15[[#This Row],[Product]]="Wealth Management",Table15[[#This Row],[Revenue]]&gt;=40000),"Yes","No")</f>
        <v>No</v>
      </c>
    </row>
    <row r="725" spans="1:19" x14ac:dyDescent="0.3">
      <c r="A725" s="5" t="s">
        <v>783</v>
      </c>
      <c r="B725" s="6">
        <v>45981</v>
      </c>
      <c r="C725" s="7" t="s">
        <v>91</v>
      </c>
      <c r="D725" s="7" t="s">
        <v>52</v>
      </c>
      <c r="E725" s="7" t="s">
        <v>21</v>
      </c>
      <c r="F725" s="7" t="s">
        <v>40</v>
      </c>
      <c r="G725" s="7" t="s">
        <v>56</v>
      </c>
      <c r="H725" s="7" t="s">
        <v>31</v>
      </c>
      <c r="I725" s="7">
        <v>51</v>
      </c>
      <c r="J725" s="7">
        <v>2</v>
      </c>
      <c r="K725" s="20">
        <v>41006.239999999998</v>
      </c>
      <c r="L725" s="20">
        <v>159.63999999999999</v>
      </c>
      <c r="M725" s="7">
        <v>42.64</v>
      </c>
      <c r="N725" s="20">
        <f>Table15[[#This Row],[Processing Fee]]-Table15[[#This Row],[Discount Applied]]</f>
        <v>116.99999999999999</v>
      </c>
      <c r="O725" s="7" t="str">
        <f>IF(Table15[[#This Row],[Revenue]]&gt;35000,"Achieved","Not Achieved")</f>
        <v>Achieved</v>
      </c>
      <c r="P725" s="8">
        <v>3</v>
      </c>
      <c r="Q725" s="7" t="str">
        <f>IF(AND(Table15[[#This Row],[CSAT Score]]&lt;=3,Table15[[#This Row],[Revenue]]&gt;=20000),"High-Risk","Stable")</f>
        <v>High-Risk</v>
      </c>
      <c r="R725" s="8" t="str" cm="1">
        <f t="array" ref="R725">_xlfn.IFS(Table15[[#This Row],[Revenue]]&gt;=35000,"Platinum",Table15[[#This Row],[Revenue]]&gt;=15000,"Gold",TRUE,"Standard")</f>
        <v>Platinum</v>
      </c>
      <c r="S725" s="8" t="str">
        <f>IF(OR(Table15[[#This Row],[Product]]="Wealth Management",Table15[[#This Row],[Revenue]]&gt;=40000),"Yes","No")</f>
        <v>Yes</v>
      </c>
    </row>
    <row r="726" spans="1:19" x14ac:dyDescent="0.3">
      <c r="A726" s="5" t="s">
        <v>784</v>
      </c>
      <c r="B726" s="6">
        <v>45925</v>
      </c>
      <c r="C726" s="7" t="s">
        <v>91</v>
      </c>
      <c r="D726" s="7" t="s">
        <v>68</v>
      </c>
      <c r="E726" s="7" t="s">
        <v>39</v>
      </c>
      <c r="F726" s="7" t="s">
        <v>35</v>
      </c>
      <c r="G726" s="7" t="s">
        <v>30</v>
      </c>
      <c r="H726" s="7" t="s">
        <v>24</v>
      </c>
      <c r="I726" s="7">
        <v>24</v>
      </c>
      <c r="J726" s="7">
        <v>55</v>
      </c>
      <c r="K726" s="20">
        <v>17116.28</v>
      </c>
      <c r="L726" s="20">
        <v>260.87</v>
      </c>
      <c r="M726" s="7">
        <v>127.96</v>
      </c>
      <c r="N726" s="20">
        <f>Table15[[#This Row],[Processing Fee]]-Table15[[#This Row],[Discount Applied]]</f>
        <v>132.91000000000003</v>
      </c>
      <c r="O726" s="7" t="str">
        <f>IF(Table15[[#This Row],[Revenue]]&gt;35000,"Achieved","Not Achieved")</f>
        <v>Not Achieved</v>
      </c>
      <c r="P726" s="8">
        <v>5</v>
      </c>
      <c r="Q726" s="7" t="str">
        <f>IF(AND(Table15[[#This Row],[CSAT Score]]&lt;=3,Table15[[#This Row],[Revenue]]&gt;=20000),"High-Risk","Stable")</f>
        <v>Stable</v>
      </c>
      <c r="R726" s="8" t="str" cm="1">
        <f t="array" ref="R726">_xlfn.IFS(Table15[[#This Row],[Revenue]]&gt;=35000,"Platinum",Table15[[#This Row],[Revenue]]&gt;=15000,"Gold",TRUE,"Standard")</f>
        <v>Gold</v>
      </c>
      <c r="S726" s="8" t="str">
        <f>IF(OR(Table15[[#This Row],[Product]]="Wealth Management",Table15[[#This Row],[Revenue]]&gt;=40000),"Yes","No")</f>
        <v>No</v>
      </c>
    </row>
    <row r="727" spans="1:19" x14ac:dyDescent="0.3">
      <c r="A727" s="5" t="s">
        <v>785</v>
      </c>
      <c r="B727" s="6">
        <v>46088</v>
      </c>
      <c r="C727" s="7" t="s">
        <v>33</v>
      </c>
      <c r="D727" s="7" t="s">
        <v>87</v>
      </c>
      <c r="E727" s="7" t="s">
        <v>28</v>
      </c>
      <c r="F727" s="7" t="s">
        <v>35</v>
      </c>
      <c r="G727" s="7" t="s">
        <v>56</v>
      </c>
      <c r="H727" s="7" t="s">
        <v>53</v>
      </c>
      <c r="I727" s="7">
        <v>57</v>
      </c>
      <c r="J727" s="7">
        <v>97</v>
      </c>
      <c r="K727" s="20">
        <v>28941.82</v>
      </c>
      <c r="L727" s="20">
        <v>316.08999999999997</v>
      </c>
      <c r="M727" s="7">
        <v>10.94</v>
      </c>
      <c r="N727" s="20">
        <f>Table15[[#This Row],[Processing Fee]]-Table15[[#This Row],[Discount Applied]]</f>
        <v>305.14999999999998</v>
      </c>
      <c r="O727" s="7" t="str">
        <f>IF(Table15[[#This Row],[Revenue]]&gt;35000,"Achieved","Not Achieved")</f>
        <v>Not Achieved</v>
      </c>
      <c r="P727" s="8">
        <v>5</v>
      </c>
      <c r="Q727" s="7" t="str">
        <f>IF(AND(Table15[[#This Row],[CSAT Score]]&lt;=3,Table15[[#This Row],[Revenue]]&gt;=20000),"High-Risk","Stable")</f>
        <v>Stable</v>
      </c>
      <c r="R727" s="8" t="str" cm="1">
        <f t="array" ref="R727">_xlfn.IFS(Table15[[#This Row],[Revenue]]&gt;=35000,"Platinum",Table15[[#This Row],[Revenue]]&gt;=15000,"Gold",TRUE,"Standard")</f>
        <v>Gold</v>
      </c>
      <c r="S727" s="8" t="str">
        <f>IF(OR(Table15[[#This Row],[Product]]="Wealth Management",Table15[[#This Row],[Revenue]]&gt;=40000),"Yes","No")</f>
        <v>No</v>
      </c>
    </row>
    <row r="728" spans="1:19" x14ac:dyDescent="0.3">
      <c r="A728" s="5" t="s">
        <v>786</v>
      </c>
      <c r="B728" s="6">
        <v>46183</v>
      </c>
      <c r="C728" s="7" t="s">
        <v>42</v>
      </c>
      <c r="D728" s="7" t="s">
        <v>50</v>
      </c>
      <c r="E728" s="7" t="s">
        <v>21</v>
      </c>
      <c r="F728" s="7" t="s">
        <v>69</v>
      </c>
      <c r="G728" s="7" t="s">
        <v>65</v>
      </c>
      <c r="H728" s="7" t="s">
        <v>57</v>
      </c>
      <c r="I728" s="7">
        <v>37</v>
      </c>
      <c r="J728" s="7">
        <v>80</v>
      </c>
      <c r="K728" s="20">
        <v>25981.82</v>
      </c>
      <c r="L728" s="20">
        <v>449.08</v>
      </c>
      <c r="M728" s="7">
        <v>81.48</v>
      </c>
      <c r="N728" s="20">
        <f>Table15[[#This Row],[Processing Fee]]-Table15[[#This Row],[Discount Applied]]</f>
        <v>367.59999999999997</v>
      </c>
      <c r="O728" s="7" t="str">
        <f>IF(Table15[[#This Row],[Revenue]]&gt;35000,"Achieved","Not Achieved")</f>
        <v>Not Achieved</v>
      </c>
      <c r="P728" s="8">
        <v>2</v>
      </c>
      <c r="Q728" s="7" t="str">
        <f>IF(AND(Table15[[#This Row],[CSAT Score]]&lt;=3,Table15[[#This Row],[Revenue]]&gt;=20000),"High-Risk","Stable")</f>
        <v>High-Risk</v>
      </c>
      <c r="R728" s="8" t="str" cm="1">
        <f t="array" ref="R728">_xlfn.IFS(Table15[[#This Row],[Revenue]]&gt;=35000,"Platinum",Table15[[#This Row],[Revenue]]&gt;=15000,"Gold",TRUE,"Standard")</f>
        <v>Gold</v>
      </c>
      <c r="S728" s="8" t="str">
        <f>IF(OR(Table15[[#This Row],[Product]]="Wealth Management",Table15[[#This Row],[Revenue]]&gt;=40000),"Yes","No")</f>
        <v>No</v>
      </c>
    </row>
    <row r="729" spans="1:19" x14ac:dyDescent="0.3">
      <c r="A729" s="5" t="s">
        <v>787</v>
      </c>
      <c r="B729" s="6">
        <v>46030</v>
      </c>
      <c r="C729" s="7" t="s">
        <v>42</v>
      </c>
      <c r="D729" s="7" t="s">
        <v>79</v>
      </c>
      <c r="E729" s="7" t="s">
        <v>28</v>
      </c>
      <c r="F729" s="7" t="s">
        <v>40</v>
      </c>
      <c r="G729" s="7" t="s">
        <v>36</v>
      </c>
      <c r="H729" s="7" t="s">
        <v>53</v>
      </c>
      <c r="I729" s="7">
        <v>59</v>
      </c>
      <c r="J729" s="7">
        <v>87</v>
      </c>
      <c r="K729" s="20">
        <v>25906.39</v>
      </c>
      <c r="L729" s="20">
        <v>449.98</v>
      </c>
      <c r="M729" s="7">
        <v>35.479999999999997</v>
      </c>
      <c r="N729" s="20">
        <f>Table15[[#This Row],[Processing Fee]]-Table15[[#This Row],[Discount Applied]]</f>
        <v>414.5</v>
      </c>
      <c r="O729" s="7" t="str">
        <f>IF(Table15[[#This Row],[Revenue]]&gt;35000,"Achieved","Not Achieved")</f>
        <v>Not Achieved</v>
      </c>
      <c r="P729" s="8">
        <v>2</v>
      </c>
      <c r="Q729" s="7" t="str">
        <f>IF(AND(Table15[[#This Row],[CSAT Score]]&lt;=3,Table15[[#This Row],[Revenue]]&gt;=20000),"High-Risk","Stable")</f>
        <v>High-Risk</v>
      </c>
      <c r="R729" s="8" t="str" cm="1">
        <f t="array" ref="R729">_xlfn.IFS(Table15[[#This Row],[Revenue]]&gt;=35000,"Platinum",Table15[[#This Row],[Revenue]]&gt;=15000,"Gold",TRUE,"Standard")</f>
        <v>Gold</v>
      </c>
      <c r="S729" s="8" t="str">
        <f>IF(OR(Table15[[#This Row],[Product]]="Wealth Management",Table15[[#This Row],[Revenue]]&gt;=40000),"Yes","No")</f>
        <v>No</v>
      </c>
    </row>
    <row r="730" spans="1:19" x14ac:dyDescent="0.3">
      <c r="A730" s="5" t="s">
        <v>788</v>
      </c>
      <c r="B730" s="6">
        <v>45925</v>
      </c>
      <c r="C730" s="7" t="s">
        <v>33</v>
      </c>
      <c r="D730" s="7" t="s">
        <v>34</v>
      </c>
      <c r="E730" s="7" t="s">
        <v>39</v>
      </c>
      <c r="F730" s="7" t="s">
        <v>29</v>
      </c>
      <c r="G730" s="7" t="s">
        <v>56</v>
      </c>
      <c r="H730" s="7" t="s">
        <v>31</v>
      </c>
      <c r="I730" s="7">
        <v>68</v>
      </c>
      <c r="J730" s="7">
        <v>38</v>
      </c>
      <c r="K730" s="20">
        <v>5807.51</v>
      </c>
      <c r="L730" s="20">
        <v>385.58</v>
      </c>
      <c r="M730" s="7">
        <v>32.89</v>
      </c>
      <c r="N730" s="20">
        <f>Table15[[#This Row],[Processing Fee]]-Table15[[#This Row],[Discount Applied]]</f>
        <v>352.69</v>
      </c>
      <c r="O730" s="7" t="str">
        <f>IF(Table15[[#This Row],[Revenue]]&gt;35000,"Achieved","Not Achieved")</f>
        <v>Not Achieved</v>
      </c>
      <c r="P730" s="8">
        <v>4</v>
      </c>
      <c r="Q730" s="7" t="str">
        <f>IF(AND(Table15[[#This Row],[CSAT Score]]&lt;=3,Table15[[#This Row],[Revenue]]&gt;=20000),"High-Risk","Stable")</f>
        <v>Stable</v>
      </c>
      <c r="R730" s="8" t="str" cm="1">
        <f t="array" ref="R730">_xlfn.IFS(Table15[[#This Row],[Revenue]]&gt;=35000,"Platinum",Table15[[#This Row],[Revenue]]&gt;=15000,"Gold",TRUE,"Standard")</f>
        <v>Standard</v>
      </c>
      <c r="S730" s="8" t="str">
        <f>IF(OR(Table15[[#This Row],[Product]]="Wealth Management",Table15[[#This Row],[Revenue]]&gt;=40000),"Yes","No")</f>
        <v>No</v>
      </c>
    </row>
    <row r="731" spans="1:19" x14ac:dyDescent="0.3">
      <c r="A731" s="5" t="s">
        <v>789</v>
      </c>
      <c r="B731" s="6">
        <v>45882</v>
      </c>
      <c r="C731" s="7" t="s">
        <v>26</v>
      </c>
      <c r="D731" s="7" t="s">
        <v>38</v>
      </c>
      <c r="E731" s="7" t="s">
        <v>59</v>
      </c>
      <c r="F731" s="7" t="s">
        <v>40</v>
      </c>
      <c r="G731" s="7" t="s">
        <v>30</v>
      </c>
      <c r="H731" s="7" t="s">
        <v>24</v>
      </c>
      <c r="I731" s="7">
        <v>66</v>
      </c>
      <c r="J731" s="7">
        <v>119</v>
      </c>
      <c r="K731" s="20">
        <v>21462.36</v>
      </c>
      <c r="L731" s="20">
        <v>65.819999999999993</v>
      </c>
      <c r="M731" s="7">
        <v>113.41</v>
      </c>
      <c r="N731" s="20">
        <f>Table15[[#This Row],[Processing Fee]]-Table15[[#This Row],[Discount Applied]]</f>
        <v>-47.59</v>
      </c>
      <c r="O731" s="7" t="str">
        <f>IF(Table15[[#This Row],[Revenue]]&gt;35000,"Achieved","Not Achieved")</f>
        <v>Not Achieved</v>
      </c>
      <c r="P731" s="8">
        <v>3</v>
      </c>
      <c r="Q731" s="7" t="str">
        <f>IF(AND(Table15[[#This Row],[CSAT Score]]&lt;=3,Table15[[#This Row],[Revenue]]&gt;=20000),"High-Risk","Stable")</f>
        <v>High-Risk</v>
      </c>
      <c r="R731" s="8" t="str" cm="1">
        <f t="array" ref="R731">_xlfn.IFS(Table15[[#This Row],[Revenue]]&gt;=35000,"Platinum",Table15[[#This Row],[Revenue]]&gt;=15000,"Gold",TRUE,"Standard")</f>
        <v>Gold</v>
      </c>
      <c r="S731" s="8" t="str">
        <f>IF(OR(Table15[[#This Row],[Product]]="Wealth Management",Table15[[#This Row],[Revenue]]&gt;=40000),"Yes","No")</f>
        <v>No</v>
      </c>
    </row>
    <row r="732" spans="1:19" x14ac:dyDescent="0.3">
      <c r="A732" s="5" t="s">
        <v>790</v>
      </c>
      <c r="B732" s="6">
        <v>45934</v>
      </c>
      <c r="C732" s="7" t="s">
        <v>42</v>
      </c>
      <c r="D732" s="7" t="s">
        <v>87</v>
      </c>
      <c r="E732" s="7" t="s">
        <v>59</v>
      </c>
      <c r="F732" s="7" t="s">
        <v>69</v>
      </c>
      <c r="G732" s="7" t="s">
        <v>30</v>
      </c>
      <c r="H732" s="7" t="s">
        <v>53</v>
      </c>
      <c r="I732" s="7">
        <v>46</v>
      </c>
      <c r="J732" s="7">
        <v>80</v>
      </c>
      <c r="K732" s="20">
        <v>22892.15</v>
      </c>
      <c r="L732" s="20">
        <v>308.77999999999997</v>
      </c>
      <c r="M732" s="7">
        <v>185.67</v>
      </c>
      <c r="N732" s="20">
        <f>Table15[[#This Row],[Processing Fee]]-Table15[[#This Row],[Discount Applied]]</f>
        <v>123.10999999999999</v>
      </c>
      <c r="O732" s="7" t="str">
        <f>IF(Table15[[#This Row],[Revenue]]&gt;35000,"Achieved","Not Achieved")</f>
        <v>Not Achieved</v>
      </c>
      <c r="P732" s="8">
        <v>4</v>
      </c>
      <c r="Q732" s="7" t="str">
        <f>IF(AND(Table15[[#This Row],[CSAT Score]]&lt;=3,Table15[[#This Row],[Revenue]]&gt;=20000),"High-Risk","Stable")</f>
        <v>Stable</v>
      </c>
      <c r="R732" s="8" t="str" cm="1">
        <f t="array" ref="R732">_xlfn.IFS(Table15[[#This Row],[Revenue]]&gt;=35000,"Platinum",Table15[[#This Row],[Revenue]]&gt;=15000,"Gold",TRUE,"Standard")</f>
        <v>Gold</v>
      </c>
      <c r="S732" s="8" t="str">
        <f>IF(OR(Table15[[#This Row],[Product]]="Wealth Management",Table15[[#This Row],[Revenue]]&gt;=40000),"Yes","No")</f>
        <v>No</v>
      </c>
    </row>
    <row r="733" spans="1:19" x14ac:dyDescent="0.3">
      <c r="A733" s="5" t="s">
        <v>791</v>
      </c>
      <c r="B733" s="6">
        <v>45944</v>
      </c>
      <c r="C733" s="7" t="s">
        <v>91</v>
      </c>
      <c r="D733" s="7" t="s">
        <v>63</v>
      </c>
      <c r="E733" s="7" t="s">
        <v>21</v>
      </c>
      <c r="F733" s="7" t="s">
        <v>35</v>
      </c>
      <c r="G733" s="7" t="s">
        <v>65</v>
      </c>
      <c r="H733" s="7" t="s">
        <v>53</v>
      </c>
      <c r="I733" s="7">
        <v>68</v>
      </c>
      <c r="J733" s="7">
        <v>78</v>
      </c>
      <c r="K733" s="20">
        <v>36815.32</v>
      </c>
      <c r="L733" s="20">
        <v>403.96</v>
      </c>
      <c r="M733" s="7">
        <v>10.96</v>
      </c>
      <c r="N733" s="20">
        <f>Table15[[#This Row],[Processing Fee]]-Table15[[#This Row],[Discount Applied]]</f>
        <v>393</v>
      </c>
      <c r="O733" s="7" t="str">
        <f>IF(Table15[[#This Row],[Revenue]]&gt;35000,"Achieved","Not Achieved")</f>
        <v>Achieved</v>
      </c>
      <c r="P733" s="8">
        <v>5</v>
      </c>
      <c r="Q733" s="7" t="str">
        <f>IF(AND(Table15[[#This Row],[CSAT Score]]&lt;=3,Table15[[#This Row],[Revenue]]&gt;=20000),"High-Risk","Stable")</f>
        <v>Stable</v>
      </c>
      <c r="R733" s="8" t="str" cm="1">
        <f t="array" ref="R733">_xlfn.IFS(Table15[[#This Row],[Revenue]]&gt;=35000,"Platinum",Table15[[#This Row],[Revenue]]&gt;=15000,"Gold",TRUE,"Standard")</f>
        <v>Platinum</v>
      </c>
      <c r="S733" s="8" t="str">
        <f>IF(OR(Table15[[#This Row],[Product]]="Wealth Management",Table15[[#This Row],[Revenue]]&gt;=40000),"Yes","No")</f>
        <v>No</v>
      </c>
    </row>
    <row r="734" spans="1:19" x14ac:dyDescent="0.3">
      <c r="A734" s="5" t="s">
        <v>792</v>
      </c>
      <c r="B734" s="6">
        <v>45913</v>
      </c>
      <c r="C734" s="7" t="s">
        <v>91</v>
      </c>
      <c r="D734" s="7" t="s">
        <v>79</v>
      </c>
      <c r="E734" s="7" t="s">
        <v>46</v>
      </c>
      <c r="F734" s="7" t="s">
        <v>35</v>
      </c>
      <c r="G734" s="7" t="s">
        <v>30</v>
      </c>
      <c r="H734" s="7" t="s">
        <v>31</v>
      </c>
      <c r="I734" s="7">
        <v>59</v>
      </c>
      <c r="J734" s="7">
        <v>29</v>
      </c>
      <c r="K734" s="20">
        <v>42080.93</v>
      </c>
      <c r="L734" s="20">
        <v>57.78</v>
      </c>
      <c r="M734" s="7">
        <v>126.46</v>
      </c>
      <c r="N734" s="20">
        <f>Table15[[#This Row],[Processing Fee]]-Table15[[#This Row],[Discount Applied]]</f>
        <v>-68.679999999999993</v>
      </c>
      <c r="O734" s="7" t="str">
        <f>IF(Table15[[#This Row],[Revenue]]&gt;35000,"Achieved","Not Achieved")</f>
        <v>Achieved</v>
      </c>
      <c r="P734" s="8">
        <v>2</v>
      </c>
      <c r="Q734" s="7" t="str">
        <f>IF(AND(Table15[[#This Row],[CSAT Score]]&lt;=3,Table15[[#This Row],[Revenue]]&gt;=20000),"High-Risk","Stable")</f>
        <v>High-Risk</v>
      </c>
      <c r="R734" s="8" t="str" cm="1">
        <f t="array" ref="R734">_xlfn.IFS(Table15[[#This Row],[Revenue]]&gt;=35000,"Platinum",Table15[[#This Row],[Revenue]]&gt;=15000,"Gold",TRUE,"Standard")</f>
        <v>Platinum</v>
      </c>
      <c r="S734" s="8" t="str">
        <f>IF(OR(Table15[[#This Row],[Product]]="Wealth Management",Table15[[#This Row],[Revenue]]&gt;=40000),"Yes","No")</f>
        <v>Yes</v>
      </c>
    </row>
    <row r="735" spans="1:19" x14ac:dyDescent="0.3">
      <c r="A735" s="5" t="s">
        <v>793</v>
      </c>
      <c r="B735" s="6">
        <v>46020</v>
      </c>
      <c r="C735" s="7" t="s">
        <v>44</v>
      </c>
      <c r="D735" s="7" t="s">
        <v>87</v>
      </c>
      <c r="E735" s="7" t="s">
        <v>21</v>
      </c>
      <c r="F735" s="7" t="s">
        <v>69</v>
      </c>
      <c r="G735" s="7" t="s">
        <v>23</v>
      </c>
      <c r="H735" s="7" t="s">
        <v>24</v>
      </c>
      <c r="I735" s="7">
        <v>61</v>
      </c>
      <c r="J735" s="7">
        <v>26</v>
      </c>
      <c r="K735" s="20">
        <v>27476.62</v>
      </c>
      <c r="L735" s="20">
        <v>297.36</v>
      </c>
      <c r="M735" s="7">
        <v>141.51</v>
      </c>
      <c r="N735" s="20">
        <f>Table15[[#This Row],[Processing Fee]]-Table15[[#This Row],[Discount Applied]]</f>
        <v>155.85000000000002</v>
      </c>
      <c r="O735" s="7" t="str">
        <f>IF(Table15[[#This Row],[Revenue]]&gt;35000,"Achieved","Not Achieved")</f>
        <v>Not Achieved</v>
      </c>
      <c r="P735" s="8">
        <v>2</v>
      </c>
      <c r="Q735" s="7" t="str">
        <f>IF(AND(Table15[[#This Row],[CSAT Score]]&lt;=3,Table15[[#This Row],[Revenue]]&gt;=20000),"High-Risk","Stable")</f>
        <v>High-Risk</v>
      </c>
      <c r="R735" s="8" t="str" cm="1">
        <f t="array" ref="R735">_xlfn.IFS(Table15[[#This Row],[Revenue]]&gt;=35000,"Platinum",Table15[[#This Row],[Revenue]]&gt;=15000,"Gold",TRUE,"Standard")</f>
        <v>Gold</v>
      </c>
      <c r="S735" s="8" t="str">
        <f>IF(OR(Table15[[#This Row],[Product]]="Wealth Management",Table15[[#This Row],[Revenue]]&gt;=40000),"Yes","No")</f>
        <v>No</v>
      </c>
    </row>
    <row r="736" spans="1:19" x14ac:dyDescent="0.3">
      <c r="A736" s="5" t="s">
        <v>794</v>
      </c>
      <c r="B736" s="6">
        <v>46160</v>
      </c>
      <c r="C736" s="7" t="s">
        <v>55</v>
      </c>
      <c r="D736" s="7" t="s">
        <v>83</v>
      </c>
      <c r="E736" s="7" t="s">
        <v>46</v>
      </c>
      <c r="F736" s="7" t="s">
        <v>29</v>
      </c>
      <c r="G736" s="7" t="s">
        <v>36</v>
      </c>
      <c r="H736" s="7" t="s">
        <v>24</v>
      </c>
      <c r="I736" s="7">
        <v>24</v>
      </c>
      <c r="J736" s="7">
        <v>35</v>
      </c>
      <c r="K736" s="20">
        <v>4795.76</v>
      </c>
      <c r="L736" s="20">
        <v>435.99</v>
      </c>
      <c r="M736" s="7">
        <v>92.54</v>
      </c>
      <c r="N736" s="20">
        <f>Table15[[#This Row],[Processing Fee]]-Table15[[#This Row],[Discount Applied]]</f>
        <v>343.45</v>
      </c>
      <c r="O736" s="7" t="str">
        <f>IF(Table15[[#This Row],[Revenue]]&gt;35000,"Achieved","Not Achieved")</f>
        <v>Not Achieved</v>
      </c>
      <c r="P736" s="8">
        <v>2</v>
      </c>
      <c r="Q736" s="7" t="str">
        <f>IF(AND(Table15[[#This Row],[CSAT Score]]&lt;=3,Table15[[#This Row],[Revenue]]&gt;=20000),"High-Risk","Stable")</f>
        <v>Stable</v>
      </c>
      <c r="R736" s="8" t="str" cm="1">
        <f t="array" ref="R736">_xlfn.IFS(Table15[[#This Row],[Revenue]]&gt;=35000,"Platinum",Table15[[#This Row],[Revenue]]&gt;=15000,"Gold",TRUE,"Standard")</f>
        <v>Standard</v>
      </c>
      <c r="S736" s="8" t="str">
        <f>IF(OR(Table15[[#This Row],[Product]]="Wealth Management",Table15[[#This Row],[Revenue]]&gt;=40000),"Yes","No")</f>
        <v>No</v>
      </c>
    </row>
    <row r="737" spans="1:19" x14ac:dyDescent="0.3">
      <c r="A737" s="5" t="s">
        <v>795</v>
      </c>
      <c r="B737" s="6">
        <v>45973</v>
      </c>
      <c r="C737" s="7" t="s">
        <v>42</v>
      </c>
      <c r="D737" s="7" t="s">
        <v>27</v>
      </c>
      <c r="E737" s="7" t="s">
        <v>28</v>
      </c>
      <c r="F737" s="7" t="s">
        <v>35</v>
      </c>
      <c r="G737" s="7" t="s">
        <v>56</v>
      </c>
      <c r="H737" s="7" t="s">
        <v>31</v>
      </c>
      <c r="I737" s="7">
        <v>50</v>
      </c>
      <c r="J737" s="7">
        <v>79</v>
      </c>
      <c r="K737" s="20">
        <v>12224.05</v>
      </c>
      <c r="L737" s="20">
        <v>263.35000000000002</v>
      </c>
      <c r="M737" s="7">
        <v>241.95</v>
      </c>
      <c r="N737" s="20">
        <f>Table15[[#This Row],[Processing Fee]]-Table15[[#This Row],[Discount Applied]]</f>
        <v>21.400000000000034</v>
      </c>
      <c r="O737" s="7" t="str">
        <f>IF(Table15[[#This Row],[Revenue]]&gt;35000,"Achieved","Not Achieved")</f>
        <v>Not Achieved</v>
      </c>
      <c r="P737" s="8">
        <v>1</v>
      </c>
      <c r="Q737" s="7" t="str">
        <f>IF(AND(Table15[[#This Row],[CSAT Score]]&lt;=3,Table15[[#This Row],[Revenue]]&gt;=20000),"High-Risk","Stable")</f>
        <v>Stable</v>
      </c>
      <c r="R737" s="8" t="str" cm="1">
        <f t="array" ref="R737">_xlfn.IFS(Table15[[#This Row],[Revenue]]&gt;=35000,"Platinum",Table15[[#This Row],[Revenue]]&gt;=15000,"Gold",TRUE,"Standard")</f>
        <v>Standard</v>
      </c>
      <c r="S737" s="8" t="str">
        <f>IF(OR(Table15[[#This Row],[Product]]="Wealth Management",Table15[[#This Row],[Revenue]]&gt;=40000),"Yes","No")</f>
        <v>No</v>
      </c>
    </row>
    <row r="738" spans="1:19" x14ac:dyDescent="0.3">
      <c r="A738" s="5" t="s">
        <v>796</v>
      </c>
      <c r="B738" s="6">
        <v>46025</v>
      </c>
      <c r="C738" s="7" t="s">
        <v>26</v>
      </c>
      <c r="D738" s="7" t="s">
        <v>50</v>
      </c>
      <c r="E738" s="7" t="s">
        <v>28</v>
      </c>
      <c r="F738" s="7" t="s">
        <v>22</v>
      </c>
      <c r="G738" s="7" t="s">
        <v>36</v>
      </c>
      <c r="H738" s="7" t="s">
        <v>57</v>
      </c>
      <c r="I738" s="7">
        <v>50</v>
      </c>
      <c r="J738" s="7">
        <v>67</v>
      </c>
      <c r="K738" s="20">
        <v>8664.23</v>
      </c>
      <c r="L738" s="20">
        <v>51.85</v>
      </c>
      <c r="M738" s="7">
        <v>35.93</v>
      </c>
      <c r="N738" s="20">
        <f>Table15[[#This Row],[Processing Fee]]-Table15[[#This Row],[Discount Applied]]</f>
        <v>15.920000000000002</v>
      </c>
      <c r="O738" s="7" t="str">
        <f>IF(Table15[[#This Row],[Revenue]]&gt;35000,"Achieved","Not Achieved")</f>
        <v>Not Achieved</v>
      </c>
      <c r="P738" s="8">
        <v>5</v>
      </c>
      <c r="Q738" s="7" t="str">
        <f>IF(AND(Table15[[#This Row],[CSAT Score]]&lt;=3,Table15[[#This Row],[Revenue]]&gt;=20000),"High-Risk","Stable")</f>
        <v>Stable</v>
      </c>
      <c r="R738" s="8" t="str" cm="1">
        <f t="array" ref="R738">_xlfn.IFS(Table15[[#This Row],[Revenue]]&gt;=35000,"Platinum",Table15[[#This Row],[Revenue]]&gt;=15000,"Gold",TRUE,"Standard")</f>
        <v>Standard</v>
      </c>
      <c r="S738" s="8" t="str">
        <f>IF(OR(Table15[[#This Row],[Product]]="Wealth Management",Table15[[#This Row],[Revenue]]&gt;=40000),"Yes","No")</f>
        <v>Yes</v>
      </c>
    </row>
    <row r="739" spans="1:19" x14ac:dyDescent="0.3">
      <c r="A739" s="5" t="s">
        <v>797</v>
      </c>
      <c r="B739" s="6">
        <v>46172</v>
      </c>
      <c r="C739" s="7" t="s">
        <v>33</v>
      </c>
      <c r="D739" s="7" t="s">
        <v>79</v>
      </c>
      <c r="E739" s="7" t="s">
        <v>39</v>
      </c>
      <c r="F739" s="7" t="s">
        <v>35</v>
      </c>
      <c r="G739" s="7" t="s">
        <v>65</v>
      </c>
      <c r="H739" s="7" t="s">
        <v>53</v>
      </c>
      <c r="I739" s="7">
        <v>42</v>
      </c>
      <c r="J739" s="7">
        <v>87</v>
      </c>
      <c r="K739" s="20">
        <v>6668.45</v>
      </c>
      <c r="L739" s="20">
        <v>54.96</v>
      </c>
      <c r="M739" s="7">
        <v>191.92</v>
      </c>
      <c r="N739" s="20">
        <f>Table15[[#This Row],[Processing Fee]]-Table15[[#This Row],[Discount Applied]]</f>
        <v>-136.95999999999998</v>
      </c>
      <c r="O739" s="7" t="str">
        <f>IF(Table15[[#This Row],[Revenue]]&gt;35000,"Achieved","Not Achieved")</f>
        <v>Not Achieved</v>
      </c>
      <c r="P739" s="8">
        <v>2</v>
      </c>
      <c r="Q739" s="7" t="str">
        <f>IF(AND(Table15[[#This Row],[CSAT Score]]&lt;=3,Table15[[#This Row],[Revenue]]&gt;=20000),"High-Risk","Stable")</f>
        <v>Stable</v>
      </c>
      <c r="R739" s="8" t="str" cm="1">
        <f t="array" ref="R739">_xlfn.IFS(Table15[[#This Row],[Revenue]]&gt;=35000,"Platinum",Table15[[#This Row],[Revenue]]&gt;=15000,"Gold",TRUE,"Standard")</f>
        <v>Standard</v>
      </c>
      <c r="S739" s="8" t="str">
        <f>IF(OR(Table15[[#This Row],[Product]]="Wealth Management",Table15[[#This Row],[Revenue]]&gt;=40000),"Yes","No")</f>
        <v>No</v>
      </c>
    </row>
    <row r="740" spans="1:19" x14ac:dyDescent="0.3">
      <c r="A740" s="5" t="s">
        <v>798</v>
      </c>
      <c r="B740" s="6">
        <v>45946</v>
      </c>
      <c r="C740" s="7" t="s">
        <v>33</v>
      </c>
      <c r="D740" s="7" t="s">
        <v>20</v>
      </c>
      <c r="E740" s="7" t="s">
        <v>46</v>
      </c>
      <c r="F740" s="7" t="s">
        <v>22</v>
      </c>
      <c r="G740" s="7" t="s">
        <v>56</v>
      </c>
      <c r="H740" s="7" t="s">
        <v>57</v>
      </c>
      <c r="I740" s="7">
        <v>31</v>
      </c>
      <c r="J740" s="7">
        <v>29</v>
      </c>
      <c r="K740" s="20">
        <v>18612.02</v>
      </c>
      <c r="L740" s="20">
        <v>237.49</v>
      </c>
      <c r="M740" s="7">
        <v>77.03</v>
      </c>
      <c r="N740" s="20">
        <f>Table15[[#This Row],[Processing Fee]]-Table15[[#This Row],[Discount Applied]]</f>
        <v>160.46</v>
      </c>
      <c r="O740" s="7" t="str">
        <f>IF(Table15[[#This Row],[Revenue]]&gt;35000,"Achieved","Not Achieved")</f>
        <v>Not Achieved</v>
      </c>
      <c r="P740" s="8">
        <v>5</v>
      </c>
      <c r="Q740" s="7" t="str">
        <f>IF(AND(Table15[[#This Row],[CSAT Score]]&lt;=3,Table15[[#This Row],[Revenue]]&gt;=20000),"High-Risk","Stable")</f>
        <v>Stable</v>
      </c>
      <c r="R740" s="8" t="str" cm="1">
        <f t="array" ref="R740">_xlfn.IFS(Table15[[#This Row],[Revenue]]&gt;=35000,"Platinum",Table15[[#This Row],[Revenue]]&gt;=15000,"Gold",TRUE,"Standard")</f>
        <v>Gold</v>
      </c>
      <c r="S740" s="8" t="str">
        <f>IF(OR(Table15[[#This Row],[Product]]="Wealth Management",Table15[[#This Row],[Revenue]]&gt;=40000),"Yes","No")</f>
        <v>Yes</v>
      </c>
    </row>
    <row r="741" spans="1:19" x14ac:dyDescent="0.3">
      <c r="A741" s="5" t="s">
        <v>799</v>
      </c>
      <c r="B741" s="6">
        <v>46034</v>
      </c>
      <c r="C741" s="7" t="s">
        <v>26</v>
      </c>
      <c r="D741" s="7" t="s">
        <v>38</v>
      </c>
      <c r="E741" s="7" t="s">
        <v>39</v>
      </c>
      <c r="F741" s="7" t="s">
        <v>69</v>
      </c>
      <c r="G741" s="7" t="s">
        <v>56</v>
      </c>
      <c r="H741" s="7" t="s">
        <v>53</v>
      </c>
      <c r="I741" s="7">
        <v>22</v>
      </c>
      <c r="J741" s="7">
        <v>34</v>
      </c>
      <c r="K741" s="20">
        <v>11854.98</v>
      </c>
      <c r="L741" s="20">
        <v>119.75</v>
      </c>
      <c r="M741" s="7">
        <v>68.31</v>
      </c>
      <c r="N741" s="20">
        <f>Table15[[#This Row],[Processing Fee]]-Table15[[#This Row],[Discount Applied]]</f>
        <v>51.44</v>
      </c>
      <c r="O741" s="7" t="str">
        <f>IF(Table15[[#This Row],[Revenue]]&gt;35000,"Achieved","Not Achieved")</f>
        <v>Not Achieved</v>
      </c>
      <c r="P741" s="8">
        <v>2</v>
      </c>
      <c r="Q741" s="7" t="str">
        <f>IF(AND(Table15[[#This Row],[CSAT Score]]&lt;=3,Table15[[#This Row],[Revenue]]&gt;=20000),"High-Risk","Stable")</f>
        <v>Stable</v>
      </c>
      <c r="R741" s="8" t="str" cm="1">
        <f t="array" ref="R741">_xlfn.IFS(Table15[[#This Row],[Revenue]]&gt;=35000,"Platinum",Table15[[#This Row],[Revenue]]&gt;=15000,"Gold",TRUE,"Standard")</f>
        <v>Standard</v>
      </c>
      <c r="S741" s="8" t="str">
        <f>IF(OR(Table15[[#This Row],[Product]]="Wealth Management",Table15[[#This Row],[Revenue]]&gt;=40000),"Yes","No")</f>
        <v>No</v>
      </c>
    </row>
    <row r="742" spans="1:19" x14ac:dyDescent="0.3">
      <c r="A742" s="5" t="s">
        <v>800</v>
      </c>
      <c r="B742" s="6">
        <v>45922</v>
      </c>
      <c r="C742" s="7" t="s">
        <v>19</v>
      </c>
      <c r="D742" s="7" t="s">
        <v>27</v>
      </c>
      <c r="E742" s="7" t="s">
        <v>59</v>
      </c>
      <c r="F742" s="7" t="s">
        <v>69</v>
      </c>
      <c r="G742" s="7" t="s">
        <v>23</v>
      </c>
      <c r="H742" s="7" t="s">
        <v>53</v>
      </c>
      <c r="I742" s="7">
        <v>64</v>
      </c>
      <c r="J742" s="7">
        <v>97</v>
      </c>
      <c r="K742" s="20">
        <v>11306</v>
      </c>
      <c r="L742" s="20">
        <v>349</v>
      </c>
      <c r="M742" s="7">
        <v>174.92</v>
      </c>
      <c r="N742" s="20">
        <f>Table15[[#This Row],[Processing Fee]]-Table15[[#This Row],[Discount Applied]]</f>
        <v>174.08</v>
      </c>
      <c r="O742" s="7" t="str">
        <f>IF(Table15[[#This Row],[Revenue]]&gt;35000,"Achieved","Not Achieved")</f>
        <v>Not Achieved</v>
      </c>
      <c r="P742" s="8">
        <v>3</v>
      </c>
      <c r="Q742" s="7" t="str">
        <f>IF(AND(Table15[[#This Row],[CSAT Score]]&lt;=3,Table15[[#This Row],[Revenue]]&gt;=20000),"High-Risk","Stable")</f>
        <v>Stable</v>
      </c>
      <c r="R742" s="8" t="str" cm="1">
        <f t="array" ref="R742">_xlfn.IFS(Table15[[#This Row],[Revenue]]&gt;=35000,"Platinum",Table15[[#This Row],[Revenue]]&gt;=15000,"Gold",TRUE,"Standard")</f>
        <v>Standard</v>
      </c>
      <c r="S742" s="8" t="str">
        <f>IF(OR(Table15[[#This Row],[Product]]="Wealth Management",Table15[[#This Row],[Revenue]]&gt;=40000),"Yes","No")</f>
        <v>No</v>
      </c>
    </row>
    <row r="743" spans="1:19" x14ac:dyDescent="0.3">
      <c r="A743" s="5" t="s">
        <v>801</v>
      </c>
      <c r="B743" s="6">
        <v>45933</v>
      </c>
      <c r="C743" s="7" t="s">
        <v>75</v>
      </c>
      <c r="D743" s="7" t="s">
        <v>45</v>
      </c>
      <c r="E743" s="7" t="s">
        <v>46</v>
      </c>
      <c r="F743" s="7" t="s">
        <v>35</v>
      </c>
      <c r="G743" s="7" t="s">
        <v>65</v>
      </c>
      <c r="H743" s="7" t="s">
        <v>57</v>
      </c>
      <c r="I743" s="7">
        <v>32</v>
      </c>
      <c r="J743" s="7">
        <v>41</v>
      </c>
      <c r="K743" s="20">
        <v>3207.31</v>
      </c>
      <c r="L743" s="20">
        <v>368.96</v>
      </c>
      <c r="M743" s="7">
        <v>112.77</v>
      </c>
      <c r="N743" s="20">
        <f>Table15[[#This Row],[Processing Fee]]-Table15[[#This Row],[Discount Applied]]</f>
        <v>256.19</v>
      </c>
      <c r="O743" s="7" t="str">
        <f>IF(Table15[[#This Row],[Revenue]]&gt;35000,"Achieved","Not Achieved")</f>
        <v>Not Achieved</v>
      </c>
      <c r="P743" s="8">
        <v>5</v>
      </c>
      <c r="Q743" s="7" t="str">
        <f>IF(AND(Table15[[#This Row],[CSAT Score]]&lt;=3,Table15[[#This Row],[Revenue]]&gt;=20000),"High-Risk","Stable")</f>
        <v>Stable</v>
      </c>
      <c r="R743" s="8" t="str" cm="1">
        <f t="array" ref="R743">_xlfn.IFS(Table15[[#This Row],[Revenue]]&gt;=35000,"Platinum",Table15[[#This Row],[Revenue]]&gt;=15000,"Gold",TRUE,"Standard")</f>
        <v>Standard</v>
      </c>
      <c r="S743" s="8" t="str">
        <f>IF(OR(Table15[[#This Row],[Product]]="Wealth Management",Table15[[#This Row],[Revenue]]&gt;=40000),"Yes","No")</f>
        <v>No</v>
      </c>
    </row>
    <row r="744" spans="1:19" x14ac:dyDescent="0.3">
      <c r="A744" s="5" t="s">
        <v>802</v>
      </c>
      <c r="B744" s="6">
        <v>45979</v>
      </c>
      <c r="C744" s="7" t="s">
        <v>55</v>
      </c>
      <c r="D744" s="7" t="s">
        <v>63</v>
      </c>
      <c r="E744" s="7" t="s">
        <v>21</v>
      </c>
      <c r="F744" s="7" t="s">
        <v>40</v>
      </c>
      <c r="G744" s="7" t="s">
        <v>30</v>
      </c>
      <c r="H744" s="7" t="s">
        <v>31</v>
      </c>
      <c r="I744" s="7">
        <v>50</v>
      </c>
      <c r="J744" s="7">
        <v>41</v>
      </c>
      <c r="K744" s="20">
        <v>1374.67</v>
      </c>
      <c r="L744" s="20">
        <v>130.05000000000001</v>
      </c>
      <c r="M744" s="7">
        <v>154.94</v>
      </c>
      <c r="N744" s="20">
        <f>Table15[[#This Row],[Processing Fee]]-Table15[[#This Row],[Discount Applied]]</f>
        <v>-24.889999999999986</v>
      </c>
      <c r="O744" s="7" t="str">
        <f>IF(Table15[[#This Row],[Revenue]]&gt;35000,"Achieved","Not Achieved")</f>
        <v>Not Achieved</v>
      </c>
      <c r="P744" s="8">
        <v>4</v>
      </c>
      <c r="Q744" s="7" t="str">
        <f>IF(AND(Table15[[#This Row],[CSAT Score]]&lt;=3,Table15[[#This Row],[Revenue]]&gt;=20000),"High-Risk","Stable")</f>
        <v>Stable</v>
      </c>
      <c r="R744" s="8" t="str" cm="1">
        <f t="array" ref="R744">_xlfn.IFS(Table15[[#This Row],[Revenue]]&gt;=35000,"Platinum",Table15[[#This Row],[Revenue]]&gt;=15000,"Gold",TRUE,"Standard")</f>
        <v>Standard</v>
      </c>
      <c r="S744" s="8" t="str">
        <f>IF(OR(Table15[[#This Row],[Product]]="Wealth Management",Table15[[#This Row],[Revenue]]&gt;=40000),"Yes","No")</f>
        <v>No</v>
      </c>
    </row>
    <row r="745" spans="1:19" x14ac:dyDescent="0.3">
      <c r="A745" s="5" t="s">
        <v>803</v>
      </c>
      <c r="B745" s="6">
        <v>46171</v>
      </c>
      <c r="C745" s="7" t="s">
        <v>33</v>
      </c>
      <c r="D745" s="7" t="s">
        <v>63</v>
      </c>
      <c r="E745" s="7" t="s">
        <v>59</v>
      </c>
      <c r="F745" s="7" t="s">
        <v>22</v>
      </c>
      <c r="G745" s="7" t="s">
        <v>23</v>
      </c>
      <c r="H745" s="7" t="s">
        <v>31</v>
      </c>
      <c r="I745" s="7">
        <v>56</v>
      </c>
      <c r="J745" s="7">
        <v>23</v>
      </c>
      <c r="K745" s="20">
        <v>5587.03</v>
      </c>
      <c r="L745" s="20">
        <v>449.84</v>
      </c>
      <c r="M745" s="7">
        <v>218.1</v>
      </c>
      <c r="N745" s="20">
        <f>Table15[[#This Row],[Processing Fee]]-Table15[[#This Row],[Discount Applied]]</f>
        <v>231.73999999999998</v>
      </c>
      <c r="O745" s="7" t="str">
        <f>IF(Table15[[#This Row],[Revenue]]&gt;35000,"Achieved","Not Achieved")</f>
        <v>Not Achieved</v>
      </c>
      <c r="P745" s="8">
        <v>1</v>
      </c>
      <c r="Q745" s="7" t="str">
        <f>IF(AND(Table15[[#This Row],[CSAT Score]]&lt;=3,Table15[[#This Row],[Revenue]]&gt;=20000),"High-Risk","Stable")</f>
        <v>Stable</v>
      </c>
      <c r="R745" s="8" t="str" cm="1">
        <f t="array" ref="R745">_xlfn.IFS(Table15[[#This Row],[Revenue]]&gt;=35000,"Platinum",Table15[[#This Row],[Revenue]]&gt;=15000,"Gold",TRUE,"Standard")</f>
        <v>Standard</v>
      </c>
      <c r="S745" s="8" t="str">
        <f>IF(OR(Table15[[#This Row],[Product]]="Wealth Management",Table15[[#This Row],[Revenue]]&gt;=40000),"Yes","No")</f>
        <v>Yes</v>
      </c>
    </row>
    <row r="746" spans="1:19" x14ac:dyDescent="0.3">
      <c r="A746" s="5" t="s">
        <v>804</v>
      </c>
      <c r="B746" s="6">
        <v>45952</v>
      </c>
      <c r="C746" s="7" t="s">
        <v>42</v>
      </c>
      <c r="D746" s="7" t="s">
        <v>34</v>
      </c>
      <c r="E746" s="7" t="s">
        <v>59</v>
      </c>
      <c r="F746" s="7" t="s">
        <v>29</v>
      </c>
      <c r="G746" s="7" t="s">
        <v>23</v>
      </c>
      <c r="H746" s="7" t="s">
        <v>53</v>
      </c>
      <c r="I746" s="7">
        <v>38</v>
      </c>
      <c r="J746" s="7">
        <v>71</v>
      </c>
      <c r="K746" s="20">
        <v>9023.7800000000007</v>
      </c>
      <c r="L746" s="20">
        <v>248.86</v>
      </c>
      <c r="M746" s="7">
        <v>115.97</v>
      </c>
      <c r="N746" s="20">
        <f>Table15[[#This Row],[Processing Fee]]-Table15[[#This Row],[Discount Applied]]</f>
        <v>132.89000000000001</v>
      </c>
      <c r="O746" s="7" t="str">
        <f>IF(Table15[[#This Row],[Revenue]]&gt;35000,"Achieved","Not Achieved")</f>
        <v>Not Achieved</v>
      </c>
      <c r="P746" s="8">
        <v>4</v>
      </c>
      <c r="Q746" s="7" t="str">
        <f>IF(AND(Table15[[#This Row],[CSAT Score]]&lt;=3,Table15[[#This Row],[Revenue]]&gt;=20000),"High-Risk","Stable")</f>
        <v>Stable</v>
      </c>
      <c r="R746" s="8" t="str" cm="1">
        <f t="array" ref="R746">_xlfn.IFS(Table15[[#This Row],[Revenue]]&gt;=35000,"Platinum",Table15[[#This Row],[Revenue]]&gt;=15000,"Gold",TRUE,"Standard")</f>
        <v>Standard</v>
      </c>
      <c r="S746" s="8" t="str">
        <f>IF(OR(Table15[[#This Row],[Product]]="Wealth Management",Table15[[#This Row],[Revenue]]&gt;=40000),"Yes","No")</f>
        <v>No</v>
      </c>
    </row>
    <row r="747" spans="1:19" x14ac:dyDescent="0.3">
      <c r="A747" s="5" t="s">
        <v>805</v>
      </c>
      <c r="B747" s="6">
        <v>46195</v>
      </c>
      <c r="C747" s="7" t="s">
        <v>55</v>
      </c>
      <c r="D747" s="7" t="s">
        <v>52</v>
      </c>
      <c r="E747" s="7" t="s">
        <v>21</v>
      </c>
      <c r="F747" s="7" t="s">
        <v>35</v>
      </c>
      <c r="G747" s="7" t="s">
        <v>36</v>
      </c>
      <c r="H747" s="7" t="s">
        <v>31</v>
      </c>
      <c r="I747" s="7">
        <v>46</v>
      </c>
      <c r="J747" s="7">
        <v>3</v>
      </c>
      <c r="K747" s="20">
        <v>21833.69</v>
      </c>
      <c r="L747" s="20">
        <v>114.28</v>
      </c>
      <c r="M747" s="7">
        <v>48.75</v>
      </c>
      <c r="N747" s="20">
        <f>Table15[[#This Row],[Processing Fee]]-Table15[[#This Row],[Discount Applied]]</f>
        <v>65.53</v>
      </c>
      <c r="O747" s="7" t="str">
        <f>IF(Table15[[#This Row],[Revenue]]&gt;35000,"Achieved","Not Achieved")</f>
        <v>Not Achieved</v>
      </c>
      <c r="P747" s="8">
        <v>5</v>
      </c>
      <c r="Q747" s="7" t="str">
        <f>IF(AND(Table15[[#This Row],[CSAT Score]]&lt;=3,Table15[[#This Row],[Revenue]]&gt;=20000),"High-Risk","Stable")</f>
        <v>Stable</v>
      </c>
      <c r="R747" s="8" t="str" cm="1">
        <f t="array" ref="R747">_xlfn.IFS(Table15[[#This Row],[Revenue]]&gt;=35000,"Platinum",Table15[[#This Row],[Revenue]]&gt;=15000,"Gold",TRUE,"Standard")</f>
        <v>Gold</v>
      </c>
      <c r="S747" s="8" t="str">
        <f>IF(OR(Table15[[#This Row],[Product]]="Wealth Management",Table15[[#This Row],[Revenue]]&gt;=40000),"Yes","No")</f>
        <v>No</v>
      </c>
    </row>
    <row r="748" spans="1:19" x14ac:dyDescent="0.3">
      <c r="A748" s="5" t="s">
        <v>806</v>
      </c>
      <c r="B748" s="6">
        <v>45887</v>
      </c>
      <c r="C748" s="7" t="s">
        <v>42</v>
      </c>
      <c r="D748" s="7" t="s">
        <v>27</v>
      </c>
      <c r="E748" s="7" t="s">
        <v>59</v>
      </c>
      <c r="F748" s="7" t="s">
        <v>29</v>
      </c>
      <c r="G748" s="7" t="s">
        <v>36</v>
      </c>
      <c r="H748" s="7" t="s">
        <v>53</v>
      </c>
      <c r="I748" s="7">
        <v>73</v>
      </c>
      <c r="J748" s="7">
        <v>58</v>
      </c>
      <c r="K748" s="20">
        <v>25770.75</v>
      </c>
      <c r="L748" s="20">
        <v>393.91</v>
      </c>
      <c r="M748" s="7">
        <v>134.84</v>
      </c>
      <c r="N748" s="20">
        <f>Table15[[#This Row],[Processing Fee]]-Table15[[#This Row],[Discount Applied]]</f>
        <v>259.07000000000005</v>
      </c>
      <c r="O748" s="7" t="str">
        <f>IF(Table15[[#This Row],[Revenue]]&gt;35000,"Achieved","Not Achieved")</f>
        <v>Not Achieved</v>
      </c>
      <c r="P748" s="8">
        <v>2</v>
      </c>
      <c r="Q748" s="7" t="str">
        <f>IF(AND(Table15[[#This Row],[CSAT Score]]&lt;=3,Table15[[#This Row],[Revenue]]&gt;=20000),"High-Risk","Stable")</f>
        <v>High-Risk</v>
      </c>
      <c r="R748" s="8" t="str" cm="1">
        <f t="array" ref="R748">_xlfn.IFS(Table15[[#This Row],[Revenue]]&gt;=35000,"Platinum",Table15[[#This Row],[Revenue]]&gt;=15000,"Gold",TRUE,"Standard")</f>
        <v>Gold</v>
      </c>
      <c r="S748" s="8" t="str">
        <f>IF(OR(Table15[[#This Row],[Product]]="Wealth Management",Table15[[#This Row],[Revenue]]&gt;=40000),"Yes","No")</f>
        <v>No</v>
      </c>
    </row>
    <row r="749" spans="1:19" x14ac:dyDescent="0.3">
      <c r="A749" s="5" t="s">
        <v>807</v>
      </c>
      <c r="B749" s="6">
        <v>46164</v>
      </c>
      <c r="C749" s="7" t="s">
        <v>19</v>
      </c>
      <c r="D749" s="7" t="s">
        <v>79</v>
      </c>
      <c r="E749" s="7" t="s">
        <v>46</v>
      </c>
      <c r="F749" s="7" t="s">
        <v>35</v>
      </c>
      <c r="G749" s="7" t="s">
        <v>36</v>
      </c>
      <c r="H749" s="7" t="s">
        <v>31</v>
      </c>
      <c r="I749" s="7">
        <v>27</v>
      </c>
      <c r="J749" s="7">
        <v>32</v>
      </c>
      <c r="K749" s="20">
        <v>7459.3</v>
      </c>
      <c r="L749" s="20">
        <v>405.49</v>
      </c>
      <c r="M749" s="7">
        <v>40.04</v>
      </c>
      <c r="N749" s="20">
        <f>Table15[[#This Row],[Processing Fee]]-Table15[[#This Row],[Discount Applied]]</f>
        <v>365.45</v>
      </c>
      <c r="O749" s="7" t="str">
        <f>IF(Table15[[#This Row],[Revenue]]&gt;35000,"Achieved","Not Achieved")</f>
        <v>Not Achieved</v>
      </c>
      <c r="P749" s="8">
        <v>5</v>
      </c>
      <c r="Q749" s="7" t="str">
        <f>IF(AND(Table15[[#This Row],[CSAT Score]]&lt;=3,Table15[[#This Row],[Revenue]]&gt;=20000),"High-Risk","Stable")</f>
        <v>Stable</v>
      </c>
      <c r="R749" s="8" t="str" cm="1">
        <f t="array" ref="R749">_xlfn.IFS(Table15[[#This Row],[Revenue]]&gt;=35000,"Platinum",Table15[[#This Row],[Revenue]]&gt;=15000,"Gold",TRUE,"Standard")</f>
        <v>Standard</v>
      </c>
      <c r="S749" s="8" t="str">
        <f>IF(OR(Table15[[#This Row],[Product]]="Wealth Management",Table15[[#This Row],[Revenue]]&gt;=40000),"Yes","No")</f>
        <v>No</v>
      </c>
    </row>
    <row r="750" spans="1:19" x14ac:dyDescent="0.3">
      <c r="A750" s="5" t="s">
        <v>808</v>
      </c>
      <c r="B750" s="6">
        <v>46077</v>
      </c>
      <c r="C750" s="7" t="s">
        <v>91</v>
      </c>
      <c r="D750" s="7" t="s">
        <v>68</v>
      </c>
      <c r="E750" s="7" t="s">
        <v>39</v>
      </c>
      <c r="F750" s="7" t="s">
        <v>40</v>
      </c>
      <c r="G750" s="7" t="s">
        <v>23</v>
      </c>
      <c r="H750" s="7" t="s">
        <v>53</v>
      </c>
      <c r="I750" s="7">
        <v>21</v>
      </c>
      <c r="J750" s="7">
        <v>31</v>
      </c>
      <c r="K750" s="20">
        <v>21526.78</v>
      </c>
      <c r="L750" s="20">
        <v>337.68</v>
      </c>
      <c r="M750" s="7">
        <v>161.16999999999999</v>
      </c>
      <c r="N750" s="20">
        <f>Table15[[#This Row],[Processing Fee]]-Table15[[#This Row],[Discount Applied]]</f>
        <v>176.51000000000002</v>
      </c>
      <c r="O750" s="7" t="str">
        <f>IF(Table15[[#This Row],[Revenue]]&gt;35000,"Achieved","Not Achieved")</f>
        <v>Not Achieved</v>
      </c>
      <c r="P750" s="8">
        <v>1</v>
      </c>
      <c r="Q750" s="7" t="str">
        <f>IF(AND(Table15[[#This Row],[CSAT Score]]&lt;=3,Table15[[#This Row],[Revenue]]&gt;=20000),"High-Risk","Stable")</f>
        <v>High-Risk</v>
      </c>
      <c r="R750" s="8" t="str" cm="1">
        <f t="array" ref="R750">_xlfn.IFS(Table15[[#This Row],[Revenue]]&gt;=35000,"Platinum",Table15[[#This Row],[Revenue]]&gt;=15000,"Gold",TRUE,"Standard")</f>
        <v>Gold</v>
      </c>
      <c r="S750" s="8" t="str">
        <f>IF(OR(Table15[[#This Row],[Product]]="Wealth Management",Table15[[#This Row],[Revenue]]&gt;=40000),"Yes","No")</f>
        <v>No</v>
      </c>
    </row>
    <row r="751" spans="1:19" x14ac:dyDescent="0.3">
      <c r="A751" s="5" t="s">
        <v>809</v>
      </c>
      <c r="B751" s="6">
        <v>46085</v>
      </c>
      <c r="C751" s="7" t="s">
        <v>55</v>
      </c>
      <c r="D751" s="7" t="s">
        <v>63</v>
      </c>
      <c r="E751" s="7" t="s">
        <v>59</v>
      </c>
      <c r="F751" s="7" t="s">
        <v>40</v>
      </c>
      <c r="G751" s="7" t="s">
        <v>30</v>
      </c>
      <c r="H751" s="7" t="s">
        <v>31</v>
      </c>
      <c r="I751" s="7">
        <v>46</v>
      </c>
      <c r="J751" s="7">
        <v>82</v>
      </c>
      <c r="K751" s="20">
        <v>17416.57</v>
      </c>
      <c r="L751" s="20">
        <v>434.06</v>
      </c>
      <c r="M751" s="7">
        <v>296.92</v>
      </c>
      <c r="N751" s="20">
        <f>Table15[[#This Row],[Processing Fee]]-Table15[[#This Row],[Discount Applied]]</f>
        <v>137.13999999999999</v>
      </c>
      <c r="O751" s="7" t="str">
        <f>IF(Table15[[#This Row],[Revenue]]&gt;35000,"Achieved","Not Achieved")</f>
        <v>Not Achieved</v>
      </c>
      <c r="P751" s="8">
        <v>5</v>
      </c>
      <c r="Q751" s="7" t="str">
        <f>IF(AND(Table15[[#This Row],[CSAT Score]]&lt;=3,Table15[[#This Row],[Revenue]]&gt;=20000),"High-Risk","Stable")</f>
        <v>Stable</v>
      </c>
      <c r="R751" s="8" t="str" cm="1">
        <f t="array" ref="R751">_xlfn.IFS(Table15[[#This Row],[Revenue]]&gt;=35000,"Platinum",Table15[[#This Row],[Revenue]]&gt;=15000,"Gold",TRUE,"Standard")</f>
        <v>Gold</v>
      </c>
      <c r="S751" s="8" t="str">
        <f>IF(OR(Table15[[#This Row],[Product]]="Wealth Management",Table15[[#This Row],[Revenue]]&gt;=40000),"Yes","No")</f>
        <v>No</v>
      </c>
    </row>
    <row r="752" spans="1:19" x14ac:dyDescent="0.3">
      <c r="A752" s="5" t="s">
        <v>810</v>
      </c>
      <c r="B752" s="6">
        <v>46059</v>
      </c>
      <c r="C752" s="7" t="s">
        <v>44</v>
      </c>
      <c r="D752" s="7" t="s">
        <v>79</v>
      </c>
      <c r="E752" s="7" t="s">
        <v>46</v>
      </c>
      <c r="F752" s="7" t="s">
        <v>40</v>
      </c>
      <c r="G752" s="7" t="s">
        <v>56</v>
      </c>
      <c r="H752" s="7" t="s">
        <v>24</v>
      </c>
      <c r="I752" s="7">
        <v>43</v>
      </c>
      <c r="J752" s="7">
        <v>43</v>
      </c>
      <c r="K752" s="20">
        <v>9579.4699999999993</v>
      </c>
      <c r="L752" s="20">
        <v>381.82</v>
      </c>
      <c r="M752" s="7">
        <v>75.48</v>
      </c>
      <c r="N752" s="20">
        <f>Table15[[#This Row],[Processing Fee]]-Table15[[#This Row],[Discount Applied]]</f>
        <v>306.33999999999997</v>
      </c>
      <c r="O752" s="7" t="str">
        <f>IF(Table15[[#This Row],[Revenue]]&gt;35000,"Achieved","Not Achieved")</f>
        <v>Not Achieved</v>
      </c>
      <c r="P752" s="8">
        <v>2</v>
      </c>
      <c r="Q752" s="7" t="str">
        <f>IF(AND(Table15[[#This Row],[CSAT Score]]&lt;=3,Table15[[#This Row],[Revenue]]&gt;=20000),"High-Risk","Stable")</f>
        <v>Stable</v>
      </c>
      <c r="R752" s="8" t="str" cm="1">
        <f t="array" ref="R752">_xlfn.IFS(Table15[[#This Row],[Revenue]]&gt;=35000,"Platinum",Table15[[#This Row],[Revenue]]&gt;=15000,"Gold",TRUE,"Standard")</f>
        <v>Standard</v>
      </c>
      <c r="S752" s="8" t="str">
        <f>IF(OR(Table15[[#This Row],[Product]]="Wealth Management",Table15[[#This Row],[Revenue]]&gt;=40000),"Yes","No")</f>
        <v>No</v>
      </c>
    </row>
    <row r="753" spans="1:19" x14ac:dyDescent="0.3">
      <c r="A753" s="5" t="s">
        <v>811</v>
      </c>
      <c r="B753" s="6">
        <v>46018</v>
      </c>
      <c r="C753" s="7" t="s">
        <v>33</v>
      </c>
      <c r="D753" s="7" t="s">
        <v>61</v>
      </c>
      <c r="E753" s="7" t="s">
        <v>28</v>
      </c>
      <c r="F753" s="7" t="s">
        <v>40</v>
      </c>
      <c r="G753" s="7" t="s">
        <v>36</v>
      </c>
      <c r="H753" s="7" t="s">
        <v>57</v>
      </c>
      <c r="I753" s="7">
        <v>46</v>
      </c>
      <c r="J753" s="7">
        <v>7</v>
      </c>
      <c r="K753" s="20">
        <v>838.62</v>
      </c>
      <c r="L753" s="20">
        <v>446.99</v>
      </c>
      <c r="M753" s="7">
        <v>88.95</v>
      </c>
      <c r="N753" s="20">
        <f>Table15[[#This Row],[Processing Fee]]-Table15[[#This Row],[Discount Applied]]</f>
        <v>358.04</v>
      </c>
      <c r="O753" s="7" t="str">
        <f>IF(Table15[[#This Row],[Revenue]]&gt;35000,"Achieved","Not Achieved")</f>
        <v>Not Achieved</v>
      </c>
      <c r="P753" s="8">
        <v>4</v>
      </c>
      <c r="Q753" s="7" t="str">
        <f>IF(AND(Table15[[#This Row],[CSAT Score]]&lt;=3,Table15[[#This Row],[Revenue]]&gt;=20000),"High-Risk","Stable")</f>
        <v>Stable</v>
      </c>
      <c r="R753" s="8" t="str" cm="1">
        <f t="array" ref="R753">_xlfn.IFS(Table15[[#This Row],[Revenue]]&gt;=35000,"Platinum",Table15[[#This Row],[Revenue]]&gt;=15000,"Gold",TRUE,"Standard")</f>
        <v>Standard</v>
      </c>
      <c r="S753" s="8" t="str">
        <f>IF(OR(Table15[[#This Row],[Product]]="Wealth Management",Table15[[#This Row],[Revenue]]&gt;=40000),"Yes","No")</f>
        <v>No</v>
      </c>
    </row>
    <row r="754" spans="1:19" x14ac:dyDescent="0.3">
      <c r="A754" s="5" t="s">
        <v>812</v>
      </c>
      <c r="B754" s="6">
        <v>46185</v>
      </c>
      <c r="C754" s="7" t="s">
        <v>55</v>
      </c>
      <c r="D754" s="7" t="s">
        <v>79</v>
      </c>
      <c r="E754" s="7" t="s">
        <v>46</v>
      </c>
      <c r="F754" s="7" t="s">
        <v>69</v>
      </c>
      <c r="G754" s="7" t="s">
        <v>30</v>
      </c>
      <c r="H754" s="7" t="s">
        <v>24</v>
      </c>
      <c r="I754" s="7">
        <v>65</v>
      </c>
      <c r="J754" s="7">
        <v>105</v>
      </c>
      <c r="K754" s="20">
        <v>23617.38</v>
      </c>
      <c r="L754" s="20">
        <v>245.25</v>
      </c>
      <c r="M754" s="7">
        <v>9.2899999999999991</v>
      </c>
      <c r="N754" s="20">
        <f>Table15[[#This Row],[Processing Fee]]-Table15[[#This Row],[Discount Applied]]</f>
        <v>235.96</v>
      </c>
      <c r="O754" s="7" t="str">
        <f>IF(Table15[[#This Row],[Revenue]]&gt;35000,"Achieved","Not Achieved")</f>
        <v>Not Achieved</v>
      </c>
      <c r="P754" s="8">
        <v>3</v>
      </c>
      <c r="Q754" s="7" t="str">
        <f>IF(AND(Table15[[#This Row],[CSAT Score]]&lt;=3,Table15[[#This Row],[Revenue]]&gt;=20000),"High-Risk","Stable")</f>
        <v>High-Risk</v>
      </c>
      <c r="R754" s="8" t="str" cm="1">
        <f t="array" ref="R754">_xlfn.IFS(Table15[[#This Row],[Revenue]]&gt;=35000,"Platinum",Table15[[#This Row],[Revenue]]&gt;=15000,"Gold",TRUE,"Standard")</f>
        <v>Gold</v>
      </c>
      <c r="S754" s="8" t="str">
        <f>IF(OR(Table15[[#This Row],[Product]]="Wealth Management",Table15[[#This Row],[Revenue]]&gt;=40000),"Yes","No")</f>
        <v>No</v>
      </c>
    </row>
    <row r="755" spans="1:19" x14ac:dyDescent="0.3">
      <c r="A755" s="5" t="s">
        <v>813</v>
      </c>
      <c r="B755" s="6">
        <v>46231</v>
      </c>
      <c r="C755" s="7" t="s">
        <v>55</v>
      </c>
      <c r="D755" s="7" t="s">
        <v>61</v>
      </c>
      <c r="E755" s="7" t="s">
        <v>39</v>
      </c>
      <c r="F755" s="7" t="s">
        <v>69</v>
      </c>
      <c r="G755" s="7" t="s">
        <v>65</v>
      </c>
      <c r="H755" s="7" t="s">
        <v>57</v>
      </c>
      <c r="I755" s="7">
        <v>26</v>
      </c>
      <c r="J755" s="7">
        <v>1</v>
      </c>
      <c r="K755" s="20">
        <v>34439.760000000002</v>
      </c>
      <c r="L755" s="20">
        <v>386.42</v>
      </c>
      <c r="M755" s="7">
        <v>2.75</v>
      </c>
      <c r="N755" s="20">
        <f>Table15[[#This Row],[Processing Fee]]-Table15[[#This Row],[Discount Applied]]</f>
        <v>383.67</v>
      </c>
      <c r="O755" s="7" t="str">
        <f>IF(Table15[[#This Row],[Revenue]]&gt;35000,"Achieved","Not Achieved")</f>
        <v>Not Achieved</v>
      </c>
      <c r="P755" s="8">
        <v>4</v>
      </c>
      <c r="Q755" s="7" t="str">
        <f>IF(AND(Table15[[#This Row],[CSAT Score]]&lt;=3,Table15[[#This Row],[Revenue]]&gt;=20000),"High-Risk","Stable")</f>
        <v>Stable</v>
      </c>
      <c r="R755" s="8" t="str" cm="1">
        <f t="array" ref="R755">_xlfn.IFS(Table15[[#This Row],[Revenue]]&gt;=35000,"Platinum",Table15[[#This Row],[Revenue]]&gt;=15000,"Gold",TRUE,"Standard")</f>
        <v>Gold</v>
      </c>
      <c r="S755" s="8" t="str">
        <f>IF(OR(Table15[[#This Row],[Product]]="Wealth Management",Table15[[#This Row],[Revenue]]&gt;=40000),"Yes","No")</f>
        <v>No</v>
      </c>
    </row>
    <row r="756" spans="1:19" x14ac:dyDescent="0.3">
      <c r="A756" s="5" t="s">
        <v>814</v>
      </c>
      <c r="B756" s="6">
        <v>46211</v>
      </c>
      <c r="C756" s="7" t="s">
        <v>55</v>
      </c>
      <c r="D756" s="7" t="s">
        <v>83</v>
      </c>
      <c r="E756" s="7" t="s">
        <v>46</v>
      </c>
      <c r="F756" s="7" t="s">
        <v>22</v>
      </c>
      <c r="G756" s="7" t="s">
        <v>36</v>
      </c>
      <c r="H756" s="7" t="s">
        <v>57</v>
      </c>
      <c r="I756" s="7">
        <v>26</v>
      </c>
      <c r="J756" s="7">
        <v>61</v>
      </c>
      <c r="K756" s="20">
        <v>11700.73</v>
      </c>
      <c r="L756" s="20">
        <v>499.89</v>
      </c>
      <c r="M756" s="7">
        <v>184.28</v>
      </c>
      <c r="N756" s="20">
        <f>Table15[[#This Row],[Processing Fee]]-Table15[[#This Row],[Discount Applied]]</f>
        <v>315.61</v>
      </c>
      <c r="O756" s="7" t="str">
        <f>IF(Table15[[#This Row],[Revenue]]&gt;35000,"Achieved","Not Achieved")</f>
        <v>Not Achieved</v>
      </c>
      <c r="P756" s="8">
        <v>2</v>
      </c>
      <c r="Q756" s="7" t="str">
        <f>IF(AND(Table15[[#This Row],[CSAT Score]]&lt;=3,Table15[[#This Row],[Revenue]]&gt;=20000),"High-Risk","Stable")</f>
        <v>Stable</v>
      </c>
      <c r="R756" s="8" t="str" cm="1">
        <f t="array" ref="R756">_xlfn.IFS(Table15[[#This Row],[Revenue]]&gt;=35000,"Platinum",Table15[[#This Row],[Revenue]]&gt;=15000,"Gold",TRUE,"Standard")</f>
        <v>Standard</v>
      </c>
      <c r="S756" s="8" t="str">
        <f>IF(OR(Table15[[#This Row],[Product]]="Wealth Management",Table15[[#This Row],[Revenue]]&gt;=40000),"Yes","No")</f>
        <v>Yes</v>
      </c>
    </row>
    <row r="757" spans="1:19" x14ac:dyDescent="0.3">
      <c r="A757" s="5" t="s">
        <v>815</v>
      </c>
      <c r="B757" s="6">
        <v>46208</v>
      </c>
      <c r="C757" s="7" t="s">
        <v>75</v>
      </c>
      <c r="D757" s="7" t="s">
        <v>48</v>
      </c>
      <c r="E757" s="7" t="s">
        <v>21</v>
      </c>
      <c r="F757" s="7" t="s">
        <v>29</v>
      </c>
      <c r="G757" s="7" t="s">
        <v>56</v>
      </c>
      <c r="H757" s="7" t="s">
        <v>53</v>
      </c>
      <c r="I757" s="7">
        <v>64</v>
      </c>
      <c r="J757" s="7">
        <v>14</v>
      </c>
      <c r="K757" s="20">
        <v>7024.44</v>
      </c>
      <c r="L757" s="20">
        <v>376.22</v>
      </c>
      <c r="M757" s="7">
        <v>25.72</v>
      </c>
      <c r="N757" s="20">
        <f>Table15[[#This Row],[Processing Fee]]-Table15[[#This Row],[Discount Applied]]</f>
        <v>350.5</v>
      </c>
      <c r="O757" s="7" t="str">
        <f>IF(Table15[[#This Row],[Revenue]]&gt;35000,"Achieved","Not Achieved")</f>
        <v>Not Achieved</v>
      </c>
      <c r="P757" s="8">
        <v>2</v>
      </c>
      <c r="Q757" s="7" t="str">
        <f>IF(AND(Table15[[#This Row],[CSAT Score]]&lt;=3,Table15[[#This Row],[Revenue]]&gt;=20000),"High-Risk","Stable")</f>
        <v>Stable</v>
      </c>
      <c r="R757" s="8" t="str" cm="1">
        <f t="array" ref="R757">_xlfn.IFS(Table15[[#This Row],[Revenue]]&gt;=35000,"Platinum",Table15[[#This Row],[Revenue]]&gt;=15000,"Gold",TRUE,"Standard")</f>
        <v>Standard</v>
      </c>
      <c r="S757" s="8" t="str">
        <f>IF(OR(Table15[[#This Row],[Product]]="Wealth Management",Table15[[#This Row],[Revenue]]&gt;=40000),"Yes","No")</f>
        <v>No</v>
      </c>
    </row>
    <row r="758" spans="1:19" x14ac:dyDescent="0.3">
      <c r="A758" s="5" t="s">
        <v>816</v>
      </c>
      <c r="B758" s="6">
        <v>46180</v>
      </c>
      <c r="C758" s="7" t="s">
        <v>55</v>
      </c>
      <c r="D758" s="7" t="s">
        <v>48</v>
      </c>
      <c r="E758" s="7" t="s">
        <v>39</v>
      </c>
      <c r="F758" s="7" t="s">
        <v>35</v>
      </c>
      <c r="G758" s="7" t="s">
        <v>65</v>
      </c>
      <c r="H758" s="7" t="s">
        <v>57</v>
      </c>
      <c r="I758" s="7">
        <v>28</v>
      </c>
      <c r="J758" s="7">
        <v>52</v>
      </c>
      <c r="K758" s="20">
        <v>44408.62</v>
      </c>
      <c r="L758" s="20">
        <v>101.38</v>
      </c>
      <c r="M758" s="7">
        <v>89.16</v>
      </c>
      <c r="N758" s="20">
        <f>Table15[[#This Row],[Processing Fee]]-Table15[[#This Row],[Discount Applied]]</f>
        <v>12.219999999999999</v>
      </c>
      <c r="O758" s="7" t="str">
        <f>IF(Table15[[#This Row],[Revenue]]&gt;35000,"Achieved","Not Achieved")</f>
        <v>Achieved</v>
      </c>
      <c r="P758" s="8">
        <v>1</v>
      </c>
      <c r="Q758" s="7" t="str">
        <f>IF(AND(Table15[[#This Row],[CSAT Score]]&lt;=3,Table15[[#This Row],[Revenue]]&gt;=20000),"High-Risk","Stable")</f>
        <v>High-Risk</v>
      </c>
      <c r="R758" s="8" t="str" cm="1">
        <f t="array" ref="R758">_xlfn.IFS(Table15[[#This Row],[Revenue]]&gt;=35000,"Platinum",Table15[[#This Row],[Revenue]]&gt;=15000,"Gold",TRUE,"Standard")</f>
        <v>Platinum</v>
      </c>
      <c r="S758" s="8" t="str">
        <f>IF(OR(Table15[[#This Row],[Product]]="Wealth Management",Table15[[#This Row],[Revenue]]&gt;=40000),"Yes","No")</f>
        <v>Yes</v>
      </c>
    </row>
    <row r="759" spans="1:19" x14ac:dyDescent="0.3">
      <c r="A759" s="5" t="s">
        <v>817</v>
      </c>
      <c r="B759" s="6">
        <v>46217</v>
      </c>
      <c r="C759" s="7" t="s">
        <v>42</v>
      </c>
      <c r="D759" s="7" t="s">
        <v>45</v>
      </c>
      <c r="E759" s="7" t="s">
        <v>28</v>
      </c>
      <c r="F759" s="7" t="s">
        <v>35</v>
      </c>
      <c r="G759" s="7" t="s">
        <v>65</v>
      </c>
      <c r="H759" s="7" t="s">
        <v>24</v>
      </c>
      <c r="I759" s="7">
        <v>44</v>
      </c>
      <c r="J759" s="7">
        <v>96</v>
      </c>
      <c r="K759" s="20">
        <v>14113.73</v>
      </c>
      <c r="L759" s="20">
        <v>283.24</v>
      </c>
      <c r="M759" s="7">
        <v>163.07</v>
      </c>
      <c r="N759" s="20">
        <f>Table15[[#This Row],[Processing Fee]]-Table15[[#This Row],[Discount Applied]]</f>
        <v>120.17000000000002</v>
      </c>
      <c r="O759" s="7" t="str">
        <f>IF(Table15[[#This Row],[Revenue]]&gt;35000,"Achieved","Not Achieved")</f>
        <v>Not Achieved</v>
      </c>
      <c r="P759" s="8">
        <v>5</v>
      </c>
      <c r="Q759" s="7" t="str">
        <f>IF(AND(Table15[[#This Row],[CSAT Score]]&lt;=3,Table15[[#This Row],[Revenue]]&gt;=20000),"High-Risk","Stable")</f>
        <v>Stable</v>
      </c>
      <c r="R759" s="8" t="str" cm="1">
        <f t="array" ref="R759">_xlfn.IFS(Table15[[#This Row],[Revenue]]&gt;=35000,"Platinum",Table15[[#This Row],[Revenue]]&gt;=15000,"Gold",TRUE,"Standard")</f>
        <v>Standard</v>
      </c>
      <c r="S759" s="8" t="str">
        <f>IF(OR(Table15[[#This Row],[Product]]="Wealth Management",Table15[[#This Row],[Revenue]]&gt;=40000),"Yes","No")</f>
        <v>No</v>
      </c>
    </row>
    <row r="760" spans="1:19" x14ac:dyDescent="0.3">
      <c r="A760" s="5" t="s">
        <v>818</v>
      </c>
      <c r="B760" s="6">
        <v>45976</v>
      </c>
      <c r="C760" s="7" t="s">
        <v>91</v>
      </c>
      <c r="D760" s="7" t="s">
        <v>20</v>
      </c>
      <c r="E760" s="7" t="s">
        <v>21</v>
      </c>
      <c r="F760" s="7" t="s">
        <v>69</v>
      </c>
      <c r="G760" s="7" t="s">
        <v>56</v>
      </c>
      <c r="H760" s="7" t="s">
        <v>24</v>
      </c>
      <c r="I760" s="7">
        <v>42</v>
      </c>
      <c r="J760" s="7">
        <v>6</v>
      </c>
      <c r="K760" s="20">
        <v>11568.82</v>
      </c>
      <c r="L760" s="20">
        <v>314.31</v>
      </c>
      <c r="M760" s="7">
        <v>177.86</v>
      </c>
      <c r="N760" s="20">
        <f>Table15[[#This Row],[Processing Fee]]-Table15[[#This Row],[Discount Applied]]</f>
        <v>136.44999999999999</v>
      </c>
      <c r="O760" s="7" t="str">
        <f>IF(Table15[[#This Row],[Revenue]]&gt;35000,"Achieved","Not Achieved")</f>
        <v>Not Achieved</v>
      </c>
      <c r="P760" s="8">
        <v>5</v>
      </c>
      <c r="Q760" s="7" t="str">
        <f>IF(AND(Table15[[#This Row],[CSAT Score]]&lt;=3,Table15[[#This Row],[Revenue]]&gt;=20000),"High-Risk","Stable")</f>
        <v>Stable</v>
      </c>
      <c r="R760" s="8" t="str" cm="1">
        <f t="array" ref="R760">_xlfn.IFS(Table15[[#This Row],[Revenue]]&gt;=35000,"Platinum",Table15[[#This Row],[Revenue]]&gt;=15000,"Gold",TRUE,"Standard")</f>
        <v>Standard</v>
      </c>
      <c r="S760" s="8" t="str">
        <f>IF(OR(Table15[[#This Row],[Product]]="Wealth Management",Table15[[#This Row],[Revenue]]&gt;=40000),"Yes","No")</f>
        <v>No</v>
      </c>
    </row>
    <row r="761" spans="1:19" x14ac:dyDescent="0.3">
      <c r="A761" s="5" t="s">
        <v>819</v>
      </c>
      <c r="B761" s="6">
        <v>46209</v>
      </c>
      <c r="C761" s="7" t="s">
        <v>19</v>
      </c>
      <c r="D761" s="7" t="s">
        <v>45</v>
      </c>
      <c r="E761" s="7" t="s">
        <v>46</v>
      </c>
      <c r="F761" s="7" t="s">
        <v>35</v>
      </c>
      <c r="G761" s="7" t="s">
        <v>36</v>
      </c>
      <c r="H761" s="7" t="s">
        <v>31</v>
      </c>
      <c r="I761" s="7">
        <v>39</v>
      </c>
      <c r="J761" s="7">
        <v>103</v>
      </c>
      <c r="K761" s="20">
        <v>42926.3</v>
      </c>
      <c r="L761" s="20">
        <v>128.38999999999999</v>
      </c>
      <c r="M761" s="7">
        <v>155.82</v>
      </c>
      <c r="N761" s="20">
        <f>Table15[[#This Row],[Processing Fee]]-Table15[[#This Row],[Discount Applied]]</f>
        <v>-27.430000000000007</v>
      </c>
      <c r="O761" s="7" t="str">
        <f>IF(Table15[[#This Row],[Revenue]]&gt;35000,"Achieved","Not Achieved")</f>
        <v>Achieved</v>
      </c>
      <c r="P761" s="8">
        <v>4</v>
      </c>
      <c r="Q761" s="7" t="str">
        <f>IF(AND(Table15[[#This Row],[CSAT Score]]&lt;=3,Table15[[#This Row],[Revenue]]&gt;=20000),"High-Risk","Stable")</f>
        <v>Stable</v>
      </c>
      <c r="R761" s="8" t="str" cm="1">
        <f t="array" ref="R761">_xlfn.IFS(Table15[[#This Row],[Revenue]]&gt;=35000,"Platinum",Table15[[#This Row],[Revenue]]&gt;=15000,"Gold",TRUE,"Standard")</f>
        <v>Platinum</v>
      </c>
      <c r="S761" s="8" t="str">
        <f>IF(OR(Table15[[#This Row],[Product]]="Wealth Management",Table15[[#This Row],[Revenue]]&gt;=40000),"Yes","No")</f>
        <v>Yes</v>
      </c>
    </row>
    <row r="762" spans="1:19" x14ac:dyDescent="0.3">
      <c r="A762" s="5" t="s">
        <v>820</v>
      </c>
      <c r="B762" s="6">
        <v>46164</v>
      </c>
      <c r="C762" s="7" t="s">
        <v>26</v>
      </c>
      <c r="D762" s="7" t="s">
        <v>61</v>
      </c>
      <c r="E762" s="7" t="s">
        <v>39</v>
      </c>
      <c r="F762" s="7" t="s">
        <v>69</v>
      </c>
      <c r="G762" s="7" t="s">
        <v>23</v>
      </c>
      <c r="H762" s="7" t="s">
        <v>24</v>
      </c>
      <c r="I762" s="7">
        <v>57</v>
      </c>
      <c r="J762" s="7">
        <v>10</v>
      </c>
      <c r="K762" s="20">
        <v>40946.800000000003</v>
      </c>
      <c r="L762" s="20">
        <v>483.3</v>
      </c>
      <c r="M762" s="7">
        <v>113.01</v>
      </c>
      <c r="N762" s="20">
        <f>Table15[[#This Row],[Processing Fee]]-Table15[[#This Row],[Discount Applied]]</f>
        <v>370.29</v>
      </c>
      <c r="O762" s="7" t="str">
        <f>IF(Table15[[#This Row],[Revenue]]&gt;35000,"Achieved","Not Achieved")</f>
        <v>Achieved</v>
      </c>
      <c r="P762" s="8">
        <v>3</v>
      </c>
      <c r="Q762" s="7" t="str">
        <f>IF(AND(Table15[[#This Row],[CSAT Score]]&lt;=3,Table15[[#This Row],[Revenue]]&gt;=20000),"High-Risk","Stable")</f>
        <v>High-Risk</v>
      </c>
      <c r="R762" s="8" t="str" cm="1">
        <f t="array" ref="R762">_xlfn.IFS(Table15[[#This Row],[Revenue]]&gt;=35000,"Platinum",Table15[[#This Row],[Revenue]]&gt;=15000,"Gold",TRUE,"Standard")</f>
        <v>Platinum</v>
      </c>
      <c r="S762" s="8" t="str">
        <f>IF(OR(Table15[[#This Row],[Product]]="Wealth Management",Table15[[#This Row],[Revenue]]&gt;=40000),"Yes","No")</f>
        <v>Yes</v>
      </c>
    </row>
    <row r="763" spans="1:19" x14ac:dyDescent="0.3">
      <c r="A763" s="5" t="s">
        <v>821</v>
      </c>
      <c r="B763" s="6">
        <v>46121</v>
      </c>
      <c r="C763" s="7" t="s">
        <v>55</v>
      </c>
      <c r="D763" s="7" t="s">
        <v>27</v>
      </c>
      <c r="E763" s="7" t="s">
        <v>28</v>
      </c>
      <c r="F763" s="7" t="s">
        <v>22</v>
      </c>
      <c r="G763" s="7" t="s">
        <v>56</v>
      </c>
      <c r="H763" s="7" t="s">
        <v>31</v>
      </c>
      <c r="I763" s="7">
        <v>38</v>
      </c>
      <c r="J763" s="7">
        <v>71</v>
      </c>
      <c r="K763" s="20">
        <v>22693.15</v>
      </c>
      <c r="L763" s="20">
        <v>129.01</v>
      </c>
      <c r="M763" s="7">
        <v>200.91</v>
      </c>
      <c r="N763" s="20">
        <f>Table15[[#This Row],[Processing Fee]]-Table15[[#This Row],[Discount Applied]]</f>
        <v>-71.900000000000006</v>
      </c>
      <c r="O763" s="7" t="str">
        <f>IF(Table15[[#This Row],[Revenue]]&gt;35000,"Achieved","Not Achieved")</f>
        <v>Not Achieved</v>
      </c>
      <c r="P763" s="8">
        <v>3</v>
      </c>
      <c r="Q763" s="7" t="str">
        <f>IF(AND(Table15[[#This Row],[CSAT Score]]&lt;=3,Table15[[#This Row],[Revenue]]&gt;=20000),"High-Risk","Stable")</f>
        <v>High-Risk</v>
      </c>
      <c r="R763" s="8" t="str" cm="1">
        <f t="array" ref="R763">_xlfn.IFS(Table15[[#This Row],[Revenue]]&gt;=35000,"Platinum",Table15[[#This Row],[Revenue]]&gt;=15000,"Gold",TRUE,"Standard")</f>
        <v>Gold</v>
      </c>
      <c r="S763" s="8" t="str">
        <f>IF(OR(Table15[[#This Row],[Product]]="Wealth Management",Table15[[#This Row],[Revenue]]&gt;=40000),"Yes","No")</f>
        <v>Yes</v>
      </c>
    </row>
    <row r="764" spans="1:19" x14ac:dyDescent="0.3">
      <c r="A764" s="5" t="s">
        <v>822</v>
      </c>
      <c r="B764" s="6">
        <v>45900</v>
      </c>
      <c r="C764" s="7" t="s">
        <v>33</v>
      </c>
      <c r="D764" s="7" t="s">
        <v>87</v>
      </c>
      <c r="E764" s="7" t="s">
        <v>21</v>
      </c>
      <c r="F764" s="7" t="s">
        <v>29</v>
      </c>
      <c r="G764" s="7" t="s">
        <v>56</v>
      </c>
      <c r="H764" s="7" t="s">
        <v>57</v>
      </c>
      <c r="I764" s="7">
        <v>51</v>
      </c>
      <c r="J764" s="7">
        <v>90</v>
      </c>
      <c r="K764" s="20">
        <v>24717.32</v>
      </c>
      <c r="L764" s="20">
        <v>129.9</v>
      </c>
      <c r="M764" s="7">
        <v>192.28</v>
      </c>
      <c r="N764" s="20">
        <f>Table15[[#This Row],[Processing Fee]]-Table15[[#This Row],[Discount Applied]]</f>
        <v>-62.379999999999995</v>
      </c>
      <c r="O764" s="7" t="str">
        <f>IF(Table15[[#This Row],[Revenue]]&gt;35000,"Achieved","Not Achieved")</f>
        <v>Not Achieved</v>
      </c>
      <c r="P764" s="8">
        <v>1</v>
      </c>
      <c r="Q764" s="7" t="str">
        <f>IF(AND(Table15[[#This Row],[CSAT Score]]&lt;=3,Table15[[#This Row],[Revenue]]&gt;=20000),"High-Risk","Stable")</f>
        <v>High-Risk</v>
      </c>
      <c r="R764" s="8" t="str" cm="1">
        <f t="array" ref="R764">_xlfn.IFS(Table15[[#This Row],[Revenue]]&gt;=35000,"Platinum",Table15[[#This Row],[Revenue]]&gt;=15000,"Gold",TRUE,"Standard")</f>
        <v>Gold</v>
      </c>
      <c r="S764" s="8" t="str">
        <f>IF(OR(Table15[[#This Row],[Product]]="Wealth Management",Table15[[#This Row],[Revenue]]&gt;=40000),"Yes","No")</f>
        <v>No</v>
      </c>
    </row>
    <row r="765" spans="1:19" x14ac:dyDescent="0.3">
      <c r="A765" s="5" t="s">
        <v>823</v>
      </c>
      <c r="B765" s="6">
        <v>45966</v>
      </c>
      <c r="C765" s="7" t="s">
        <v>55</v>
      </c>
      <c r="D765" s="7" t="s">
        <v>68</v>
      </c>
      <c r="E765" s="7" t="s">
        <v>28</v>
      </c>
      <c r="F765" s="7" t="s">
        <v>22</v>
      </c>
      <c r="G765" s="7" t="s">
        <v>56</v>
      </c>
      <c r="H765" s="7" t="s">
        <v>24</v>
      </c>
      <c r="I765" s="7">
        <v>57</v>
      </c>
      <c r="J765" s="7">
        <v>98</v>
      </c>
      <c r="K765" s="20">
        <v>11278.56</v>
      </c>
      <c r="L765" s="20">
        <v>461.83</v>
      </c>
      <c r="M765" s="7">
        <v>120.53</v>
      </c>
      <c r="N765" s="20">
        <f>Table15[[#This Row],[Processing Fee]]-Table15[[#This Row],[Discount Applied]]</f>
        <v>341.29999999999995</v>
      </c>
      <c r="O765" s="7" t="str">
        <f>IF(Table15[[#This Row],[Revenue]]&gt;35000,"Achieved","Not Achieved")</f>
        <v>Not Achieved</v>
      </c>
      <c r="P765" s="8">
        <v>2</v>
      </c>
      <c r="Q765" s="7" t="str">
        <f>IF(AND(Table15[[#This Row],[CSAT Score]]&lt;=3,Table15[[#This Row],[Revenue]]&gt;=20000),"High-Risk","Stable")</f>
        <v>Stable</v>
      </c>
      <c r="R765" s="8" t="str" cm="1">
        <f t="array" ref="R765">_xlfn.IFS(Table15[[#This Row],[Revenue]]&gt;=35000,"Platinum",Table15[[#This Row],[Revenue]]&gt;=15000,"Gold",TRUE,"Standard")</f>
        <v>Standard</v>
      </c>
      <c r="S765" s="8" t="str">
        <f>IF(OR(Table15[[#This Row],[Product]]="Wealth Management",Table15[[#This Row],[Revenue]]&gt;=40000),"Yes","No")</f>
        <v>Yes</v>
      </c>
    </row>
    <row r="766" spans="1:19" x14ac:dyDescent="0.3">
      <c r="A766" s="5" t="s">
        <v>824</v>
      </c>
      <c r="B766" s="6">
        <v>45985</v>
      </c>
      <c r="C766" s="7" t="s">
        <v>33</v>
      </c>
      <c r="D766" s="7" t="s">
        <v>87</v>
      </c>
      <c r="E766" s="7" t="s">
        <v>46</v>
      </c>
      <c r="F766" s="7" t="s">
        <v>40</v>
      </c>
      <c r="G766" s="7" t="s">
        <v>65</v>
      </c>
      <c r="H766" s="7" t="s">
        <v>57</v>
      </c>
      <c r="I766" s="7">
        <v>50</v>
      </c>
      <c r="J766" s="7">
        <v>30</v>
      </c>
      <c r="K766" s="20">
        <v>4375.93</v>
      </c>
      <c r="L766" s="20">
        <v>259.33999999999997</v>
      </c>
      <c r="M766" s="7">
        <v>111.9</v>
      </c>
      <c r="N766" s="20">
        <f>Table15[[#This Row],[Processing Fee]]-Table15[[#This Row],[Discount Applied]]</f>
        <v>147.43999999999997</v>
      </c>
      <c r="O766" s="7" t="str">
        <f>IF(Table15[[#This Row],[Revenue]]&gt;35000,"Achieved","Not Achieved")</f>
        <v>Not Achieved</v>
      </c>
      <c r="P766" s="8">
        <v>1</v>
      </c>
      <c r="Q766" s="7" t="str">
        <f>IF(AND(Table15[[#This Row],[CSAT Score]]&lt;=3,Table15[[#This Row],[Revenue]]&gt;=20000),"High-Risk","Stable")</f>
        <v>Stable</v>
      </c>
      <c r="R766" s="8" t="str" cm="1">
        <f t="array" ref="R766">_xlfn.IFS(Table15[[#This Row],[Revenue]]&gt;=35000,"Platinum",Table15[[#This Row],[Revenue]]&gt;=15000,"Gold",TRUE,"Standard")</f>
        <v>Standard</v>
      </c>
      <c r="S766" s="8" t="str">
        <f>IF(OR(Table15[[#This Row],[Product]]="Wealth Management",Table15[[#This Row],[Revenue]]&gt;=40000),"Yes","No")</f>
        <v>No</v>
      </c>
    </row>
    <row r="767" spans="1:19" x14ac:dyDescent="0.3">
      <c r="A767" s="5" t="s">
        <v>825</v>
      </c>
      <c r="B767" s="6">
        <v>45956</v>
      </c>
      <c r="C767" s="7" t="s">
        <v>42</v>
      </c>
      <c r="D767" s="7" t="s">
        <v>77</v>
      </c>
      <c r="E767" s="7" t="s">
        <v>28</v>
      </c>
      <c r="F767" s="7" t="s">
        <v>40</v>
      </c>
      <c r="G767" s="7" t="s">
        <v>30</v>
      </c>
      <c r="H767" s="7" t="s">
        <v>24</v>
      </c>
      <c r="I767" s="7">
        <v>62</v>
      </c>
      <c r="J767" s="7">
        <v>100</v>
      </c>
      <c r="K767" s="20">
        <v>28884.880000000001</v>
      </c>
      <c r="L767" s="20">
        <v>78.430000000000007</v>
      </c>
      <c r="M767" s="7">
        <v>2.91</v>
      </c>
      <c r="N767" s="20">
        <f>Table15[[#This Row],[Processing Fee]]-Table15[[#This Row],[Discount Applied]]</f>
        <v>75.52000000000001</v>
      </c>
      <c r="O767" s="7" t="str">
        <f>IF(Table15[[#This Row],[Revenue]]&gt;35000,"Achieved","Not Achieved")</f>
        <v>Not Achieved</v>
      </c>
      <c r="P767" s="8">
        <v>5</v>
      </c>
      <c r="Q767" s="7" t="str">
        <f>IF(AND(Table15[[#This Row],[CSAT Score]]&lt;=3,Table15[[#This Row],[Revenue]]&gt;=20000),"High-Risk","Stable")</f>
        <v>Stable</v>
      </c>
      <c r="R767" s="8" t="str" cm="1">
        <f t="array" ref="R767">_xlfn.IFS(Table15[[#This Row],[Revenue]]&gt;=35000,"Platinum",Table15[[#This Row],[Revenue]]&gt;=15000,"Gold",TRUE,"Standard")</f>
        <v>Gold</v>
      </c>
      <c r="S767" s="8" t="str">
        <f>IF(OR(Table15[[#This Row],[Product]]="Wealth Management",Table15[[#This Row],[Revenue]]&gt;=40000),"Yes","No")</f>
        <v>No</v>
      </c>
    </row>
    <row r="768" spans="1:19" x14ac:dyDescent="0.3">
      <c r="A768" s="5" t="s">
        <v>826</v>
      </c>
      <c r="B768" s="6">
        <v>46229</v>
      </c>
      <c r="C768" s="7" t="s">
        <v>33</v>
      </c>
      <c r="D768" s="7" t="s">
        <v>87</v>
      </c>
      <c r="E768" s="7" t="s">
        <v>59</v>
      </c>
      <c r="F768" s="7" t="s">
        <v>40</v>
      </c>
      <c r="G768" s="7" t="s">
        <v>23</v>
      </c>
      <c r="H768" s="7" t="s">
        <v>24</v>
      </c>
      <c r="I768" s="7">
        <v>53</v>
      </c>
      <c r="J768" s="7">
        <v>21</v>
      </c>
      <c r="K768" s="20">
        <v>5368.07</v>
      </c>
      <c r="L768" s="20">
        <v>319.18</v>
      </c>
      <c r="M768" s="7">
        <v>16.190000000000001</v>
      </c>
      <c r="N768" s="20">
        <f>Table15[[#This Row],[Processing Fee]]-Table15[[#This Row],[Discount Applied]]</f>
        <v>302.99</v>
      </c>
      <c r="O768" s="7" t="str">
        <f>IF(Table15[[#This Row],[Revenue]]&gt;35000,"Achieved","Not Achieved")</f>
        <v>Not Achieved</v>
      </c>
      <c r="P768" s="8">
        <v>2</v>
      </c>
      <c r="Q768" s="7" t="str">
        <f>IF(AND(Table15[[#This Row],[CSAT Score]]&lt;=3,Table15[[#This Row],[Revenue]]&gt;=20000),"High-Risk","Stable")</f>
        <v>Stable</v>
      </c>
      <c r="R768" s="8" t="str" cm="1">
        <f t="array" ref="R768">_xlfn.IFS(Table15[[#This Row],[Revenue]]&gt;=35000,"Platinum",Table15[[#This Row],[Revenue]]&gt;=15000,"Gold",TRUE,"Standard")</f>
        <v>Standard</v>
      </c>
      <c r="S768" s="8" t="str">
        <f>IF(OR(Table15[[#This Row],[Product]]="Wealth Management",Table15[[#This Row],[Revenue]]&gt;=40000),"Yes","No")</f>
        <v>No</v>
      </c>
    </row>
    <row r="769" spans="1:19" x14ac:dyDescent="0.3">
      <c r="A769" s="5" t="s">
        <v>827</v>
      </c>
      <c r="B769" s="6">
        <v>46134</v>
      </c>
      <c r="C769" s="7" t="s">
        <v>44</v>
      </c>
      <c r="D769" s="7" t="s">
        <v>34</v>
      </c>
      <c r="E769" s="7" t="s">
        <v>21</v>
      </c>
      <c r="F769" s="7" t="s">
        <v>22</v>
      </c>
      <c r="G769" s="7" t="s">
        <v>36</v>
      </c>
      <c r="H769" s="7" t="s">
        <v>31</v>
      </c>
      <c r="I769" s="7">
        <v>30</v>
      </c>
      <c r="J769" s="7">
        <v>60</v>
      </c>
      <c r="K769" s="20">
        <v>22739.09</v>
      </c>
      <c r="L769" s="20">
        <v>320.82</v>
      </c>
      <c r="M769" s="7">
        <v>173.14</v>
      </c>
      <c r="N769" s="20">
        <f>Table15[[#This Row],[Processing Fee]]-Table15[[#This Row],[Discount Applied]]</f>
        <v>147.68</v>
      </c>
      <c r="O769" s="7" t="str">
        <f>IF(Table15[[#This Row],[Revenue]]&gt;35000,"Achieved","Not Achieved")</f>
        <v>Not Achieved</v>
      </c>
      <c r="P769" s="8">
        <v>1</v>
      </c>
      <c r="Q769" s="7" t="str">
        <f>IF(AND(Table15[[#This Row],[CSAT Score]]&lt;=3,Table15[[#This Row],[Revenue]]&gt;=20000),"High-Risk","Stable")</f>
        <v>High-Risk</v>
      </c>
      <c r="R769" s="8" t="str" cm="1">
        <f t="array" ref="R769">_xlfn.IFS(Table15[[#This Row],[Revenue]]&gt;=35000,"Platinum",Table15[[#This Row],[Revenue]]&gt;=15000,"Gold",TRUE,"Standard")</f>
        <v>Gold</v>
      </c>
      <c r="S769" s="8" t="str">
        <f>IF(OR(Table15[[#This Row],[Product]]="Wealth Management",Table15[[#This Row],[Revenue]]&gt;=40000),"Yes","No")</f>
        <v>Yes</v>
      </c>
    </row>
    <row r="770" spans="1:19" x14ac:dyDescent="0.3">
      <c r="A770" s="5" t="s">
        <v>828</v>
      </c>
      <c r="B770" s="6">
        <v>46018</v>
      </c>
      <c r="C770" s="7" t="s">
        <v>26</v>
      </c>
      <c r="D770" s="7" t="s">
        <v>87</v>
      </c>
      <c r="E770" s="7" t="s">
        <v>28</v>
      </c>
      <c r="F770" s="7" t="s">
        <v>35</v>
      </c>
      <c r="G770" s="7" t="s">
        <v>36</v>
      </c>
      <c r="H770" s="7" t="s">
        <v>57</v>
      </c>
      <c r="I770" s="7">
        <v>57</v>
      </c>
      <c r="J770" s="7">
        <v>81</v>
      </c>
      <c r="K770" s="20">
        <v>47054.61</v>
      </c>
      <c r="L770" s="20">
        <v>79.03</v>
      </c>
      <c r="M770" s="7">
        <v>187.25</v>
      </c>
      <c r="N770" s="20">
        <f>Table15[[#This Row],[Processing Fee]]-Table15[[#This Row],[Discount Applied]]</f>
        <v>-108.22</v>
      </c>
      <c r="O770" s="7" t="str">
        <f>IF(Table15[[#This Row],[Revenue]]&gt;35000,"Achieved","Not Achieved")</f>
        <v>Achieved</v>
      </c>
      <c r="P770" s="8">
        <v>4</v>
      </c>
      <c r="Q770" s="7" t="str">
        <f>IF(AND(Table15[[#This Row],[CSAT Score]]&lt;=3,Table15[[#This Row],[Revenue]]&gt;=20000),"High-Risk","Stable")</f>
        <v>Stable</v>
      </c>
      <c r="R770" s="8" t="str" cm="1">
        <f t="array" ref="R770">_xlfn.IFS(Table15[[#This Row],[Revenue]]&gt;=35000,"Platinum",Table15[[#This Row],[Revenue]]&gt;=15000,"Gold",TRUE,"Standard")</f>
        <v>Platinum</v>
      </c>
      <c r="S770" s="8" t="str">
        <f>IF(OR(Table15[[#This Row],[Product]]="Wealth Management",Table15[[#This Row],[Revenue]]&gt;=40000),"Yes","No")</f>
        <v>Yes</v>
      </c>
    </row>
    <row r="771" spans="1:19" x14ac:dyDescent="0.3">
      <c r="A771" s="5" t="s">
        <v>829</v>
      </c>
      <c r="B771" s="6">
        <v>45999</v>
      </c>
      <c r="C771" s="7" t="s">
        <v>91</v>
      </c>
      <c r="D771" s="7" t="s">
        <v>45</v>
      </c>
      <c r="E771" s="7" t="s">
        <v>46</v>
      </c>
      <c r="F771" s="7" t="s">
        <v>29</v>
      </c>
      <c r="G771" s="7" t="s">
        <v>30</v>
      </c>
      <c r="H771" s="7" t="s">
        <v>24</v>
      </c>
      <c r="I771" s="7">
        <v>32</v>
      </c>
      <c r="J771" s="7">
        <v>97</v>
      </c>
      <c r="K771" s="20">
        <v>47665.3</v>
      </c>
      <c r="L771" s="20">
        <v>487.64</v>
      </c>
      <c r="M771" s="7">
        <v>173.34</v>
      </c>
      <c r="N771" s="20">
        <f>Table15[[#This Row],[Processing Fee]]-Table15[[#This Row],[Discount Applied]]</f>
        <v>314.29999999999995</v>
      </c>
      <c r="O771" s="7" t="str">
        <f>IF(Table15[[#This Row],[Revenue]]&gt;35000,"Achieved","Not Achieved")</f>
        <v>Achieved</v>
      </c>
      <c r="P771" s="8">
        <v>5</v>
      </c>
      <c r="Q771" s="7" t="str">
        <f>IF(AND(Table15[[#This Row],[CSAT Score]]&lt;=3,Table15[[#This Row],[Revenue]]&gt;=20000),"High-Risk","Stable")</f>
        <v>Stable</v>
      </c>
      <c r="R771" s="8" t="str" cm="1">
        <f t="array" ref="R771">_xlfn.IFS(Table15[[#This Row],[Revenue]]&gt;=35000,"Platinum",Table15[[#This Row],[Revenue]]&gt;=15000,"Gold",TRUE,"Standard")</f>
        <v>Platinum</v>
      </c>
      <c r="S771" s="8" t="str">
        <f>IF(OR(Table15[[#This Row],[Product]]="Wealth Management",Table15[[#This Row],[Revenue]]&gt;=40000),"Yes","No")</f>
        <v>Yes</v>
      </c>
    </row>
    <row r="772" spans="1:19" x14ac:dyDescent="0.3">
      <c r="A772" s="5" t="s">
        <v>830</v>
      </c>
      <c r="B772" s="6">
        <v>46035</v>
      </c>
      <c r="C772" s="7" t="s">
        <v>33</v>
      </c>
      <c r="D772" s="7" t="s">
        <v>63</v>
      </c>
      <c r="E772" s="7" t="s">
        <v>46</v>
      </c>
      <c r="F772" s="7" t="s">
        <v>40</v>
      </c>
      <c r="G772" s="7" t="s">
        <v>56</v>
      </c>
      <c r="H772" s="7" t="s">
        <v>53</v>
      </c>
      <c r="I772" s="7">
        <v>74</v>
      </c>
      <c r="J772" s="7">
        <v>74</v>
      </c>
      <c r="K772" s="20">
        <v>12346.95</v>
      </c>
      <c r="L772" s="20">
        <v>294.81</v>
      </c>
      <c r="M772" s="7">
        <v>196.52</v>
      </c>
      <c r="N772" s="20">
        <f>Table15[[#This Row],[Processing Fee]]-Table15[[#This Row],[Discount Applied]]</f>
        <v>98.289999999999992</v>
      </c>
      <c r="O772" s="7" t="str">
        <f>IF(Table15[[#This Row],[Revenue]]&gt;35000,"Achieved","Not Achieved")</f>
        <v>Not Achieved</v>
      </c>
      <c r="P772" s="8">
        <v>3</v>
      </c>
      <c r="Q772" s="7" t="str">
        <f>IF(AND(Table15[[#This Row],[CSAT Score]]&lt;=3,Table15[[#This Row],[Revenue]]&gt;=20000),"High-Risk","Stable")</f>
        <v>Stable</v>
      </c>
      <c r="R772" s="8" t="str" cm="1">
        <f t="array" ref="R772">_xlfn.IFS(Table15[[#This Row],[Revenue]]&gt;=35000,"Platinum",Table15[[#This Row],[Revenue]]&gt;=15000,"Gold",TRUE,"Standard")</f>
        <v>Standard</v>
      </c>
      <c r="S772" s="8" t="str">
        <f>IF(OR(Table15[[#This Row],[Product]]="Wealth Management",Table15[[#This Row],[Revenue]]&gt;=40000),"Yes","No")</f>
        <v>No</v>
      </c>
    </row>
    <row r="773" spans="1:19" x14ac:dyDescent="0.3">
      <c r="A773" s="5" t="s">
        <v>831</v>
      </c>
      <c r="B773" s="6">
        <v>46181</v>
      </c>
      <c r="C773" s="7" t="s">
        <v>33</v>
      </c>
      <c r="D773" s="7" t="s">
        <v>50</v>
      </c>
      <c r="E773" s="7" t="s">
        <v>28</v>
      </c>
      <c r="F773" s="7" t="s">
        <v>40</v>
      </c>
      <c r="G773" s="7" t="s">
        <v>23</v>
      </c>
      <c r="H773" s="7" t="s">
        <v>57</v>
      </c>
      <c r="I773" s="7">
        <v>50</v>
      </c>
      <c r="J773" s="7">
        <v>115</v>
      </c>
      <c r="K773" s="20">
        <v>31393.61</v>
      </c>
      <c r="L773" s="20">
        <v>301.91000000000003</v>
      </c>
      <c r="M773" s="7">
        <v>105.57</v>
      </c>
      <c r="N773" s="20">
        <f>Table15[[#This Row],[Processing Fee]]-Table15[[#This Row],[Discount Applied]]</f>
        <v>196.34000000000003</v>
      </c>
      <c r="O773" s="7" t="str">
        <f>IF(Table15[[#This Row],[Revenue]]&gt;35000,"Achieved","Not Achieved")</f>
        <v>Not Achieved</v>
      </c>
      <c r="P773" s="8">
        <v>1</v>
      </c>
      <c r="Q773" s="7" t="str">
        <f>IF(AND(Table15[[#This Row],[CSAT Score]]&lt;=3,Table15[[#This Row],[Revenue]]&gt;=20000),"High-Risk","Stable")</f>
        <v>High-Risk</v>
      </c>
      <c r="R773" s="8" t="str" cm="1">
        <f t="array" ref="R773">_xlfn.IFS(Table15[[#This Row],[Revenue]]&gt;=35000,"Platinum",Table15[[#This Row],[Revenue]]&gt;=15000,"Gold",TRUE,"Standard")</f>
        <v>Gold</v>
      </c>
      <c r="S773" s="8" t="str">
        <f>IF(OR(Table15[[#This Row],[Product]]="Wealth Management",Table15[[#This Row],[Revenue]]&gt;=40000),"Yes","No")</f>
        <v>No</v>
      </c>
    </row>
    <row r="774" spans="1:19" x14ac:dyDescent="0.3">
      <c r="A774" s="5" t="s">
        <v>832</v>
      </c>
      <c r="B774" s="6">
        <v>45892</v>
      </c>
      <c r="C774" s="7" t="s">
        <v>91</v>
      </c>
      <c r="D774" s="7" t="s">
        <v>63</v>
      </c>
      <c r="E774" s="7" t="s">
        <v>46</v>
      </c>
      <c r="F774" s="7" t="s">
        <v>40</v>
      </c>
      <c r="G774" s="7" t="s">
        <v>36</v>
      </c>
      <c r="H774" s="7" t="s">
        <v>57</v>
      </c>
      <c r="I774" s="7">
        <v>47</v>
      </c>
      <c r="J774" s="7">
        <v>63</v>
      </c>
      <c r="K774" s="20">
        <v>23966.78</v>
      </c>
      <c r="L774" s="20">
        <v>284.05</v>
      </c>
      <c r="M774" s="7">
        <v>157.59</v>
      </c>
      <c r="N774" s="20">
        <f>Table15[[#This Row],[Processing Fee]]-Table15[[#This Row],[Discount Applied]]</f>
        <v>126.46000000000001</v>
      </c>
      <c r="O774" s="7" t="str">
        <f>IF(Table15[[#This Row],[Revenue]]&gt;35000,"Achieved","Not Achieved")</f>
        <v>Not Achieved</v>
      </c>
      <c r="P774" s="8">
        <v>5</v>
      </c>
      <c r="Q774" s="7" t="str">
        <f>IF(AND(Table15[[#This Row],[CSAT Score]]&lt;=3,Table15[[#This Row],[Revenue]]&gt;=20000),"High-Risk","Stable")</f>
        <v>Stable</v>
      </c>
      <c r="R774" s="8" t="str" cm="1">
        <f t="array" ref="R774">_xlfn.IFS(Table15[[#This Row],[Revenue]]&gt;=35000,"Platinum",Table15[[#This Row],[Revenue]]&gt;=15000,"Gold",TRUE,"Standard")</f>
        <v>Gold</v>
      </c>
      <c r="S774" s="8" t="str">
        <f>IF(OR(Table15[[#This Row],[Product]]="Wealth Management",Table15[[#This Row],[Revenue]]&gt;=40000),"Yes","No")</f>
        <v>No</v>
      </c>
    </row>
    <row r="775" spans="1:19" x14ac:dyDescent="0.3">
      <c r="A775" s="5" t="s">
        <v>833</v>
      </c>
      <c r="B775" s="6">
        <v>46099</v>
      </c>
      <c r="C775" s="7" t="s">
        <v>26</v>
      </c>
      <c r="D775" s="7" t="s">
        <v>48</v>
      </c>
      <c r="E775" s="7" t="s">
        <v>39</v>
      </c>
      <c r="F775" s="7" t="s">
        <v>29</v>
      </c>
      <c r="G775" s="7" t="s">
        <v>36</v>
      </c>
      <c r="H775" s="7" t="s">
        <v>57</v>
      </c>
      <c r="I775" s="7">
        <v>59</v>
      </c>
      <c r="J775" s="7">
        <v>111</v>
      </c>
      <c r="K775" s="20">
        <v>43846.41</v>
      </c>
      <c r="L775" s="20">
        <v>324.83</v>
      </c>
      <c r="M775" s="7">
        <v>168.08</v>
      </c>
      <c r="N775" s="20">
        <f>Table15[[#This Row],[Processing Fee]]-Table15[[#This Row],[Discount Applied]]</f>
        <v>156.74999999999997</v>
      </c>
      <c r="O775" s="7" t="str">
        <f>IF(Table15[[#This Row],[Revenue]]&gt;35000,"Achieved","Not Achieved")</f>
        <v>Achieved</v>
      </c>
      <c r="P775" s="8">
        <v>5</v>
      </c>
      <c r="Q775" s="7" t="str">
        <f>IF(AND(Table15[[#This Row],[CSAT Score]]&lt;=3,Table15[[#This Row],[Revenue]]&gt;=20000),"High-Risk","Stable")</f>
        <v>Stable</v>
      </c>
      <c r="R775" s="8" t="str" cm="1">
        <f t="array" ref="R775">_xlfn.IFS(Table15[[#This Row],[Revenue]]&gt;=35000,"Platinum",Table15[[#This Row],[Revenue]]&gt;=15000,"Gold",TRUE,"Standard")</f>
        <v>Platinum</v>
      </c>
      <c r="S775" s="8" t="str">
        <f>IF(OR(Table15[[#This Row],[Product]]="Wealth Management",Table15[[#This Row],[Revenue]]&gt;=40000),"Yes","No")</f>
        <v>Yes</v>
      </c>
    </row>
    <row r="776" spans="1:19" x14ac:dyDescent="0.3">
      <c r="A776" s="5" t="s">
        <v>834</v>
      </c>
      <c r="B776" s="6">
        <v>45973</v>
      </c>
      <c r="C776" s="7" t="s">
        <v>55</v>
      </c>
      <c r="D776" s="7" t="s">
        <v>50</v>
      </c>
      <c r="E776" s="7" t="s">
        <v>39</v>
      </c>
      <c r="F776" s="7" t="s">
        <v>40</v>
      </c>
      <c r="G776" s="7" t="s">
        <v>56</v>
      </c>
      <c r="H776" s="7" t="s">
        <v>31</v>
      </c>
      <c r="I776" s="7">
        <v>29</v>
      </c>
      <c r="J776" s="7">
        <v>42</v>
      </c>
      <c r="K776" s="20">
        <v>13935.83</v>
      </c>
      <c r="L776" s="20">
        <v>168.93</v>
      </c>
      <c r="M776" s="7">
        <v>194.42</v>
      </c>
      <c r="N776" s="20">
        <f>Table15[[#This Row],[Processing Fee]]-Table15[[#This Row],[Discount Applied]]</f>
        <v>-25.489999999999981</v>
      </c>
      <c r="O776" s="7" t="str">
        <f>IF(Table15[[#This Row],[Revenue]]&gt;35000,"Achieved","Not Achieved")</f>
        <v>Not Achieved</v>
      </c>
      <c r="P776" s="8">
        <v>3</v>
      </c>
      <c r="Q776" s="7" t="str">
        <f>IF(AND(Table15[[#This Row],[CSAT Score]]&lt;=3,Table15[[#This Row],[Revenue]]&gt;=20000),"High-Risk","Stable")</f>
        <v>Stable</v>
      </c>
      <c r="R776" s="8" t="str" cm="1">
        <f t="array" ref="R776">_xlfn.IFS(Table15[[#This Row],[Revenue]]&gt;=35000,"Platinum",Table15[[#This Row],[Revenue]]&gt;=15000,"Gold",TRUE,"Standard")</f>
        <v>Standard</v>
      </c>
      <c r="S776" s="8" t="str">
        <f>IF(OR(Table15[[#This Row],[Product]]="Wealth Management",Table15[[#This Row],[Revenue]]&gt;=40000),"Yes","No")</f>
        <v>No</v>
      </c>
    </row>
    <row r="777" spans="1:19" x14ac:dyDescent="0.3">
      <c r="A777" s="5" t="s">
        <v>835</v>
      </c>
      <c r="B777" s="6">
        <v>46181</v>
      </c>
      <c r="C777" s="7" t="s">
        <v>33</v>
      </c>
      <c r="D777" s="7" t="s">
        <v>52</v>
      </c>
      <c r="E777" s="7" t="s">
        <v>39</v>
      </c>
      <c r="F777" s="7" t="s">
        <v>29</v>
      </c>
      <c r="G777" s="7" t="s">
        <v>30</v>
      </c>
      <c r="H777" s="7" t="s">
        <v>53</v>
      </c>
      <c r="I777" s="7">
        <v>74</v>
      </c>
      <c r="J777" s="7">
        <v>51</v>
      </c>
      <c r="K777" s="20">
        <v>683.27</v>
      </c>
      <c r="L777" s="20">
        <v>179.26</v>
      </c>
      <c r="M777" s="7">
        <v>67.75</v>
      </c>
      <c r="N777" s="20">
        <f>Table15[[#This Row],[Processing Fee]]-Table15[[#This Row],[Discount Applied]]</f>
        <v>111.50999999999999</v>
      </c>
      <c r="O777" s="7" t="str">
        <f>IF(Table15[[#This Row],[Revenue]]&gt;35000,"Achieved","Not Achieved")</f>
        <v>Not Achieved</v>
      </c>
      <c r="P777" s="8">
        <v>3</v>
      </c>
      <c r="Q777" s="7" t="str">
        <f>IF(AND(Table15[[#This Row],[CSAT Score]]&lt;=3,Table15[[#This Row],[Revenue]]&gt;=20000),"High-Risk","Stable")</f>
        <v>Stable</v>
      </c>
      <c r="R777" s="8" t="str" cm="1">
        <f t="array" ref="R777">_xlfn.IFS(Table15[[#This Row],[Revenue]]&gt;=35000,"Platinum",Table15[[#This Row],[Revenue]]&gt;=15000,"Gold",TRUE,"Standard")</f>
        <v>Standard</v>
      </c>
      <c r="S777" s="8" t="str">
        <f>IF(OR(Table15[[#This Row],[Product]]="Wealth Management",Table15[[#This Row],[Revenue]]&gt;=40000),"Yes","No")</f>
        <v>No</v>
      </c>
    </row>
    <row r="778" spans="1:19" x14ac:dyDescent="0.3">
      <c r="A778" s="5" t="s">
        <v>836</v>
      </c>
      <c r="B778" s="6">
        <v>46219</v>
      </c>
      <c r="C778" s="7" t="s">
        <v>91</v>
      </c>
      <c r="D778" s="7" t="s">
        <v>68</v>
      </c>
      <c r="E778" s="7" t="s">
        <v>59</v>
      </c>
      <c r="F778" s="7" t="s">
        <v>40</v>
      </c>
      <c r="G778" s="7" t="s">
        <v>23</v>
      </c>
      <c r="H778" s="7" t="s">
        <v>57</v>
      </c>
      <c r="I778" s="7">
        <v>41</v>
      </c>
      <c r="J778" s="7">
        <v>64</v>
      </c>
      <c r="K778" s="20">
        <v>8546.7800000000007</v>
      </c>
      <c r="L778" s="20">
        <v>280.10000000000002</v>
      </c>
      <c r="M778" s="7">
        <v>94</v>
      </c>
      <c r="N778" s="20">
        <f>Table15[[#This Row],[Processing Fee]]-Table15[[#This Row],[Discount Applied]]</f>
        <v>186.10000000000002</v>
      </c>
      <c r="O778" s="7" t="str">
        <f>IF(Table15[[#This Row],[Revenue]]&gt;35000,"Achieved","Not Achieved")</f>
        <v>Not Achieved</v>
      </c>
      <c r="P778" s="8">
        <v>3</v>
      </c>
      <c r="Q778" s="7" t="str">
        <f>IF(AND(Table15[[#This Row],[CSAT Score]]&lt;=3,Table15[[#This Row],[Revenue]]&gt;=20000),"High-Risk","Stable")</f>
        <v>Stable</v>
      </c>
      <c r="R778" s="8" t="str" cm="1">
        <f t="array" ref="R778">_xlfn.IFS(Table15[[#This Row],[Revenue]]&gt;=35000,"Platinum",Table15[[#This Row],[Revenue]]&gt;=15000,"Gold",TRUE,"Standard")</f>
        <v>Standard</v>
      </c>
      <c r="S778" s="8" t="str">
        <f>IF(OR(Table15[[#This Row],[Product]]="Wealth Management",Table15[[#This Row],[Revenue]]&gt;=40000),"Yes","No")</f>
        <v>No</v>
      </c>
    </row>
    <row r="779" spans="1:19" x14ac:dyDescent="0.3">
      <c r="A779" s="5" t="s">
        <v>837</v>
      </c>
      <c r="B779" s="6">
        <v>45910</v>
      </c>
      <c r="C779" s="7" t="s">
        <v>44</v>
      </c>
      <c r="D779" s="7" t="s">
        <v>68</v>
      </c>
      <c r="E779" s="7" t="s">
        <v>28</v>
      </c>
      <c r="F779" s="7" t="s">
        <v>22</v>
      </c>
      <c r="G779" s="7" t="s">
        <v>30</v>
      </c>
      <c r="H779" s="7" t="s">
        <v>24</v>
      </c>
      <c r="I779" s="7">
        <v>32</v>
      </c>
      <c r="J779" s="7">
        <v>76</v>
      </c>
      <c r="K779" s="20">
        <v>17801.38</v>
      </c>
      <c r="L779" s="20">
        <v>413.01</v>
      </c>
      <c r="M779" s="7">
        <v>171.58</v>
      </c>
      <c r="N779" s="20">
        <f>Table15[[#This Row],[Processing Fee]]-Table15[[#This Row],[Discount Applied]]</f>
        <v>241.42999999999998</v>
      </c>
      <c r="O779" s="7" t="str">
        <f>IF(Table15[[#This Row],[Revenue]]&gt;35000,"Achieved","Not Achieved")</f>
        <v>Not Achieved</v>
      </c>
      <c r="P779" s="8">
        <v>1</v>
      </c>
      <c r="Q779" s="7" t="str">
        <f>IF(AND(Table15[[#This Row],[CSAT Score]]&lt;=3,Table15[[#This Row],[Revenue]]&gt;=20000),"High-Risk","Stable")</f>
        <v>Stable</v>
      </c>
      <c r="R779" s="8" t="str" cm="1">
        <f t="array" ref="R779">_xlfn.IFS(Table15[[#This Row],[Revenue]]&gt;=35000,"Platinum",Table15[[#This Row],[Revenue]]&gt;=15000,"Gold",TRUE,"Standard")</f>
        <v>Gold</v>
      </c>
      <c r="S779" s="8" t="str">
        <f>IF(OR(Table15[[#This Row],[Product]]="Wealth Management",Table15[[#This Row],[Revenue]]&gt;=40000),"Yes","No")</f>
        <v>Yes</v>
      </c>
    </row>
    <row r="780" spans="1:19" x14ac:dyDescent="0.3">
      <c r="A780" s="5" t="s">
        <v>838</v>
      </c>
      <c r="B780" s="6">
        <v>45910</v>
      </c>
      <c r="C780" s="7" t="s">
        <v>44</v>
      </c>
      <c r="D780" s="7" t="s">
        <v>34</v>
      </c>
      <c r="E780" s="7" t="s">
        <v>59</v>
      </c>
      <c r="F780" s="7" t="s">
        <v>22</v>
      </c>
      <c r="G780" s="7" t="s">
        <v>30</v>
      </c>
      <c r="H780" s="7" t="s">
        <v>24</v>
      </c>
      <c r="I780" s="7">
        <v>49</v>
      </c>
      <c r="J780" s="7">
        <v>56</v>
      </c>
      <c r="K780" s="20">
        <v>16128.2</v>
      </c>
      <c r="L780" s="20">
        <v>72.44</v>
      </c>
      <c r="M780" s="7">
        <v>59.71</v>
      </c>
      <c r="N780" s="20">
        <f>Table15[[#This Row],[Processing Fee]]-Table15[[#This Row],[Discount Applied]]</f>
        <v>12.729999999999997</v>
      </c>
      <c r="O780" s="7" t="str">
        <f>IF(Table15[[#This Row],[Revenue]]&gt;35000,"Achieved","Not Achieved")</f>
        <v>Not Achieved</v>
      </c>
      <c r="P780" s="8">
        <v>3</v>
      </c>
      <c r="Q780" s="7" t="str">
        <f>IF(AND(Table15[[#This Row],[CSAT Score]]&lt;=3,Table15[[#This Row],[Revenue]]&gt;=20000),"High-Risk","Stable")</f>
        <v>Stable</v>
      </c>
      <c r="R780" s="8" t="str" cm="1">
        <f t="array" ref="R780">_xlfn.IFS(Table15[[#This Row],[Revenue]]&gt;=35000,"Platinum",Table15[[#This Row],[Revenue]]&gt;=15000,"Gold",TRUE,"Standard")</f>
        <v>Gold</v>
      </c>
      <c r="S780" s="8" t="str">
        <f>IF(OR(Table15[[#This Row],[Product]]="Wealth Management",Table15[[#This Row],[Revenue]]&gt;=40000),"Yes","No")</f>
        <v>Yes</v>
      </c>
    </row>
    <row r="781" spans="1:19" x14ac:dyDescent="0.3">
      <c r="A781" s="5" t="s">
        <v>839</v>
      </c>
      <c r="B781" s="6">
        <v>46178</v>
      </c>
      <c r="C781" s="7" t="s">
        <v>42</v>
      </c>
      <c r="D781" s="7" t="s">
        <v>27</v>
      </c>
      <c r="E781" s="7" t="s">
        <v>46</v>
      </c>
      <c r="F781" s="7" t="s">
        <v>29</v>
      </c>
      <c r="G781" s="7" t="s">
        <v>23</v>
      </c>
      <c r="H781" s="7" t="s">
        <v>31</v>
      </c>
      <c r="I781" s="7">
        <v>53</v>
      </c>
      <c r="J781" s="7">
        <v>80</v>
      </c>
      <c r="K781" s="20">
        <v>39672.46</v>
      </c>
      <c r="L781" s="20">
        <v>321.52999999999997</v>
      </c>
      <c r="M781" s="7">
        <v>277.12</v>
      </c>
      <c r="N781" s="20">
        <f>Table15[[#This Row],[Processing Fee]]-Table15[[#This Row],[Discount Applied]]</f>
        <v>44.409999999999968</v>
      </c>
      <c r="O781" s="7" t="str">
        <f>IF(Table15[[#This Row],[Revenue]]&gt;35000,"Achieved","Not Achieved")</f>
        <v>Achieved</v>
      </c>
      <c r="P781" s="8">
        <v>4</v>
      </c>
      <c r="Q781" s="7" t="str">
        <f>IF(AND(Table15[[#This Row],[CSAT Score]]&lt;=3,Table15[[#This Row],[Revenue]]&gt;=20000),"High-Risk","Stable")</f>
        <v>Stable</v>
      </c>
      <c r="R781" s="8" t="str" cm="1">
        <f t="array" ref="R781">_xlfn.IFS(Table15[[#This Row],[Revenue]]&gt;=35000,"Platinum",Table15[[#This Row],[Revenue]]&gt;=15000,"Gold",TRUE,"Standard")</f>
        <v>Platinum</v>
      </c>
      <c r="S781" s="8" t="str">
        <f>IF(OR(Table15[[#This Row],[Product]]="Wealth Management",Table15[[#This Row],[Revenue]]&gt;=40000),"Yes","No")</f>
        <v>No</v>
      </c>
    </row>
    <row r="782" spans="1:19" x14ac:dyDescent="0.3">
      <c r="A782" s="5" t="s">
        <v>840</v>
      </c>
      <c r="B782" s="6">
        <v>46041</v>
      </c>
      <c r="C782" s="7" t="s">
        <v>91</v>
      </c>
      <c r="D782" s="7" t="s">
        <v>45</v>
      </c>
      <c r="E782" s="7" t="s">
        <v>59</v>
      </c>
      <c r="F782" s="7" t="s">
        <v>22</v>
      </c>
      <c r="G782" s="7" t="s">
        <v>23</v>
      </c>
      <c r="H782" s="7" t="s">
        <v>24</v>
      </c>
      <c r="I782" s="7">
        <v>63</v>
      </c>
      <c r="J782" s="7">
        <v>41</v>
      </c>
      <c r="K782" s="20">
        <v>34187.75</v>
      </c>
      <c r="L782" s="20">
        <v>413.05</v>
      </c>
      <c r="M782" s="7">
        <v>45.96</v>
      </c>
      <c r="N782" s="20">
        <f>Table15[[#This Row],[Processing Fee]]-Table15[[#This Row],[Discount Applied]]</f>
        <v>367.09000000000003</v>
      </c>
      <c r="O782" s="7" t="str">
        <f>IF(Table15[[#This Row],[Revenue]]&gt;35000,"Achieved","Not Achieved")</f>
        <v>Not Achieved</v>
      </c>
      <c r="P782" s="8">
        <v>5</v>
      </c>
      <c r="Q782" s="7" t="str">
        <f>IF(AND(Table15[[#This Row],[CSAT Score]]&lt;=3,Table15[[#This Row],[Revenue]]&gt;=20000),"High-Risk","Stable")</f>
        <v>Stable</v>
      </c>
      <c r="R782" s="8" t="str" cm="1">
        <f t="array" ref="R782">_xlfn.IFS(Table15[[#This Row],[Revenue]]&gt;=35000,"Platinum",Table15[[#This Row],[Revenue]]&gt;=15000,"Gold",TRUE,"Standard")</f>
        <v>Gold</v>
      </c>
      <c r="S782" s="8" t="str">
        <f>IF(OR(Table15[[#This Row],[Product]]="Wealth Management",Table15[[#This Row],[Revenue]]&gt;=40000),"Yes","No")</f>
        <v>Yes</v>
      </c>
    </row>
    <row r="783" spans="1:19" x14ac:dyDescent="0.3">
      <c r="A783" s="5" t="s">
        <v>841</v>
      </c>
      <c r="B783" s="6">
        <v>46126</v>
      </c>
      <c r="C783" s="7" t="s">
        <v>42</v>
      </c>
      <c r="D783" s="7" t="s">
        <v>48</v>
      </c>
      <c r="E783" s="7" t="s">
        <v>46</v>
      </c>
      <c r="F783" s="7" t="s">
        <v>29</v>
      </c>
      <c r="G783" s="7" t="s">
        <v>36</v>
      </c>
      <c r="H783" s="7" t="s">
        <v>57</v>
      </c>
      <c r="I783" s="7">
        <v>73</v>
      </c>
      <c r="J783" s="7">
        <v>32</v>
      </c>
      <c r="K783" s="20">
        <v>15328.04</v>
      </c>
      <c r="L783" s="20">
        <v>120.61</v>
      </c>
      <c r="M783" s="7">
        <v>149.9</v>
      </c>
      <c r="N783" s="20">
        <f>Table15[[#This Row],[Processing Fee]]-Table15[[#This Row],[Discount Applied]]</f>
        <v>-29.290000000000006</v>
      </c>
      <c r="O783" s="7" t="str">
        <f>IF(Table15[[#This Row],[Revenue]]&gt;35000,"Achieved","Not Achieved")</f>
        <v>Not Achieved</v>
      </c>
      <c r="P783" s="8">
        <v>3</v>
      </c>
      <c r="Q783" s="7" t="str">
        <f>IF(AND(Table15[[#This Row],[CSAT Score]]&lt;=3,Table15[[#This Row],[Revenue]]&gt;=20000),"High-Risk","Stable")</f>
        <v>Stable</v>
      </c>
      <c r="R783" s="8" t="str" cm="1">
        <f t="array" ref="R783">_xlfn.IFS(Table15[[#This Row],[Revenue]]&gt;=35000,"Platinum",Table15[[#This Row],[Revenue]]&gt;=15000,"Gold",TRUE,"Standard")</f>
        <v>Gold</v>
      </c>
      <c r="S783" s="8" t="str">
        <f>IF(OR(Table15[[#This Row],[Product]]="Wealth Management",Table15[[#This Row],[Revenue]]&gt;=40000),"Yes","No")</f>
        <v>No</v>
      </c>
    </row>
    <row r="784" spans="1:19" x14ac:dyDescent="0.3">
      <c r="A784" s="5" t="s">
        <v>842</v>
      </c>
      <c r="B784" s="6">
        <v>46050</v>
      </c>
      <c r="C784" s="7" t="s">
        <v>44</v>
      </c>
      <c r="D784" s="7" t="s">
        <v>83</v>
      </c>
      <c r="E784" s="7" t="s">
        <v>46</v>
      </c>
      <c r="F784" s="7" t="s">
        <v>22</v>
      </c>
      <c r="G784" s="7" t="s">
        <v>36</v>
      </c>
      <c r="H784" s="7" t="s">
        <v>24</v>
      </c>
      <c r="I784" s="7">
        <v>35</v>
      </c>
      <c r="J784" s="7">
        <v>15</v>
      </c>
      <c r="K784" s="20">
        <v>23158.32</v>
      </c>
      <c r="L784" s="20">
        <v>56.76</v>
      </c>
      <c r="M784" s="7">
        <v>126.11</v>
      </c>
      <c r="N784" s="20">
        <f>Table15[[#This Row],[Processing Fee]]-Table15[[#This Row],[Discount Applied]]</f>
        <v>-69.349999999999994</v>
      </c>
      <c r="O784" s="7" t="str">
        <f>IF(Table15[[#This Row],[Revenue]]&gt;35000,"Achieved","Not Achieved")</f>
        <v>Not Achieved</v>
      </c>
      <c r="P784" s="8">
        <v>5</v>
      </c>
      <c r="Q784" s="7" t="str">
        <f>IF(AND(Table15[[#This Row],[CSAT Score]]&lt;=3,Table15[[#This Row],[Revenue]]&gt;=20000),"High-Risk","Stable")</f>
        <v>Stable</v>
      </c>
      <c r="R784" s="8" t="str" cm="1">
        <f t="array" ref="R784">_xlfn.IFS(Table15[[#This Row],[Revenue]]&gt;=35000,"Platinum",Table15[[#This Row],[Revenue]]&gt;=15000,"Gold",TRUE,"Standard")</f>
        <v>Gold</v>
      </c>
      <c r="S784" s="8" t="str">
        <f>IF(OR(Table15[[#This Row],[Product]]="Wealth Management",Table15[[#This Row],[Revenue]]&gt;=40000),"Yes","No")</f>
        <v>Yes</v>
      </c>
    </row>
    <row r="785" spans="1:19" x14ac:dyDescent="0.3">
      <c r="A785" s="5" t="s">
        <v>843</v>
      </c>
      <c r="B785" s="6">
        <v>46197</v>
      </c>
      <c r="C785" s="7" t="s">
        <v>26</v>
      </c>
      <c r="D785" s="7" t="s">
        <v>77</v>
      </c>
      <c r="E785" s="7" t="s">
        <v>21</v>
      </c>
      <c r="F785" s="7" t="s">
        <v>22</v>
      </c>
      <c r="G785" s="7" t="s">
        <v>23</v>
      </c>
      <c r="H785" s="7" t="s">
        <v>57</v>
      </c>
      <c r="I785" s="7">
        <v>22</v>
      </c>
      <c r="J785" s="7">
        <v>62</v>
      </c>
      <c r="K785" s="20">
        <v>5230.18</v>
      </c>
      <c r="L785" s="20">
        <v>190.72</v>
      </c>
      <c r="M785" s="7">
        <v>149.91999999999999</v>
      </c>
      <c r="N785" s="20">
        <f>Table15[[#This Row],[Processing Fee]]-Table15[[#This Row],[Discount Applied]]</f>
        <v>40.800000000000011</v>
      </c>
      <c r="O785" s="7" t="str">
        <f>IF(Table15[[#This Row],[Revenue]]&gt;35000,"Achieved","Not Achieved")</f>
        <v>Not Achieved</v>
      </c>
      <c r="P785" s="8">
        <v>2</v>
      </c>
      <c r="Q785" s="7" t="str">
        <f>IF(AND(Table15[[#This Row],[CSAT Score]]&lt;=3,Table15[[#This Row],[Revenue]]&gt;=20000),"High-Risk","Stable")</f>
        <v>Stable</v>
      </c>
      <c r="R785" s="8" t="str" cm="1">
        <f t="array" ref="R785">_xlfn.IFS(Table15[[#This Row],[Revenue]]&gt;=35000,"Platinum",Table15[[#This Row],[Revenue]]&gt;=15000,"Gold",TRUE,"Standard")</f>
        <v>Standard</v>
      </c>
      <c r="S785" s="8" t="str">
        <f>IF(OR(Table15[[#This Row],[Product]]="Wealth Management",Table15[[#This Row],[Revenue]]&gt;=40000),"Yes","No")</f>
        <v>Yes</v>
      </c>
    </row>
    <row r="786" spans="1:19" x14ac:dyDescent="0.3">
      <c r="A786" s="5" t="s">
        <v>844</v>
      </c>
      <c r="B786" s="6">
        <v>45969</v>
      </c>
      <c r="C786" s="7" t="s">
        <v>55</v>
      </c>
      <c r="D786" s="7" t="s">
        <v>27</v>
      </c>
      <c r="E786" s="7" t="s">
        <v>39</v>
      </c>
      <c r="F786" s="7" t="s">
        <v>29</v>
      </c>
      <c r="G786" s="7" t="s">
        <v>65</v>
      </c>
      <c r="H786" s="7" t="s">
        <v>24</v>
      </c>
      <c r="I786" s="7">
        <v>72</v>
      </c>
      <c r="J786" s="7">
        <v>27</v>
      </c>
      <c r="K786" s="20">
        <v>44958.25</v>
      </c>
      <c r="L786" s="20">
        <v>314.66000000000003</v>
      </c>
      <c r="M786" s="7">
        <v>87.47</v>
      </c>
      <c r="N786" s="20">
        <f>Table15[[#This Row],[Processing Fee]]-Table15[[#This Row],[Discount Applied]]</f>
        <v>227.19000000000003</v>
      </c>
      <c r="O786" s="7" t="str">
        <f>IF(Table15[[#This Row],[Revenue]]&gt;35000,"Achieved","Not Achieved")</f>
        <v>Achieved</v>
      </c>
      <c r="P786" s="8">
        <v>2</v>
      </c>
      <c r="Q786" s="7" t="str">
        <f>IF(AND(Table15[[#This Row],[CSAT Score]]&lt;=3,Table15[[#This Row],[Revenue]]&gt;=20000),"High-Risk","Stable")</f>
        <v>High-Risk</v>
      </c>
      <c r="R786" s="8" t="str" cm="1">
        <f t="array" ref="R786">_xlfn.IFS(Table15[[#This Row],[Revenue]]&gt;=35000,"Platinum",Table15[[#This Row],[Revenue]]&gt;=15000,"Gold",TRUE,"Standard")</f>
        <v>Platinum</v>
      </c>
      <c r="S786" s="8" t="str">
        <f>IF(OR(Table15[[#This Row],[Product]]="Wealth Management",Table15[[#This Row],[Revenue]]&gt;=40000),"Yes","No")</f>
        <v>Yes</v>
      </c>
    </row>
    <row r="787" spans="1:19" x14ac:dyDescent="0.3">
      <c r="A787" s="5" t="s">
        <v>845</v>
      </c>
      <c r="B787" s="6">
        <v>45937</v>
      </c>
      <c r="C787" s="7" t="s">
        <v>91</v>
      </c>
      <c r="D787" s="7" t="s">
        <v>68</v>
      </c>
      <c r="E787" s="7" t="s">
        <v>46</v>
      </c>
      <c r="F787" s="7" t="s">
        <v>35</v>
      </c>
      <c r="G787" s="7" t="s">
        <v>36</v>
      </c>
      <c r="H787" s="7" t="s">
        <v>53</v>
      </c>
      <c r="I787" s="7">
        <v>59</v>
      </c>
      <c r="J787" s="7">
        <v>28</v>
      </c>
      <c r="K787" s="20">
        <v>46803.53</v>
      </c>
      <c r="L787" s="20">
        <v>112.23</v>
      </c>
      <c r="M787" s="7">
        <v>186.53</v>
      </c>
      <c r="N787" s="20">
        <f>Table15[[#This Row],[Processing Fee]]-Table15[[#This Row],[Discount Applied]]</f>
        <v>-74.3</v>
      </c>
      <c r="O787" s="7" t="str">
        <f>IF(Table15[[#This Row],[Revenue]]&gt;35000,"Achieved","Not Achieved")</f>
        <v>Achieved</v>
      </c>
      <c r="P787" s="8">
        <v>3</v>
      </c>
      <c r="Q787" s="7" t="str">
        <f>IF(AND(Table15[[#This Row],[CSAT Score]]&lt;=3,Table15[[#This Row],[Revenue]]&gt;=20000),"High-Risk","Stable")</f>
        <v>High-Risk</v>
      </c>
      <c r="R787" s="8" t="str" cm="1">
        <f t="array" ref="R787">_xlfn.IFS(Table15[[#This Row],[Revenue]]&gt;=35000,"Platinum",Table15[[#This Row],[Revenue]]&gt;=15000,"Gold",TRUE,"Standard")</f>
        <v>Platinum</v>
      </c>
      <c r="S787" s="8" t="str">
        <f>IF(OR(Table15[[#This Row],[Product]]="Wealth Management",Table15[[#This Row],[Revenue]]&gt;=40000),"Yes","No")</f>
        <v>Yes</v>
      </c>
    </row>
    <row r="788" spans="1:19" x14ac:dyDescent="0.3">
      <c r="A788" s="5" t="s">
        <v>846</v>
      </c>
      <c r="B788" s="6">
        <v>46123</v>
      </c>
      <c r="C788" s="7" t="s">
        <v>19</v>
      </c>
      <c r="D788" s="7" t="s">
        <v>63</v>
      </c>
      <c r="E788" s="7" t="s">
        <v>21</v>
      </c>
      <c r="F788" s="7" t="s">
        <v>22</v>
      </c>
      <c r="G788" s="7" t="s">
        <v>65</v>
      </c>
      <c r="H788" s="7" t="s">
        <v>31</v>
      </c>
      <c r="I788" s="7">
        <v>73</v>
      </c>
      <c r="J788" s="7">
        <v>81</v>
      </c>
      <c r="K788" s="20">
        <v>49000.28</v>
      </c>
      <c r="L788" s="20">
        <v>241.76</v>
      </c>
      <c r="M788" s="7">
        <v>189.74</v>
      </c>
      <c r="N788" s="20">
        <f>Table15[[#This Row],[Processing Fee]]-Table15[[#This Row],[Discount Applied]]</f>
        <v>52.019999999999982</v>
      </c>
      <c r="O788" s="7" t="str">
        <f>IF(Table15[[#This Row],[Revenue]]&gt;35000,"Achieved","Not Achieved")</f>
        <v>Achieved</v>
      </c>
      <c r="P788" s="8">
        <v>5</v>
      </c>
      <c r="Q788" s="7" t="str">
        <f>IF(AND(Table15[[#This Row],[CSAT Score]]&lt;=3,Table15[[#This Row],[Revenue]]&gt;=20000),"High-Risk","Stable")</f>
        <v>Stable</v>
      </c>
      <c r="R788" s="8" t="str" cm="1">
        <f t="array" ref="R788">_xlfn.IFS(Table15[[#This Row],[Revenue]]&gt;=35000,"Platinum",Table15[[#This Row],[Revenue]]&gt;=15000,"Gold",TRUE,"Standard")</f>
        <v>Platinum</v>
      </c>
      <c r="S788" s="8" t="str">
        <f>IF(OR(Table15[[#This Row],[Product]]="Wealth Management",Table15[[#This Row],[Revenue]]&gt;=40000),"Yes","No")</f>
        <v>Yes</v>
      </c>
    </row>
    <row r="789" spans="1:19" x14ac:dyDescent="0.3">
      <c r="A789" s="5" t="s">
        <v>847</v>
      </c>
      <c r="B789" s="6">
        <v>46130</v>
      </c>
      <c r="C789" s="7" t="s">
        <v>44</v>
      </c>
      <c r="D789" s="7" t="s">
        <v>87</v>
      </c>
      <c r="E789" s="7" t="s">
        <v>39</v>
      </c>
      <c r="F789" s="7" t="s">
        <v>40</v>
      </c>
      <c r="G789" s="7" t="s">
        <v>23</v>
      </c>
      <c r="H789" s="7" t="s">
        <v>31</v>
      </c>
      <c r="I789" s="7">
        <v>64</v>
      </c>
      <c r="J789" s="7">
        <v>64</v>
      </c>
      <c r="K789" s="20">
        <v>43493.37</v>
      </c>
      <c r="L789" s="20">
        <v>298.54000000000002</v>
      </c>
      <c r="M789" s="7">
        <v>86.49</v>
      </c>
      <c r="N789" s="20">
        <f>Table15[[#This Row],[Processing Fee]]-Table15[[#This Row],[Discount Applied]]</f>
        <v>212.05</v>
      </c>
      <c r="O789" s="7" t="str">
        <f>IF(Table15[[#This Row],[Revenue]]&gt;35000,"Achieved","Not Achieved")</f>
        <v>Achieved</v>
      </c>
      <c r="P789" s="8">
        <v>2</v>
      </c>
      <c r="Q789" s="7" t="str">
        <f>IF(AND(Table15[[#This Row],[CSAT Score]]&lt;=3,Table15[[#This Row],[Revenue]]&gt;=20000),"High-Risk","Stable")</f>
        <v>High-Risk</v>
      </c>
      <c r="R789" s="8" t="str" cm="1">
        <f t="array" ref="R789">_xlfn.IFS(Table15[[#This Row],[Revenue]]&gt;=35000,"Platinum",Table15[[#This Row],[Revenue]]&gt;=15000,"Gold",TRUE,"Standard")</f>
        <v>Platinum</v>
      </c>
      <c r="S789" s="8" t="str">
        <f>IF(OR(Table15[[#This Row],[Product]]="Wealth Management",Table15[[#This Row],[Revenue]]&gt;=40000),"Yes","No")</f>
        <v>Yes</v>
      </c>
    </row>
    <row r="790" spans="1:19" x14ac:dyDescent="0.3">
      <c r="A790" s="5" t="s">
        <v>848</v>
      </c>
      <c r="B790" s="6">
        <v>46186</v>
      </c>
      <c r="C790" s="7" t="s">
        <v>44</v>
      </c>
      <c r="D790" s="7" t="s">
        <v>87</v>
      </c>
      <c r="E790" s="7" t="s">
        <v>46</v>
      </c>
      <c r="F790" s="7" t="s">
        <v>35</v>
      </c>
      <c r="G790" s="7" t="s">
        <v>36</v>
      </c>
      <c r="H790" s="7" t="s">
        <v>53</v>
      </c>
      <c r="I790" s="7">
        <v>74</v>
      </c>
      <c r="J790" s="7">
        <v>110</v>
      </c>
      <c r="K790" s="20">
        <v>9111.06</v>
      </c>
      <c r="L790" s="20">
        <v>319.5</v>
      </c>
      <c r="M790" s="7">
        <v>127.69</v>
      </c>
      <c r="N790" s="20">
        <f>Table15[[#This Row],[Processing Fee]]-Table15[[#This Row],[Discount Applied]]</f>
        <v>191.81</v>
      </c>
      <c r="O790" s="7" t="str">
        <f>IF(Table15[[#This Row],[Revenue]]&gt;35000,"Achieved","Not Achieved")</f>
        <v>Not Achieved</v>
      </c>
      <c r="P790" s="8">
        <v>3</v>
      </c>
      <c r="Q790" s="7" t="str">
        <f>IF(AND(Table15[[#This Row],[CSAT Score]]&lt;=3,Table15[[#This Row],[Revenue]]&gt;=20000),"High-Risk","Stable")</f>
        <v>Stable</v>
      </c>
      <c r="R790" s="8" t="str" cm="1">
        <f t="array" ref="R790">_xlfn.IFS(Table15[[#This Row],[Revenue]]&gt;=35000,"Platinum",Table15[[#This Row],[Revenue]]&gt;=15000,"Gold",TRUE,"Standard")</f>
        <v>Standard</v>
      </c>
      <c r="S790" s="8" t="str">
        <f>IF(OR(Table15[[#This Row],[Product]]="Wealth Management",Table15[[#This Row],[Revenue]]&gt;=40000),"Yes","No")</f>
        <v>No</v>
      </c>
    </row>
    <row r="791" spans="1:19" x14ac:dyDescent="0.3">
      <c r="A791" s="5" t="s">
        <v>849</v>
      </c>
      <c r="B791" s="6">
        <v>46123</v>
      </c>
      <c r="C791" s="7" t="s">
        <v>19</v>
      </c>
      <c r="D791" s="7" t="s">
        <v>52</v>
      </c>
      <c r="E791" s="7" t="s">
        <v>46</v>
      </c>
      <c r="F791" s="7" t="s">
        <v>29</v>
      </c>
      <c r="G791" s="7" t="s">
        <v>30</v>
      </c>
      <c r="H791" s="7" t="s">
        <v>53</v>
      </c>
      <c r="I791" s="7">
        <v>38</v>
      </c>
      <c r="J791" s="7">
        <v>59</v>
      </c>
      <c r="K791" s="20">
        <v>2786.73</v>
      </c>
      <c r="L791" s="20">
        <v>173.49</v>
      </c>
      <c r="M791" s="7">
        <v>57.36</v>
      </c>
      <c r="N791" s="20">
        <f>Table15[[#This Row],[Processing Fee]]-Table15[[#This Row],[Discount Applied]]</f>
        <v>116.13000000000001</v>
      </c>
      <c r="O791" s="7" t="str">
        <f>IF(Table15[[#This Row],[Revenue]]&gt;35000,"Achieved","Not Achieved")</f>
        <v>Not Achieved</v>
      </c>
      <c r="P791" s="8">
        <v>5</v>
      </c>
      <c r="Q791" s="7" t="str">
        <f>IF(AND(Table15[[#This Row],[CSAT Score]]&lt;=3,Table15[[#This Row],[Revenue]]&gt;=20000),"High-Risk","Stable")</f>
        <v>Stable</v>
      </c>
      <c r="R791" s="8" t="str" cm="1">
        <f t="array" ref="R791">_xlfn.IFS(Table15[[#This Row],[Revenue]]&gt;=35000,"Platinum",Table15[[#This Row],[Revenue]]&gt;=15000,"Gold",TRUE,"Standard")</f>
        <v>Standard</v>
      </c>
      <c r="S791" s="8" t="str">
        <f>IF(OR(Table15[[#This Row],[Product]]="Wealth Management",Table15[[#This Row],[Revenue]]&gt;=40000),"Yes","No")</f>
        <v>No</v>
      </c>
    </row>
    <row r="792" spans="1:19" x14ac:dyDescent="0.3">
      <c r="A792" s="5" t="s">
        <v>850</v>
      </c>
      <c r="B792" s="6">
        <v>45912</v>
      </c>
      <c r="C792" s="7" t="s">
        <v>75</v>
      </c>
      <c r="D792" s="7" t="s">
        <v>48</v>
      </c>
      <c r="E792" s="7" t="s">
        <v>59</v>
      </c>
      <c r="F792" s="7" t="s">
        <v>35</v>
      </c>
      <c r="G792" s="7" t="s">
        <v>23</v>
      </c>
      <c r="H792" s="7" t="s">
        <v>31</v>
      </c>
      <c r="I792" s="7">
        <v>23</v>
      </c>
      <c r="J792" s="7">
        <v>114</v>
      </c>
      <c r="K792" s="20">
        <v>29190.04</v>
      </c>
      <c r="L792" s="20">
        <v>230.01</v>
      </c>
      <c r="M792" s="7">
        <v>88.1</v>
      </c>
      <c r="N792" s="20">
        <f>Table15[[#This Row],[Processing Fee]]-Table15[[#This Row],[Discount Applied]]</f>
        <v>141.91</v>
      </c>
      <c r="O792" s="7" t="str">
        <f>IF(Table15[[#This Row],[Revenue]]&gt;35000,"Achieved","Not Achieved")</f>
        <v>Not Achieved</v>
      </c>
      <c r="P792" s="8">
        <v>3</v>
      </c>
      <c r="Q792" s="7" t="str">
        <f>IF(AND(Table15[[#This Row],[CSAT Score]]&lt;=3,Table15[[#This Row],[Revenue]]&gt;=20000),"High-Risk","Stable")</f>
        <v>High-Risk</v>
      </c>
      <c r="R792" s="8" t="str" cm="1">
        <f t="array" ref="R792">_xlfn.IFS(Table15[[#This Row],[Revenue]]&gt;=35000,"Platinum",Table15[[#This Row],[Revenue]]&gt;=15000,"Gold",TRUE,"Standard")</f>
        <v>Gold</v>
      </c>
      <c r="S792" s="8" t="str">
        <f>IF(OR(Table15[[#This Row],[Product]]="Wealth Management",Table15[[#This Row],[Revenue]]&gt;=40000),"Yes","No")</f>
        <v>No</v>
      </c>
    </row>
    <row r="793" spans="1:19" x14ac:dyDescent="0.3">
      <c r="A793" s="5" t="s">
        <v>851</v>
      </c>
      <c r="B793" s="6">
        <v>46064</v>
      </c>
      <c r="C793" s="7" t="s">
        <v>44</v>
      </c>
      <c r="D793" s="7" t="s">
        <v>45</v>
      </c>
      <c r="E793" s="7" t="s">
        <v>59</v>
      </c>
      <c r="F793" s="7" t="s">
        <v>69</v>
      </c>
      <c r="G793" s="7" t="s">
        <v>56</v>
      </c>
      <c r="H793" s="7" t="s">
        <v>53</v>
      </c>
      <c r="I793" s="7">
        <v>27</v>
      </c>
      <c r="J793" s="7">
        <v>58</v>
      </c>
      <c r="K793" s="20">
        <v>45673.95</v>
      </c>
      <c r="L793" s="20">
        <v>400.25</v>
      </c>
      <c r="M793" s="7">
        <v>79.92</v>
      </c>
      <c r="N793" s="20">
        <f>Table15[[#This Row],[Processing Fee]]-Table15[[#This Row],[Discount Applied]]</f>
        <v>320.33</v>
      </c>
      <c r="O793" s="7" t="str">
        <f>IF(Table15[[#This Row],[Revenue]]&gt;35000,"Achieved","Not Achieved")</f>
        <v>Achieved</v>
      </c>
      <c r="P793" s="8">
        <v>5</v>
      </c>
      <c r="Q793" s="7" t="str">
        <f>IF(AND(Table15[[#This Row],[CSAT Score]]&lt;=3,Table15[[#This Row],[Revenue]]&gt;=20000),"High-Risk","Stable")</f>
        <v>Stable</v>
      </c>
      <c r="R793" s="8" t="str" cm="1">
        <f t="array" ref="R793">_xlfn.IFS(Table15[[#This Row],[Revenue]]&gt;=35000,"Platinum",Table15[[#This Row],[Revenue]]&gt;=15000,"Gold",TRUE,"Standard")</f>
        <v>Platinum</v>
      </c>
      <c r="S793" s="8" t="str">
        <f>IF(OR(Table15[[#This Row],[Product]]="Wealth Management",Table15[[#This Row],[Revenue]]&gt;=40000),"Yes","No")</f>
        <v>Yes</v>
      </c>
    </row>
    <row r="794" spans="1:19" x14ac:dyDescent="0.3">
      <c r="A794" s="5" t="s">
        <v>852</v>
      </c>
      <c r="B794" s="6">
        <v>46149</v>
      </c>
      <c r="C794" s="7" t="s">
        <v>33</v>
      </c>
      <c r="D794" s="7" t="s">
        <v>45</v>
      </c>
      <c r="E794" s="7" t="s">
        <v>39</v>
      </c>
      <c r="F794" s="7" t="s">
        <v>69</v>
      </c>
      <c r="G794" s="7" t="s">
        <v>65</v>
      </c>
      <c r="H794" s="7" t="s">
        <v>57</v>
      </c>
      <c r="I794" s="7">
        <v>63</v>
      </c>
      <c r="J794" s="7">
        <v>2</v>
      </c>
      <c r="K794" s="20">
        <v>9278.89</v>
      </c>
      <c r="L794" s="20">
        <v>473.55</v>
      </c>
      <c r="M794" s="7">
        <v>170.49</v>
      </c>
      <c r="N794" s="20">
        <f>Table15[[#This Row],[Processing Fee]]-Table15[[#This Row],[Discount Applied]]</f>
        <v>303.06</v>
      </c>
      <c r="O794" s="7" t="str">
        <f>IF(Table15[[#This Row],[Revenue]]&gt;35000,"Achieved","Not Achieved")</f>
        <v>Not Achieved</v>
      </c>
      <c r="P794" s="8">
        <v>2</v>
      </c>
      <c r="Q794" s="7" t="str">
        <f>IF(AND(Table15[[#This Row],[CSAT Score]]&lt;=3,Table15[[#This Row],[Revenue]]&gt;=20000),"High-Risk","Stable")</f>
        <v>Stable</v>
      </c>
      <c r="R794" s="8" t="str" cm="1">
        <f t="array" ref="R794">_xlfn.IFS(Table15[[#This Row],[Revenue]]&gt;=35000,"Platinum",Table15[[#This Row],[Revenue]]&gt;=15000,"Gold",TRUE,"Standard")</f>
        <v>Standard</v>
      </c>
      <c r="S794" s="8" t="str">
        <f>IF(OR(Table15[[#This Row],[Product]]="Wealth Management",Table15[[#This Row],[Revenue]]&gt;=40000),"Yes","No")</f>
        <v>No</v>
      </c>
    </row>
    <row r="795" spans="1:19" x14ac:dyDescent="0.3">
      <c r="A795" s="5" t="s">
        <v>853</v>
      </c>
      <c r="B795" s="6">
        <v>46061</v>
      </c>
      <c r="C795" s="7" t="s">
        <v>26</v>
      </c>
      <c r="D795" s="7" t="s">
        <v>20</v>
      </c>
      <c r="E795" s="7" t="s">
        <v>46</v>
      </c>
      <c r="F795" s="7" t="s">
        <v>22</v>
      </c>
      <c r="G795" s="7" t="s">
        <v>23</v>
      </c>
      <c r="H795" s="7" t="s">
        <v>24</v>
      </c>
      <c r="I795" s="7">
        <v>38</v>
      </c>
      <c r="J795" s="7">
        <v>36</v>
      </c>
      <c r="K795" s="20">
        <v>848.62</v>
      </c>
      <c r="L795" s="20">
        <v>437.85</v>
      </c>
      <c r="M795" s="7">
        <v>100.06</v>
      </c>
      <c r="N795" s="20">
        <f>Table15[[#This Row],[Processing Fee]]-Table15[[#This Row],[Discount Applied]]</f>
        <v>337.79</v>
      </c>
      <c r="O795" s="7" t="str">
        <f>IF(Table15[[#This Row],[Revenue]]&gt;35000,"Achieved","Not Achieved")</f>
        <v>Not Achieved</v>
      </c>
      <c r="P795" s="8">
        <v>3</v>
      </c>
      <c r="Q795" s="7" t="str">
        <f>IF(AND(Table15[[#This Row],[CSAT Score]]&lt;=3,Table15[[#This Row],[Revenue]]&gt;=20000),"High-Risk","Stable")</f>
        <v>Stable</v>
      </c>
      <c r="R795" s="8" t="str" cm="1">
        <f t="array" ref="R795">_xlfn.IFS(Table15[[#This Row],[Revenue]]&gt;=35000,"Platinum",Table15[[#This Row],[Revenue]]&gt;=15000,"Gold",TRUE,"Standard")</f>
        <v>Standard</v>
      </c>
      <c r="S795" s="8" t="str">
        <f>IF(OR(Table15[[#This Row],[Product]]="Wealth Management",Table15[[#This Row],[Revenue]]&gt;=40000),"Yes","No")</f>
        <v>Yes</v>
      </c>
    </row>
    <row r="796" spans="1:19" x14ac:dyDescent="0.3">
      <c r="A796" s="5" t="s">
        <v>854</v>
      </c>
      <c r="B796" s="6">
        <v>45978</v>
      </c>
      <c r="C796" s="7" t="s">
        <v>91</v>
      </c>
      <c r="D796" s="7" t="s">
        <v>61</v>
      </c>
      <c r="E796" s="7" t="s">
        <v>28</v>
      </c>
      <c r="F796" s="7" t="s">
        <v>22</v>
      </c>
      <c r="G796" s="7" t="s">
        <v>23</v>
      </c>
      <c r="H796" s="7" t="s">
        <v>31</v>
      </c>
      <c r="I796" s="7">
        <v>64</v>
      </c>
      <c r="J796" s="7">
        <v>114</v>
      </c>
      <c r="K796" s="20">
        <v>40372.050000000003</v>
      </c>
      <c r="L796" s="20">
        <v>303.93</v>
      </c>
      <c r="M796" s="7">
        <v>203.67</v>
      </c>
      <c r="N796" s="20">
        <f>Table15[[#This Row],[Processing Fee]]-Table15[[#This Row],[Discount Applied]]</f>
        <v>100.26000000000002</v>
      </c>
      <c r="O796" s="7" t="str">
        <f>IF(Table15[[#This Row],[Revenue]]&gt;35000,"Achieved","Not Achieved")</f>
        <v>Achieved</v>
      </c>
      <c r="P796" s="8">
        <v>2</v>
      </c>
      <c r="Q796" s="7" t="str">
        <f>IF(AND(Table15[[#This Row],[CSAT Score]]&lt;=3,Table15[[#This Row],[Revenue]]&gt;=20000),"High-Risk","Stable")</f>
        <v>High-Risk</v>
      </c>
      <c r="R796" s="8" t="str" cm="1">
        <f t="array" ref="R796">_xlfn.IFS(Table15[[#This Row],[Revenue]]&gt;=35000,"Platinum",Table15[[#This Row],[Revenue]]&gt;=15000,"Gold",TRUE,"Standard")</f>
        <v>Platinum</v>
      </c>
      <c r="S796" s="8" t="str">
        <f>IF(OR(Table15[[#This Row],[Product]]="Wealth Management",Table15[[#This Row],[Revenue]]&gt;=40000),"Yes","No")</f>
        <v>Yes</v>
      </c>
    </row>
    <row r="797" spans="1:19" x14ac:dyDescent="0.3">
      <c r="A797" s="5" t="s">
        <v>855</v>
      </c>
      <c r="B797" s="6">
        <v>46102</v>
      </c>
      <c r="C797" s="7" t="s">
        <v>19</v>
      </c>
      <c r="D797" s="7" t="s">
        <v>38</v>
      </c>
      <c r="E797" s="7" t="s">
        <v>59</v>
      </c>
      <c r="F797" s="7" t="s">
        <v>40</v>
      </c>
      <c r="G797" s="7" t="s">
        <v>36</v>
      </c>
      <c r="H797" s="7" t="s">
        <v>53</v>
      </c>
      <c r="I797" s="7">
        <v>58</v>
      </c>
      <c r="J797" s="7">
        <v>71</v>
      </c>
      <c r="K797" s="20">
        <v>4301.3900000000003</v>
      </c>
      <c r="L797" s="20">
        <v>234.63</v>
      </c>
      <c r="M797" s="7">
        <v>78.39</v>
      </c>
      <c r="N797" s="20">
        <f>Table15[[#This Row],[Processing Fee]]-Table15[[#This Row],[Discount Applied]]</f>
        <v>156.24</v>
      </c>
      <c r="O797" s="7" t="str">
        <f>IF(Table15[[#This Row],[Revenue]]&gt;35000,"Achieved","Not Achieved")</f>
        <v>Not Achieved</v>
      </c>
      <c r="P797" s="8">
        <v>3</v>
      </c>
      <c r="Q797" s="7" t="str">
        <f>IF(AND(Table15[[#This Row],[CSAT Score]]&lt;=3,Table15[[#This Row],[Revenue]]&gt;=20000),"High-Risk","Stable")</f>
        <v>Stable</v>
      </c>
      <c r="R797" s="8" t="str" cm="1">
        <f t="array" ref="R797">_xlfn.IFS(Table15[[#This Row],[Revenue]]&gt;=35000,"Platinum",Table15[[#This Row],[Revenue]]&gt;=15000,"Gold",TRUE,"Standard")</f>
        <v>Standard</v>
      </c>
      <c r="S797" s="8" t="str">
        <f>IF(OR(Table15[[#This Row],[Product]]="Wealth Management",Table15[[#This Row],[Revenue]]&gt;=40000),"Yes","No")</f>
        <v>No</v>
      </c>
    </row>
    <row r="798" spans="1:19" x14ac:dyDescent="0.3">
      <c r="A798" s="5" t="s">
        <v>856</v>
      </c>
      <c r="B798" s="6">
        <v>45920</v>
      </c>
      <c r="C798" s="7" t="s">
        <v>33</v>
      </c>
      <c r="D798" s="7" t="s">
        <v>68</v>
      </c>
      <c r="E798" s="7" t="s">
        <v>39</v>
      </c>
      <c r="F798" s="7" t="s">
        <v>35</v>
      </c>
      <c r="G798" s="7" t="s">
        <v>36</v>
      </c>
      <c r="H798" s="7" t="s">
        <v>57</v>
      </c>
      <c r="I798" s="7">
        <v>57</v>
      </c>
      <c r="J798" s="7">
        <v>13</v>
      </c>
      <c r="K798" s="20">
        <v>20978.45</v>
      </c>
      <c r="L798" s="20">
        <v>199.83</v>
      </c>
      <c r="M798" s="7">
        <v>52.72</v>
      </c>
      <c r="N798" s="20">
        <f>Table15[[#This Row],[Processing Fee]]-Table15[[#This Row],[Discount Applied]]</f>
        <v>147.11000000000001</v>
      </c>
      <c r="O798" s="7" t="str">
        <f>IF(Table15[[#This Row],[Revenue]]&gt;35000,"Achieved","Not Achieved")</f>
        <v>Not Achieved</v>
      </c>
      <c r="P798" s="8">
        <v>1</v>
      </c>
      <c r="Q798" s="7" t="str">
        <f>IF(AND(Table15[[#This Row],[CSAT Score]]&lt;=3,Table15[[#This Row],[Revenue]]&gt;=20000),"High-Risk","Stable")</f>
        <v>High-Risk</v>
      </c>
      <c r="R798" s="8" t="str" cm="1">
        <f t="array" ref="R798">_xlfn.IFS(Table15[[#This Row],[Revenue]]&gt;=35000,"Platinum",Table15[[#This Row],[Revenue]]&gt;=15000,"Gold",TRUE,"Standard")</f>
        <v>Gold</v>
      </c>
      <c r="S798" s="8" t="str">
        <f>IF(OR(Table15[[#This Row],[Product]]="Wealth Management",Table15[[#This Row],[Revenue]]&gt;=40000),"Yes","No")</f>
        <v>No</v>
      </c>
    </row>
    <row r="799" spans="1:19" x14ac:dyDescent="0.3">
      <c r="A799" s="5" t="s">
        <v>857</v>
      </c>
      <c r="B799" s="6">
        <v>46144</v>
      </c>
      <c r="C799" s="7" t="s">
        <v>19</v>
      </c>
      <c r="D799" s="7" t="s">
        <v>45</v>
      </c>
      <c r="E799" s="7" t="s">
        <v>46</v>
      </c>
      <c r="F799" s="7" t="s">
        <v>69</v>
      </c>
      <c r="G799" s="7" t="s">
        <v>36</v>
      </c>
      <c r="H799" s="7" t="s">
        <v>31</v>
      </c>
      <c r="I799" s="7">
        <v>53</v>
      </c>
      <c r="J799" s="7">
        <v>15</v>
      </c>
      <c r="K799" s="20">
        <v>34104.92</v>
      </c>
      <c r="L799" s="20">
        <v>106.23</v>
      </c>
      <c r="M799" s="7">
        <v>286.39999999999998</v>
      </c>
      <c r="N799" s="20">
        <f>Table15[[#This Row],[Processing Fee]]-Table15[[#This Row],[Discount Applied]]</f>
        <v>-180.16999999999996</v>
      </c>
      <c r="O799" s="7" t="str">
        <f>IF(Table15[[#This Row],[Revenue]]&gt;35000,"Achieved","Not Achieved")</f>
        <v>Not Achieved</v>
      </c>
      <c r="P799" s="8">
        <v>2</v>
      </c>
      <c r="Q799" s="7" t="str">
        <f>IF(AND(Table15[[#This Row],[CSAT Score]]&lt;=3,Table15[[#This Row],[Revenue]]&gt;=20000),"High-Risk","Stable")</f>
        <v>High-Risk</v>
      </c>
      <c r="R799" s="8" t="str" cm="1">
        <f t="array" ref="R799">_xlfn.IFS(Table15[[#This Row],[Revenue]]&gt;=35000,"Platinum",Table15[[#This Row],[Revenue]]&gt;=15000,"Gold",TRUE,"Standard")</f>
        <v>Gold</v>
      </c>
      <c r="S799" s="8" t="str">
        <f>IF(OR(Table15[[#This Row],[Product]]="Wealth Management",Table15[[#This Row],[Revenue]]&gt;=40000),"Yes","No")</f>
        <v>No</v>
      </c>
    </row>
    <row r="800" spans="1:19" x14ac:dyDescent="0.3">
      <c r="A800" s="5" t="s">
        <v>858</v>
      </c>
      <c r="B800" s="6">
        <v>46059</v>
      </c>
      <c r="C800" s="7" t="s">
        <v>91</v>
      </c>
      <c r="D800" s="7" t="s">
        <v>52</v>
      </c>
      <c r="E800" s="7" t="s">
        <v>46</v>
      </c>
      <c r="F800" s="7" t="s">
        <v>22</v>
      </c>
      <c r="G800" s="7" t="s">
        <v>56</v>
      </c>
      <c r="H800" s="7" t="s">
        <v>53</v>
      </c>
      <c r="I800" s="7">
        <v>64</v>
      </c>
      <c r="J800" s="7">
        <v>89</v>
      </c>
      <c r="K800" s="20">
        <v>12221.48</v>
      </c>
      <c r="L800" s="20">
        <v>97.95</v>
      </c>
      <c r="M800" s="7">
        <v>120.72</v>
      </c>
      <c r="N800" s="20">
        <f>Table15[[#This Row],[Processing Fee]]-Table15[[#This Row],[Discount Applied]]</f>
        <v>-22.769999999999996</v>
      </c>
      <c r="O800" s="7" t="str">
        <f>IF(Table15[[#This Row],[Revenue]]&gt;35000,"Achieved","Not Achieved")</f>
        <v>Not Achieved</v>
      </c>
      <c r="P800" s="8">
        <v>2</v>
      </c>
      <c r="Q800" s="7" t="str">
        <f>IF(AND(Table15[[#This Row],[CSAT Score]]&lt;=3,Table15[[#This Row],[Revenue]]&gt;=20000),"High-Risk","Stable")</f>
        <v>Stable</v>
      </c>
      <c r="R800" s="8" t="str" cm="1">
        <f t="array" ref="R800">_xlfn.IFS(Table15[[#This Row],[Revenue]]&gt;=35000,"Platinum",Table15[[#This Row],[Revenue]]&gt;=15000,"Gold",TRUE,"Standard")</f>
        <v>Standard</v>
      </c>
      <c r="S800" s="8" t="str">
        <f>IF(OR(Table15[[#This Row],[Product]]="Wealth Management",Table15[[#This Row],[Revenue]]&gt;=40000),"Yes","No")</f>
        <v>Yes</v>
      </c>
    </row>
    <row r="801" spans="1:19" x14ac:dyDescent="0.3">
      <c r="A801" s="5" t="s">
        <v>859</v>
      </c>
      <c r="B801" s="6">
        <v>46068</v>
      </c>
      <c r="C801" s="7" t="s">
        <v>42</v>
      </c>
      <c r="D801" s="7" t="s">
        <v>63</v>
      </c>
      <c r="E801" s="7" t="s">
        <v>28</v>
      </c>
      <c r="F801" s="7" t="s">
        <v>35</v>
      </c>
      <c r="G801" s="7" t="s">
        <v>36</v>
      </c>
      <c r="H801" s="7" t="s">
        <v>31</v>
      </c>
      <c r="I801" s="7">
        <v>51</v>
      </c>
      <c r="J801" s="7">
        <v>87</v>
      </c>
      <c r="K801" s="20">
        <v>4656.1499999999996</v>
      </c>
      <c r="L801" s="20">
        <v>359.76</v>
      </c>
      <c r="M801" s="7">
        <v>280.18</v>
      </c>
      <c r="N801" s="20">
        <f>Table15[[#This Row],[Processing Fee]]-Table15[[#This Row],[Discount Applied]]</f>
        <v>79.579999999999984</v>
      </c>
      <c r="O801" s="7" t="str">
        <f>IF(Table15[[#This Row],[Revenue]]&gt;35000,"Achieved","Not Achieved")</f>
        <v>Not Achieved</v>
      </c>
      <c r="P801" s="8">
        <v>4</v>
      </c>
      <c r="Q801" s="7" t="str">
        <f>IF(AND(Table15[[#This Row],[CSAT Score]]&lt;=3,Table15[[#This Row],[Revenue]]&gt;=20000),"High-Risk","Stable")</f>
        <v>Stable</v>
      </c>
      <c r="R801" s="8" t="str" cm="1">
        <f t="array" ref="R801">_xlfn.IFS(Table15[[#This Row],[Revenue]]&gt;=35000,"Platinum",Table15[[#This Row],[Revenue]]&gt;=15000,"Gold",TRUE,"Standard")</f>
        <v>Standard</v>
      </c>
      <c r="S801" s="8" t="str">
        <f>IF(OR(Table15[[#This Row],[Product]]="Wealth Management",Table15[[#This Row],[Revenue]]&gt;=40000),"Yes","No")</f>
        <v>No</v>
      </c>
    </row>
    <row r="802" spans="1:19" x14ac:dyDescent="0.3">
      <c r="A802" s="5" t="s">
        <v>860</v>
      </c>
      <c r="B802" s="6">
        <v>45943</v>
      </c>
      <c r="C802" s="7" t="s">
        <v>91</v>
      </c>
      <c r="D802" s="7" t="s">
        <v>48</v>
      </c>
      <c r="E802" s="7" t="s">
        <v>39</v>
      </c>
      <c r="F802" s="7" t="s">
        <v>22</v>
      </c>
      <c r="G802" s="7" t="s">
        <v>23</v>
      </c>
      <c r="H802" s="7" t="s">
        <v>53</v>
      </c>
      <c r="I802" s="7">
        <v>31</v>
      </c>
      <c r="J802" s="7">
        <v>60</v>
      </c>
      <c r="K802" s="20">
        <v>38616.050000000003</v>
      </c>
      <c r="L802" s="20">
        <v>166.91</v>
      </c>
      <c r="M802" s="7">
        <v>40.68</v>
      </c>
      <c r="N802" s="20">
        <f>Table15[[#This Row],[Processing Fee]]-Table15[[#This Row],[Discount Applied]]</f>
        <v>126.22999999999999</v>
      </c>
      <c r="O802" s="7" t="str">
        <f>IF(Table15[[#This Row],[Revenue]]&gt;35000,"Achieved","Not Achieved")</f>
        <v>Achieved</v>
      </c>
      <c r="P802" s="8">
        <v>2</v>
      </c>
      <c r="Q802" s="7" t="str">
        <f>IF(AND(Table15[[#This Row],[CSAT Score]]&lt;=3,Table15[[#This Row],[Revenue]]&gt;=20000),"High-Risk","Stable")</f>
        <v>High-Risk</v>
      </c>
      <c r="R802" s="8" t="str" cm="1">
        <f t="array" ref="R802">_xlfn.IFS(Table15[[#This Row],[Revenue]]&gt;=35000,"Platinum",Table15[[#This Row],[Revenue]]&gt;=15000,"Gold",TRUE,"Standard")</f>
        <v>Platinum</v>
      </c>
      <c r="S802" s="8" t="str">
        <f>IF(OR(Table15[[#This Row],[Product]]="Wealth Management",Table15[[#This Row],[Revenue]]&gt;=40000),"Yes","No")</f>
        <v>Yes</v>
      </c>
    </row>
    <row r="803" spans="1:19" x14ac:dyDescent="0.3">
      <c r="A803" s="5" t="s">
        <v>861</v>
      </c>
      <c r="B803" s="6">
        <v>45966</v>
      </c>
      <c r="C803" s="7" t="s">
        <v>75</v>
      </c>
      <c r="D803" s="7" t="s">
        <v>77</v>
      </c>
      <c r="E803" s="7" t="s">
        <v>46</v>
      </c>
      <c r="F803" s="7" t="s">
        <v>22</v>
      </c>
      <c r="G803" s="7" t="s">
        <v>36</v>
      </c>
      <c r="H803" s="7" t="s">
        <v>31</v>
      </c>
      <c r="I803" s="7">
        <v>24</v>
      </c>
      <c r="J803" s="7">
        <v>22</v>
      </c>
      <c r="K803" s="20">
        <v>31693.67</v>
      </c>
      <c r="L803" s="20">
        <v>164.6</v>
      </c>
      <c r="M803" s="7">
        <v>44.07</v>
      </c>
      <c r="N803" s="20">
        <f>Table15[[#This Row],[Processing Fee]]-Table15[[#This Row],[Discount Applied]]</f>
        <v>120.53</v>
      </c>
      <c r="O803" s="7" t="str">
        <f>IF(Table15[[#This Row],[Revenue]]&gt;35000,"Achieved","Not Achieved")</f>
        <v>Not Achieved</v>
      </c>
      <c r="P803" s="8">
        <v>5</v>
      </c>
      <c r="Q803" s="7" t="str">
        <f>IF(AND(Table15[[#This Row],[CSAT Score]]&lt;=3,Table15[[#This Row],[Revenue]]&gt;=20000),"High-Risk","Stable")</f>
        <v>Stable</v>
      </c>
      <c r="R803" s="8" t="str" cm="1">
        <f t="array" ref="R803">_xlfn.IFS(Table15[[#This Row],[Revenue]]&gt;=35000,"Platinum",Table15[[#This Row],[Revenue]]&gt;=15000,"Gold",TRUE,"Standard")</f>
        <v>Gold</v>
      </c>
      <c r="S803" s="8" t="str">
        <f>IF(OR(Table15[[#This Row],[Product]]="Wealth Management",Table15[[#This Row],[Revenue]]&gt;=40000),"Yes","No")</f>
        <v>Yes</v>
      </c>
    </row>
    <row r="804" spans="1:19" x14ac:dyDescent="0.3">
      <c r="A804" s="5" t="s">
        <v>862</v>
      </c>
      <c r="B804" s="6">
        <v>46182</v>
      </c>
      <c r="C804" s="7" t="s">
        <v>91</v>
      </c>
      <c r="D804" s="7" t="s">
        <v>20</v>
      </c>
      <c r="E804" s="7" t="s">
        <v>59</v>
      </c>
      <c r="F804" s="7" t="s">
        <v>69</v>
      </c>
      <c r="G804" s="7" t="s">
        <v>30</v>
      </c>
      <c r="H804" s="7" t="s">
        <v>57</v>
      </c>
      <c r="I804" s="7">
        <v>38</v>
      </c>
      <c r="J804" s="7">
        <v>63</v>
      </c>
      <c r="K804" s="20">
        <v>49430.28</v>
      </c>
      <c r="L804" s="20">
        <v>499.19</v>
      </c>
      <c r="M804" s="7">
        <v>171.16</v>
      </c>
      <c r="N804" s="20">
        <f>Table15[[#This Row],[Processing Fee]]-Table15[[#This Row],[Discount Applied]]</f>
        <v>328.03</v>
      </c>
      <c r="O804" s="7" t="str">
        <f>IF(Table15[[#This Row],[Revenue]]&gt;35000,"Achieved","Not Achieved")</f>
        <v>Achieved</v>
      </c>
      <c r="P804" s="8">
        <v>3</v>
      </c>
      <c r="Q804" s="7" t="str">
        <f>IF(AND(Table15[[#This Row],[CSAT Score]]&lt;=3,Table15[[#This Row],[Revenue]]&gt;=20000),"High-Risk","Stable")</f>
        <v>High-Risk</v>
      </c>
      <c r="R804" s="8" t="str" cm="1">
        <f t="array" ref="R804">_xlfn.IFS(Table15[[#This Row],[Revenue]]&gt;=35000,"Platinum",Table15[[#This Row],[Revenue]]&gt;=15000,"Gold",TRUE,"Standard")</f>
        <v>Platinum</v>
      </c>
      <c r="S804" s="8" t="str">
        <f>IF(OR(Table15[[#This Row],[Product]]="Wealth Management",Table15[[#This Row],[Revenue]]&gt;=40000),"Yes","No")</f>
        <v>Yes</v>
      </c>
    </row>
    <row r="805" spans="1:19" x14ac:dyDescent="0.3">
      <c r="A805" s="5" t="s">
        <v>863</v>
      </c>
      <c r="B805" s="6">
        <v>45899</v>
      </c>
      <c r="C805" s="7" t="s">
        <v>91</v>
      </c>
      <c r="D805" s="7" t="s">
        <v>52</v>
      </c>
      <c r="E805" s="7" t="s">
        <v>28</v>
      </c>
      <c r="F805" s="7" t="s">
        <v>69</v>
      </c>
      <c r="G805" s="7" t="s">
        <v>36</v>
      </c>
      <c r="H805" s="7" t="s">
        <v>57</v>
      </c>
      <c r="I805" s="7">
        <v>24</v>
      </c>
      <c r="J805" s="7">
        <v>90</v>
      </c>
      <c r="K805" s="20">
        <v>17543.25</v>
      </c>
      <c r="L805" s="20">
        <v>134.57</v>
      </c>
      <c r="M805" s="7">
        <v>136.18</v>
      </c>
      <c r="N805" s="20">
        <f>Table15[[#This Row],[Processing Fee]]-Table15[[#This Row],[Discount Applied]]</f>
        <v>-1.6100000000000136</v>
      </c>
      <c r="O805" s="7" t="str">
        <f>IF(Table15[[#This Row],[Revenue]]&gt;35000,"Achieved","Not Achieved")</f>
        <v>Not Achieved</v>
      </c>
      <c r="P805" s="8">
        <v>1</v>
      </c>
      <c r="Q805" s="7" t="str">
        <f>IF(AND(Table15[[#This Row],[CSAT Score]]&lt;=3,Table15[[#This Row],[Revenue]]&gt;=20000),"High-Risk","Stable")</f>
        <v>Stable</v>
      </c>
      <c r="R805" s="8" t="str" cm="1">
        <f t="array" ref="R805">_xlfn.IFS(Table15[[#This Row],[Revenue]]&gt;=35000,"Platinum",Table15[[#This Row],[Revenue]]&gt;=15000,"Gold",TRUE,"Standard")</f>
        <v>Gold</v>
      </c>
      <c r="S805" s="8" t="str">
        <f>IF(OR(Table15[[#This Row],[Product]]="Wealth Management",Table15[[#This Row],[Revenue]]&gt;=40000),"Yes","No")</f>
        <v>No</v>
      </c>
    </row>
    <row r="806" spans="1:19" x14ac:dyDescent="0.3">
      <c r="A806" s="5" t="s">
        <v>864</v>
      </c>
      <c r="B806" s="6">
        <v>46173</v>
      </c>
      <c r="C806" s="7" t="s">
        <v>75</v>
      </c>
      <c r="D806" s="7" t="s">
        <v>79</v>
      </c>
      <c r="E806" s="7" t="s">
        <v>39</v>
      </c>
      <c r="F806" s="7" t="s">
        <v>22</v>
      </c>
      <c r="G806" s="7" t="s">
        <v>56</v>
      </c>
      <c r="H806" s="7" t="s">
        <v>24</v>
      </c>
      <c r="I806" s="7">
        <v>69</v>
      </c>
      <c r="J806" s="7">
        <v>97</v>
      </c>
      <c r="K806" s="20">
        <v>3557.24</v>
      </c>
      <c r="L806" s="20">
        <v>116.63</v>
      </c>
      <c r="M806" s="7">
        <v>37.32</v>
      </c>
      <c r="N806" s="20">
        <f>Table15[[#This Row],[Processing Fee]]-Table15[[#This Row],[Discount Applied]]</f>
        <v>79.31</v>
      </c>
      <c r="O806" s="7" t="str">
        <f>IF(Table15[[#This Row],[Revenue]]&gt;35000,"Achieved","Not Achieved")</f>
        <v>Not Achieved</v>
      </c>
      <c r="P806" s="8">
        <v>5</v>
      </c>
      <c r="Q806" s="7" t="str">
        <f>IF(AND(Table15[[#This Row],[CSAT Score]]&lt;=3,Table15[[#This Row],[Revenue]]&gt;=20000),"High-Risk","Stable")</f>
        <v>Stable</v>
      </c>
      <c r="R806" s="8" t="str" cm="1">
        <f t="array" ref="R806">_xlfn.IFS(Table15[[#This Row],[Revenue]]&gt;=35000,"Platinum",Table15[[#This Row],[Revenue]]&gt;=15000,"Gold",TRUE,"Standard")</f>
        <v>Standard</v>
      </c>
      <c r="S806" s="8" t="str">
        <f>IF(OR(Table15[[#This Row],[Product]]="Wealth Management",Table15[[#This Row],[Revenue]]&gt;=40000),"Yes","No")</f>
        <v>Yes</v>
      </c>
    </row>
    <row r="807" spans="1:19" x14ac:dyDescent="0.3">
      <c r="A807" s="5" t="s">
        <v>865</v>
      </c>
      <c r="B807" s="6">
        <v>46058</v>
      </c>
      <c r="C807" s="7" t="s">
        <v>26</v>
      </c>
      <c r="D807" s="7" t="s">
        <v>34</v>
      </c>
      <c r="E807" s="7" t="s">
        <v>28</v>
      </c>
      <c r="F807" s="7" t="s">
        <v>29</v>
      </c>
      <c r="G807" s="7" t="s">
        <v>30</v>
      </c>
      <c r="H807" s="7" t="s">
        <v>31</v>
      </c>
      <c r="I807" s="7">
        <v>54</v>
      </c>
      <c r="J807" s="7">
        <v>75</v>
      </c>
      <c r="K807" s="20">
        <v>36850.33</v>
      </c>
      <c r="L807" s="20">
        <v>94.41</v>
      </c>
      <c r="M807" s="7">
        <v>80.8</v>
      </c>
      <c r="N807" s="20">
        <f>Table15[[#This Row],[Processing Fee]]-Table15[[#This Row],[Discount Applied]]</f>
        <v>13.61</v>
      </c>
      <c r="O807" s="7" t="str">
        <f>IF(Table15[[#This Row],[Revenue]]&gt;35000,"Achieved","Not Achieved")</f>
        <v>Achieved</v>
      </c>
      <c r="P807" s="8">
        <v>5</v>
      </c>
      <c r="Q807" s="7" t="str">
        <f>IF(AND(Table15[[#This Row],[CSAT Score]]&lt;=3,Table15[[#This Row],[Revenue]]&gt;=20000),"High-Risk","Stable")</f>
        <v>Stable</v>
      </c>
      <c r="R807" s="8" t="str" cm="1">
        <f t="array" ref="R807">_xlfn.IFS(Table15[[#This Row],[Revenue]]&gt;=35000,"Platinum",Table15[[#This Row],[Revenue]]&gt;=15000,"Gold",TRUE,"Standard")</f>
        <v>Platinum</v>
      </c>
      <c r="S807" s="8" t="str">
        <f>IF(OR(Table15[[#This Row],[Product]]="Wealth Management",Table15[[#This Row],[Revenue]]&gt;=40000),"Yes","No")</f>
        <v>No</v>
      </c>
    </row>
    <row r="808" spans="1:19" x14ac:dyDescent="0.3">
      <c r="A808" s="5" t="s">
        <v>866</v>
      </c>
      <c r="B808" s="6">
        <v>46215</v>
      </c>
      <c r="C808" s="7" t="s">
        <v>44</v>
      </c>
      <c r="D808" s="7" t="s">
        <v>77</v>
      </c>
      <c r="E808" s="7" t="s">
        <v>59</v>
      </c>
      <c r="F808" s="7" t="s">
        <v>22</v>
      </c>
      <c r="G808" s="7" t="s">
        <v>23</v>
      </c>
      <c r="H808" s="7" t="s">
        <v>24</v>
      </c>
      <c r="I808" s="7">
        <v>49</v>
      </c>
      <c r="J808" s="7">
        <v>74</v>
      </c>
      <c r="K808" s="20">
        <v>26325.8</v>
      </c>
      <c r="L808" s="20">
        <v>310.91000000000003</v>
      </c>
      <c r="M808" s="7">
        <v>160.13</v>
      </c>
      <c r="N808" s="20">
        <f>Table15[[#This Row],[Processing Fee]]-Table15[[#This Row],[Discount Applied]]</f>
        <v>150.78000000000003</v>
      </c>
      <c r="O808" s="7" t="str">
        <f>IF(Table15[[#This Row],[Revenue]]&gt;35000,"Achieved","Not Achieved")</f>
        <v>Not Achieved</v>
      </c>
      <c r="P808" s="8">
        <v>5</v>
      </c>
      <c r="Q808" s="7" t="str">
        <f>IF(AND(Table15[[#This Row],[CSAT Score]]&lt;=3,Table15[[#This Row],[Revenue]]&gt;=20000),"High-Risk","Stable")</f>
        <v>Stable</v>
      </c>
      <c r="R808" s="8" t="str" cm="1">
        <f t="array" ref="R808">_xlfn.IFS(Table15[[#This Row],[Revenue]]&gt;=35000,"Platinum",Table15[[#This Row],[Revenue]]&gt;=15000,"Gold",TRUE,"Standard")</f>
        <v>Gold</v>
      </c>
      <c r="S808" s="8" t="str">
        <f>IF(OR(Table15[[#This Row],[Product]]="Wealth Management",Table15[[#This Row],[Revenue]]&gt;=40000),"Yes","No")</f>
        <v>Yes</v>
      </c>
    </row>
    <row r="809" spans="1:19" x14ac:dyDescent="0.3">
      <c r="A809" s="5" t="s">
        <v>867</v>
      </c>
      <c r="B809" s="6">
        <v>45972</v>
      </c>
      <c r="C809" s="7" t="s">
        <v>91</v>
      </c>
      <c r="D809" s="7" t="s">
        <v>61</v>
      </c>
      <c r="E809" s="7" t="s">
        <v>39</v>
      </c>
      <c r="F809" s="7" t="s">
        <v>22</v>
      </c>
      <c r="G809" s="7" t="s">
        <v>23</v>
      </c>
      <c r="H809" s="7" t="s">
        <v>31</v>
      </c>
      <c r="I809" s="7">
        <v>44</v>
      </c>
      <c r="J809" s="7">
        <v>25</v>
      </c>
      <c r="K809" s="20">
        <v>11053.59</v>
      </c>
      <c r="L809" s="20">
        <v>332.54</v>
      </c>
      <c r="M809" s="7">
        <v>136.16</v>
      </c>
      <c r="N809" s="20">
        <f>Table15[[#This Row],[Processing Fee]]-Table15[[#This Row],[Discount Applied]]</f>
        <v>196.38000000000002</v>
      </c>
      <c r="O809" s="7" t="str">
        <f>IF(Table15[[#This Row],[Revenue]]&gt;35000,"Achieved","Not Achieved")</f>
        <v>Not Achieved</v>
      </c>
      <c r="P809" s="8">
        <v>5</v>
      </c>
      <c r="Q809" s="7" t="str">
        <f>IF(AND(Table15[[#This Row],[CSAT Score]]&lt;=3,Table15[[#This Row],[Revenue]]&gt;=20000),"High-Risk","Stable")</f>
        <v>Stable</v>
      </c>
      <c r="R809" s="8" t="str" cm="1">
        <f t="array" ref="R809">_xlfn.IFS(Table15[[#This Row],[Revenue]]&gt;=35000,"Platinum",Table15[[#This Row],[Revenue]]&gt;=15000,"Gold",TRUE,"Standard")</f>
        <v>Standard</v>
      </c>
      <c r="S809" s="8" t="str">
        <f>IF(OR(Table15[[#This Row],[Product]]="Wealth Management",Table15[[#This Row],[Revenue]]&gt;=40000),"Yes","No")</f>
        <v>Yes</v>
      </c>
    </row>
    <row r="810" spans="1:19" x14ac:dyDescent="0.3">
      <c r="A810" s="5" t="s">
        <v>868</v>
      </c>
      <c r="B810" s="6">
        <v>45896</v>
      </c>
      <c r="C810" s="7" t="s">
        <v>75</v>
      </c>
      <c r="D810" s="7" t="s">
        <v>79</v>
      </c>
      <c r="E810" s="7" t="s">
        <v>28</v>
      </c>
      <c r="F810" s="7" t="s">
        <v>40</v>
      </c>
      <c r="G810" s="7" t="s">
        <v>65</v>
      </c>
      <c r="H810" s="7" t="s">
        <v>53</v>
      </c>
      <c r="I810" s="7">
        <v>42</v>
      </c>
      <c r="J810" s="7">
        <v>101</v>
      </c>
      <c r="K810" s="20">
        <v>39195.58</v>
      </c>
      <c r="L810" s="20">
        <v>214.35</v>
      </c>
      <c r="M810" s="7">
        <v>134.11000000000001</v>
      </c>
      <c r="N810" s="20">
        <f>Table15[[#This Row],[Processing Fee]]-Table15[[#This Row],[Discount Applied]]</f>
        <v>80.239999999999981</v>
      </c>
      <c r="O810" s="7" t="str">
        <f>IF(Table15[[#This Row],[Revenue]]&gt;35000,"Achieved","Not Achieved")</f>
        <v>Achieved</v>
      </c>
      <c r="P810" s="8">
        <v>1</v>
      </c>
      <c r="Q810" s="7" t="str">
        <f>IF(AND(Table15[[#This Row],[CSAT Score]]&lt;=3,Table15[[#This Row],[Revenue]]&gt;=20000),"High-Risk","Stable")</f>
        <v>High-Risk</v>
      </c>
      <c r="R810" s="8" t="str" cm="1">
        <f t="array" ref="R810">_xlfn.IFS(Table15[[#This Row],[Revenue]]&gt;=35000,"Platinum",Table15[[#This Row],[Revenue]]&gt;=15000,"Gold",TRUE,"Standard")</f>
        <v>Platinum</v>
      </c>
      <c r="S810" s="8" t="str">
        <f>IF(OR(Table15[[#This Row],[Product]]="Wealth Management",Table15[[#This Row],[Revenue]]&gt;=40000),"Yes","No")</f>
        <v>No</v>
      </c>
    </row>
    <row r="811" spans="1:19" x14ac:dyDescent="0.3">
      <c r="A811" s="5" t="s">
        <v>869</v>
      </c>
      <c r="B811" s="6">
        <v>46183</v>
      </c>
      <c r="C811" s="7" t="s">
        <v>33</v>
      </c>
      <c r="D811" s="7" t="s">
        <v>83</v>
      </c>
      <c r="E811" s="7" t="s">
        <v>21</v>
      </c>
      <c r="F811" s="7" t="s">
        <v>40</v>
      </c>
      <c r="G811" s="7" t="s">
        <v>30</v>
      </c>
      <c r="H811" s="7" t="s">
        <v>53</v>
      </c>
      <c r="I811" s="7">
        <v>22</v>
      </c>
      <c r="J811" s="7">
        <v>48</v>
      </c>
      <c r="K811" s="20">
        <v>10585.9</v>
      </c>
      <c r="L811" s="20">
        <v>290.94</v>
      </c>
      <c r="M811" s="7">
        <v>63.67</v>
      </c>
      <c r="N811" s="20">
        <f>Table15[[#This Row],[Processing Fee]]-Table15[[#This Row],[Discount Applied]]</f>
        <v>227.26999999999998</v>
      </c>
      <c r="O811" s="7" t="str">
        <f>IF(Table15[[#This Row],[Revenue]]&gt;35000,"Achieved","Not Achieved")</f>
        <v>Not Achieved</v>
      </c>
      <c r="P811" s="8">
        <v>4</v>
      </c>
      <c r="Q811" s="7" t="str">
        <f>IF(AND(Table15[[#This Row],[CSAT Score]]&lt;=3,Table15[[#This Row],[Revenue]]&gt;=20000),"High-Risk","Stable")</f>
        <v>Stable</v>
      </c>
      <c r="R811" s="8" t="str" cm="1">
        <f t="array" ref="R811">_xlfn.IFS(Table15[[#This Row],[Revenue]]&gt;=35000,"Platinum",Table15[[#This Row],[Revenue]]&gt;=15000,"Gold",TRUE,"Standard")</f>
        <v>Standard</v>
      </c>
      <c r="S811" s="8" t="str">
        <f>IF(OR(Table15[[#This Row],[Product]]="Wealth Management",Table15[[#This Row],[Revenue]]&gt;=40000),"Yes","No")</f>
        <v>No</v>
      </c>
    </row>
    <row r="812" spans="1:19" x14ac:dyDescent="0.3">
      <c r="A812" s="5" t="s">
        <v>870</v>
      </c>
      <c r="B812" s="6">
        <v>46007</v>
      </c>
      <c r="C812" s="7" t="s">
        <v>42</v>
      </c>
      <c r="D812" s="7" t="s">
        <v>61</v>
      </c>
      <c r="E812" s="7" t="s">
        <v>59</v>
      </c>
      <c r="F812" s="7" t="s">
        <v>40</v>
      </c>
      <c r="G812" s="7" t="s">
        <v>65</v>
      </c>
      <c r="H812" s="7" t="s">
        <v>24</v>
      </c>
      <c r="I812" s="7">
        <v>64</v>
      </c>
      <c r="J812" s="7">
        <v>43</v>
      </c>
      <c r="K812" s="20">
        <v>13402.75</v>
      </c>
      <c r="L812" s="20">
        <v>404.78</v>
      </c>
      <c r="M812" s="7">
        <v>76.25</v>
      </c>
      <c r="N812" s="20">
        <f>Table15[[#This Row],[Processing Fee]]-Table15[[#This Row],[Discount Applied]]</f>
        <v>328.53</v>
      </c>
      <c r="O812" s="7" t="str">
        <f>IF(Table15[[#This Row],[Revenue]]&gt;35000,"Achieved","Not Achieved")</f>
        <v>Not Achieved</v>
      </c>
      <c r="P812" s="8">
        <v>2</v>
      </c>
      <c r="Q812" s="7" t="str">
        <f>IF(AND(Table15[[#This Row],[CSAT Score]]&lt;=3,Table15[[#This Row],[Revenue]]&gt;=20000),"High-Risk","Stable")</f>
        <v>Stable</v>
      </c>
      <c r="R812" s="8" t="str" cm="1">
        <f t="array" ref="R812">_xlfn.IFS(Table15[[#This Row],[Revenue]]&gt;=35000,"Platinum",Table15[[#This Row],[Revenue]]&gt;=15000,"Gold",TRUE,"Standard")</f>
        <v>Standard</v>
      </c>
      <c r="S812" s="8" t="str">
        <f>IF(OR(Table15[[#This Row],[Product]]="Wealth Management",Table15[[#This Row],[Revenue]]&gt;=40000),"Yes","No")</f>
        <v>No</v>
      </c>
    </row>
    <row r="813" spans="1:19" x14ac:dyDescent="0.3">
      <c r="A813" s="5" t="s">
        <v>871</v>
      </c>
      <c r="B813" s="6">
        <v>46054</v>
      </c>
      <c r="C813" s="7" t="s">
        <v>42</v>
      </c>
      <c r="D813" s="7" t="s">
        <v>87</v>
      </c>
      <c r="E813" s="7" t="s">
        <v>59</v>
      </c>
      <c r="F813" s="7" t="s">
        <v>29</v>
      </c>
      <c r="G813" s="7" t="s">
        <v>30</v>
      </c>
      <c r="H813" s="7" t="s">
        <v>31</v>
      </c>
      <c r="I813" s="7">
        <v>26</v>
      </c>
      <c r="J813" s="7">
        <v>117</v>
      </c>
      <c r="K813" s="20">
        <v>5080.16</v>
      </c>
      <c r="L813" s="20">
        <v>418.15</v>
      </c>
      <c r="M813" s="7">
        <v>297.20999999999998</v>
      </c>
      <c r="N813" s="20">
        <f>Table15[[#This Row],[Processing Fee]]-Table15[[#This Row],[Discount Applied]]</f>
        <v>120.94</v>
      </c>
      <c r="O813" s="7" t="str">
        <f>IF(Table15[[#This Row],[Revenue]]&gt;35000,"Achieved","Not Achieved")</f>
        <v>Not Achieved</v>
      </c>
      <c r="P813" s="8">
        <v>5</v>
      </c>
      <c r="Q813" s="7" t="str">
        <f>IF(AND(Table15[[#This Row],[CSAT Score]]&lt;=3,Table15[[#This Row],[Revenue]]&gt;=20000),"High-Risk","Stable")</f>
        <v>Stable</v>
      </c>
      <c r="R813" s="8" t="str" cm="1">
        <f t="array" ref="R813">_xlfn.IFS(Table15[[#This Row],[Revenue]]&gt;=35000,"Platinum",Table15[[#This Row],[Revenue]]&gt;=15000,"Gold",TRUE,"Standard")</f>
        <v>Standard</v>
      </c>
      <c r="S813" s="8" t="str">
        <f>IF(OR(Table15[[#This Row],[Product]]="Wealth Management",Table15[[#This Row],[Revenue]]&gt;=40000),"Yes","No")</f>
        <v>No</v>
      </c>
    </row>
    <row r="814" spans="1:19" x14ac:dyDescent="0.3">
      <c r="A814" s="5" t="s">
        <v>872</v>
      </c>
      <c r="B814" s="6">
        <v>45992</v>
      </c>
      <c r="C814" s="7" t="s">
        <v>91</v>
      </c>
      <c r="D814" s="7" t="s">
        <v>34</v>
      </c>
      <c r="E814" s="7" t="s">
        <v>59</v>
      </c>
      <c r="F814" s="7" t="s">
        <v>29</v>
      </c>
      <c r="G814" s="7" t="s">
        <v>30</v>
      </c>
      <c r="H814" s="7" t="s">
        <v>24</v>
      </c>
      <c r="I814" s="7">
        <v>62</v>
      </c>
      <c r="J814" s="7">
        <v>38</v>
      </c>
      <c r="K814" s="20">
        <v>20271.900000000001</v>
      </c>
      <c r="L814" s="20">
        <v>481.06</v>
      </c>
      <c r="M814" s="7">
        <v>49.52</v>
      </c>
      <c r="N814" s="20">
        <f>Table15[[#This Row],[Processing Fee]]-Table15[[#This Row],[Discount Applied]]</f>
        <v>431.54</v>
      </c>
      <c r="O814" s="7" t="str">
        <f>IF(Table15[[#This Row],[Revenue]]&gt;35000,"Achieved","Not Achieved")</f>
        <v>Not Achieved</v>
      </c>
      <c r="P814" s="8">
        <v>2</v>
      </c>
      <c r="Q814" s="7" t="str">
        <f>IF(AND(Table15[[#This Row],[CSAT Score]]&lt;=3,Table15[[#This Row],[Revenue]]&gt;=20000),"High-Risk","Stable")</f>
        <v>High-Risk</v>
      </c>
      <c r="R814" s="8" t="str" cm="1">
        <f t="array" ref="R814">_xlfn.IFS(Table15[[#This Row],[Revenue]]&gt;=35000,"Platinum",Table15[[#This Row],[Revenue]]&gt;=15000,"Gold",TRUE,"Standard")</f>
        <v>Gold</v>
      </c>
      <c r="S814" s="8" t="str">
        <f>IF(OR(Table15[[#This Row],[Product]]="Wealth Management",Table15[[#This Row],[Revenue]]&gt;=40000),"Yes","No")</f>
        <v>No</v>
      </c>
    </row>
    <row r="815" spans="1:19" x14ac:dyDescent="0.3">
      <c r="A815" s="5" t="s">
        <v>873</v>
      </c>
      <c r="B815" s="6">
        <v>45989</v>
      </c>
      <c r="C815" s="7" t="s">
        <v>26</v>
      </c>
      <c r="D815" s="7" t="s">
        <v>68</v>
      </c>
      <c r="E815" s="7" t="s">
        <v>21</v>
      </c>
      <c r="F815" s="7" t="s">
        <v>22</v>
      </c>
      <c r="G815" s="7" t="s">
        <v>56</v>
      </c>
      <c r="H815" s="7" t="s">
        <v>57</v>
      </c>
      <c r="I815" s="7">
        <v>45</v>
      </c>
      <c r="J815" s="7">
        <v>41</v>
      </c>
      <c r="K815" s="20">
        <v>21237</v>
      </c>
      <c r="L815" s="20">
        <v>420.92</v>
      </c>
      <c r="M815" s="7">
        <v>101.29</v>
      </c>
      <c r="N815" s="20">
        <f>Table15[[#This Row],[Processing Fee]]-Table15[[#This Row],[Discount Applied]]</f>
        <v>319.63</v>
      </c>
      <c r="O815" s="7" t="str">
        <f>IF(Table15[[#This Row],[Revenue]]&gt;35000,"Achieved","Not Achieved")</f>
        <v>Not Achieved</v>
      </c>
      <c r="P815" s="8">
        <v>2</v>
      </c>
      <c r="Q815" s="7" t="str">
        <f>IF(AND(Table15[[#This Row],[CSAT Score]]&lt;=3,Table15[[#This Row],[Revenue]]&gt;=20000),"High-Risk","Stable")</f>
        <v>High-Risk</v>
      </c>
      <c r="R815" s="8" t="str" cm="1">
        <f t="array" ref="R815">_xlfn.IFS(Table15[[#This Row],[Revenue]]&gt;=35000,"Platinum",Table15[[#This Row],[Revenue]]&gt;=15000,"Gold",TRUE,"Standard")</f>
        <v>Gold</v>
      </c>
      <c r="S815" s="8" t="str">
        <f>IF(OR(Table15[[#This Row],[Product]]="Wealth Management",Table15[[#This Row],[Revenue]]&gt;=40000),"Yes","No")</f>
        <v>Yes</v>
      </c>
    </row>
    <row r="816" spans="1:19" x14ac:dyDescent="0.3">
      <c r="A816" s="5" t="s">
        <v>874</v>
      </c>
      <c r="B816" s="6">
        <v>45928</v>
      </c>
      <c r="C816" s="7" t="s">
        <v>26</v>
      </c>
      <c r="D816" s="7" t="s">
        <v>63</v>
      </c>
      <c r="E816" s="7" t="s">
        <v>21</v>
      </c>
      <c r="F816" s="7" t="s">
        <v>40</v>
      </c>
      <c r="G816" s="7" t="s">
        <v>65</v>
      </c>
      <c r="H816" s="7" t="s">
        <v>24</v>
      </c>
      <c r="I816" s="7">
        <v>41</v>
      </c>
      <c r="J816" s="7">
        <v>45</v>
      </c>
      <c r="K816" s="20">
        <v>25970.81</v>
      </c>
      <c r="L816" s="20">
        <v>304.18</v>
      </c>
      <c r="M816" s="7">
        <v>168.88</v>
      </c>
      <c r="N816" s="20">
        <f>Table15[[#This Row],[Processing Fee]]-Table15[[#This Row],[Discount Applied]]</f>
        <v>135.30000000000001</v>
      </c>
      <c r="O816" s="7" t="str">
        <f>IF(Table15[[#This Row],[Revenue]]&gt;35000,"Achieved","Not Achieved")</f>
        <v>Not Achieved</v>
      </c>
      <c r="P816" s="8">
        <v>5</v>
      </c>
      <c r="Q816" s="7" t="str">
        <f>IF(AND(Table15[[#This Row],[CSAT Score]]&lt;=3,Table15[[#This Row],[Revenue]]&gt;=20000),"High-Risk","Stable")</f>
        <v>Stable</v>
      </c>
      <c r="R816" s="8" t="str" cm="1">
        <f t="array" ref="R816">_xlfn.IFS(Table15[[#This Row],[Revenue]]&gt;=35000,"Platinum",Table15[[#This Row],[Revenue]]&gt;=15000,"Gold",TRUE,"Standard")</f>
        <v>Gold</v>
      </c>
      <c r="S816" s="8" t="str">
        <f>IF(OR(Table15[[#This Row],[Product]]="Wealth Management",Table15[[#This Row],[Revenue]]&gt;=40000),"Yes","No")</f>
        <v>No</v>
      </c>
    </row>
    <row r="817" spans="1:19" x14ac:dyDescent="0.3">
      <c r="A817" s="5" t="s">
        <v>875</v>
      </c>
      <c r="B817" s="6">
        <v>45896</v>
      </c>
      <c r="C817" s="7" t="s">
        <v>33</v>
      </c>
      <c r="D817" s="7" t="s">
        <v>34</v>
      </c>
      <c r="E817" s="7" t="s">
        <v>46</v>
      </c>
      <c r="F817" s="7" t="s">
        <v>29</v>
      </c>
      <c r="G817" s="7" t="s">
        <v>56</v>
      </c>
      <c r="H817" s="7" t="s">
        <v>24</v>
      </c>
      <c r="I817" s="7">
        <v>36</v>
      </c>
      <c r="J817" s="7">
        <v>88</v>
      </c>
      <c r="K817" s="20">
        <v>35593.730000000003</v>
      </c>
      <c r="L817" s="20">
        <v>130.85</v>
      </c>
      <c r="M817" s="7">
        <v>47.84</v>
      </c>
      <c r="N817" s="20">
        <f>Table15[[#This Row],[Processing Fee]]-Table15[[#This Row],[Discount Applied]]</f>
        <v>83.009999999999991</v>
      </c>
      <c r="O817" s="7" t="str">
        <f>IF(Table15[[#This Row],[Revenue]]&gt;35000,"Achieved","Not Achieved")</f>
        <v>Achieved</v>
      </c>
      <c r="P817" s="8">
        <v>4</v>
      </c>
      <c r="Q817" s="7" t="str">
        <f>IF(AND(Table15[[#This Row],[CSAT Score]]&lt;=3,Table15[[#This Row],[Revenue]]&gt;=20000),"High-Risk","Stable")</f>
        <v>Stable</v>
      </c>
      <c r="R817" s="8" t="str" cm="1">
        <f t="array" ref="R817">_xlfn.IFS(Table15[[#This Row],[Revenue]]&gt;=35000,"Platinum",Table15[[#This Row],[Revenue]]&gt;=15000,"Gold",TRUE,"Standard")</f>
        <v>Platinum</v>
      </c>
      <c r="S817" s="8" t="str">
        <f>IF(OR(Table15[[#This Row],[Product]]="Wealth Management",Table15[[#This Row],[Revenue]]&gt;=40000),"Yes","No")</f>
        <v>No</v>
      </c>
    </row>
    <row r="818" spans="1:19" x14ac:dyDescent="0.3">
      <c r="A818" s="5" t="s">
        <v>876</v>
      </c>
      <c r="B818" s="6">
        <v>46007</v>
      </c>
      <c r="C818" s="7" t="s">
        <v>91</v>
      </c>
      <c r="D818" s="7" t="s">
        <v>61</v>
      </c>
      <c r="E818" s="7" t="s">
        <v>28</v>
      </c>
      <c r="F818" s="7" t="s">
        <v>69</v>
      </c>
      <c r="G818" s="7" t="s">
        <v>30</v>
      </c>
      <c r="H818" s="7" t="s">
        <v>53</v>
      </c>
      <c r="I818" s="7">
        <v>51</v>
      </c>
      <c r="J818" s="7">
        <v>40</v>
      </c>
      <c r="K818" s="20">
        <v>45352</v>
      </c>
      <c r="L818" s="20">
        <v>94.89</v>
      </c>
      <c r="M818" s="7">
        <v>83.04</v>
      </c>
      <c r="N818" s="20">
        <f>Table15[[#This Row],[Processing Fee]]-Table15[[#This Row],[Discount Applied]]</f>
        <v>11.849999999999994</v>
      </c>
      <c r="O818" s="7" t="str">
        <f>IF(Table15[[#This Row],[Revenue]]&gt;35000,"Achieved","Not Achieved")</f>
        <v>Achieved</v>
      </c>
      <c r="P818" s="8">
        <v>2</v>
      </c>
      <c r="Q818" s="7" t="str">
        <f>IF(AND(Table15[[#This Row],[CSAT Score]]&lt;=3,Table15[[#This Row],[Revenue]]&gt;=20000),"High-Risk","Stable")</f>
        <v>High-Risk</v>
      </c>
      <c r="R818" s="8" t="str" cm="1">
        <f t="array" ref="R818">_xlfn.IFS(Table15[[#This Row],[Revenue]]&gt;=35000,"Platinum",Table15[[#This Row],[Revenue]]&gt;=15000,"Gold",TRUE,"Standard")</f>
        <v>Platinum</v>
      </c>
      <c r="S818" s="8" t="str">
        <f>IF(OR(Table15[[#This Row],[Product]]="Wealth Management",Table15[[#This Row],[Revenue]]&gt;=40000),"Yes","No")</f>
        <v>Yes</v>
      </c>
    </row>
    <row r="819" spans="1:19" x14ac:dyDescent="0.3">
      <c r="A819" s="5" t="s">
        <v>877</v>
      </c>
      <c r="B819" s="6">
        <v>46068</v>
      </c>
      <c r="C819" s="7" t="s">
        <v>42</v>
      </c>
      <c r="D819" s="7" t="s">
        <v>38</v>
      </c>
      <c r="E819" s="7" t="s">
        <v>46</v>
      </c>
      <c r="F819" s="7" t="s">
        <v>22</v>
      </c>
      <c r="G819" s="7" t="s">
        <v>23</v>
      </c>
      <c r="H819" s="7" t="s">
        <v>24</v>
      </c>
      <c r="I819" s="7">
        <v>34</v>
      </c>
      <c r="J819" s="7">
        <v>110</v>
      </c>
      <c r="K819" s="20">
        <v>7317.84</v>
      </c>
      <c r="L819" s="20">
        <v>74.53</v>
      </c>
      <c r="M819" s="7">
        <v>123.02</v>
      </c>
      <c r="N819" s="20">
        <f>Table15[[#This Row],[Processing Fee]]-Table15[[#This Row],[Discount Applied]]</f>
        <v>-48.489999999999995</v>
      </c>
      <c r="O819" s="7" t="str">
        <f>IF(Table15[[#This Row],[Revenue]]&gt;35000,"Achieved","Not Achieved")</f>
        <v>Not Achieved</v>
      </c>
      <c r="P819" s="8">
        <v>3</v>
      </c>
      <c r="Q819" s="7" t="str">
        <f>IF(AND(Table15[[#This Row],[CSAT Score]]&lt;=3,Table15[[#This Row],[Revenue]]&gt;=20000),"High-Risk","Stable")</f>
        <v>Stable</v>
      </c>
      <c r="R819" s="8" t="str" cm="1">
        <f t="array" ref="R819">_xlfn.IFS(Table15[[#This Row],[Revenue]]&gt;=35000,"Platinum",Table15[[#This Row],[Revenue]]&gt;=15000,"Gold",TRUE,"Standard")</f>
        <v>Standard</v>
      </c>
      <c r="S819" s="8" t="str">
        <f>IF(OR(Table15[[#This Row],[Product]]="Wealth Management",Table15[[#This Row],[Revenue]]&gt;=40000),"Yes","No")</f>
        <v>Yes</v>
      </c>
    </row>
    <row r="820" spans="1:19" x14ac:dyDescent="0.3">
      <c r="A820" s="5" t="s">
        <v>878</v>
      </c>
      <c r="B820" s="6">
        <v>45926</v>
      </c>
      <c r="C820" s="7" t="s">
        <v>26</v>
      </c>
      <c r="D820" s="7" t="s">
        <v>79</v>
      </c>
      <c r="E820" s="7" t="s">
        <v>28</v>
      </c>
      <c r="F820" s="7" t="s">
        <v>35</v>
      </c>
      <c r="G820" s="7" t="s">
        <v>30</v>
      </c>
      <c r="H820" s="7" t="s">
        <v>31</v>
      </c>
      <c r="I820" s="7">
        <v>59</v>
      </c>
      <c r="J820" s="7">
        <v>97</v>
      </c>
      <c r="K820" s="20">
        <v>3190.23</v>
      </c>
      <c r="L820" s="20">
        <v>349.94</v>
      </c>
      <c r="M820" s="7">
        <v>144.36000000000001</v>
      </c>
      <c r="N820" s="20">
        <f>Table15[[#This Row],[Processing Fee]]-Table15[[#This Row],[Discount Applied]]</f>
        <v>205.57999999999998</v>
      </c>
      <c r="O820" s="7" t="str">
        <f>IF(Table15[[#This Row],[Revenue]]&gt;35000,"Achieved","Not Achieved")</f>
        <v>Not Achieved</v>
      </c>
      <c r="P820" s="8">
        <v>2</v>
      </c>
      <c r="Q820" s="7" t="str">
        <f>IF(AND(Table15[[#This Row],[CSAT Score]]&lt;=3,Table15[[#This Row],[Revenue]]&gt;=20000),"High-Risk","Stable")</f>
        <v>Stable</v>
      </c>
      <c r="R820" s="8" t="str" cm="1">
        <f t="array" ref="R820">_xlfn.IFS(Table15[[#This Row],[Revenue]]&gt;=35000,"Platinum",Table15[[#This Row],[Revenue]]&gt;=15000,"Gold",TRUE,"Standard")</f>
        <v>Standard</v>
      </c>
      <c r="S820" s="8" t="str">
        <f>IF(OR(Table15[[#This Row],[Product]]="Wealth Management",Table15[[#This Row],[Revenue]]&gt;=40000),"Yes","No")</f>
        <v>No</v>
      </c>
    </row>
    <row r="821" spans="1:19" x14ac:dyDescent="0.3">
      <c r="A821" s="5" t="s">
        <v>879</v>
      </c>
      <c r="B821" s="6">
        <v>46068</v>
      </c>
      <c r="C821" s="7" t="s">
        <v>91</v>
      </c>
      <c r="D821" s="7" t="s">
        <v>68</v>
      </c>
      <c r="E821" s="7" t="s">
        <v>21</v>
      </c>
      <c r="F821" s="7" t="s">
        <v>22</v>
      </c>
      <c r="G821" s="7" t="s">
        <v>56</v>
      </c>
      <c r="H821" s="7" t="s">
        <v>53</v>
      </c>
      <c r="I821" s="7">
        <v>48</v>
      </c>
      <c r="J821" s="7">
        <v>17</v>
      </c>
      <c r="K821" s="20">
        <v>1417.3</v>
      </c>
      <c r="L821" s="20">
        <v>413.39</v>
      </c>
      <c r="M821" s="7">
        <v>91.9</v>
      </c>
      <c r="N821" s="20">
        <f>Table15[[#This Row],[Processing Fee]]-Table15[[#This Row],[Discount Applied]]</f>
        <v>321.49</v>
      </c>
      <c r="O821" s="7" t="str">
        <f>IF(Table15[[#This Row],[Revenue]]&gt;35000,"Achieved","Not Achieved")</f>
        <v>Not Achieved</v>
      </c>
      <c r="P821" s="8">
        <v>5</v>
      </c>
      <c r="Q821" s="7" t="str">
        <f>IF(AND(Table15[[#This Row],[CSAT Score]]&lt;=3,Table15[[#This Row],[Revenue]]&gt;=20000),"High-Risk","Stable")</f>
        <v>Stable</v>
      </c>
      <c r="R821" s="8" t="str" cm="1">
        <f t="array" ref="R821">_xlfn.IFS(Table15[[#This Row],[Revenue]]&gt;=35000,"Platinum",Table15[[#This Row],[Revenue]]&gt;=15000,"Gold",TRUE,"Standard")</f>
        <v>Standard</v>
      </c>
      <c r="S821" s="8" t="str">
        <f>IF(OR(Table15[[#This Row],[Product]]="Wealth Management",Table15[[#This Row],[Revenue]]&gt;=40000),"Yes","No")</f>
        <v>Yes</v>
      </c>
    </row>
    <row r="822" spans="1:19" x14ac:dyDescent="0.3">
      <c r="A822" s="5" t="s">
        <v>880</v>
      </c>
      <c r="B822" s="6">
        <v>46073</v>
      </c>
      <c r="C822" s="7" t="s">
        <v>19</v>
      </c>
      <c r="D822" s="7" t="s">
        <v>50</v>
      </c>
      <c r="E822" s="7" t="s">
        <v>21</v>
      </c>
      <c r="F822" s="7" t="s">
        <v>35</v>
      </c>
      <c r="G822" s="7" t="s">
        <v>65</v>
      </c>
      <c r="H822" s="7" t="s">
        <v>24</v>
      </c>
      <c r="I822" s="7">
        <v>52</v>
      </c>
      <c r="J822" s="7">
        <v>88</v>
      </c>
      <c r="K822" s="20">
        <v>7609.26</v>
      </c>
      <c r="L822" s="20">
        <v>278.91000000000003</v>
      </c>
      <c r="M822" s="7">
        <v>72.5</v>
      </c>
      <c r="N822" s="20">
        <f>Table15[[#This Row],[Processing Fee]]-Table15[[#This Row],[Discount Applied]]</f>
        <v>206.41000000000003</v>
      </c>
      <c r="O822" s="7" t="str">
        <f>IF(Table15[[#This Row],[Revenue]]&gt;35000,"Achieved","Not Achieved")</f>
        <v>Not Achieved</v>
      </c>
      <c r="P822" s="8">
        <v>1</v>
      </c>
      <c r="Q822" s="7" t="str">
        <f>IF(AND(Table15[[#This Row],[CSAT Score]]&lt;=3,Table15[[#This Row],[Revenue]]&gt;=20000),"High-Risk","Stable")</f>
        <v>Stable</v>
      </c>
      <c r="R822" s="8" t="str" cm="1">
        <f t="array" ref="R822">_xlfn.IFS(Table15[[#This Row],[Revenue]]&gt;=35000,"Platinum",Table15[[#This Row],[Revenue]]&gt;=15000,"Gold",TRUE,"Standard")</f>
        <v>Standard</v>
      </c>
      <c r="S822" s="8" t="str">
        <f>IF(OR(Table15[[#This Row],[Product]]="Wealth Management",Table15[[#This Row],[Revenue]]&gt;=40000),"Yes","No")</f>
        <v>No</v>
      </c>
    </row>
    <row r="823" spans="1:19" x14ac:dyDescent="0.3">
      <c r="A823" s="5" t="s">
        <v>881</v>
      </c>
      <c r="B823" s="6">
        <v>46103</v>
      </c>
      <c r="C823" s="7" t="s">
        <v>26</v>
      </c>
      <c r="D823" s="7" t="s">
        <v>38</v>
      </c>
      <c r="E823" s="7" t="s">
        <v>46</v>
      </c>
      <c r="F823" s="7" t="s">
        <v>40</v>
      </c>
      <c r="G823" s="7" t="s">
        <v>65</v>
      </c>
      <c r="H823" s="7" t="s">
        <v>57</v>
      </c>
      <c r="I823" s="7">
        <v>48</v>
      </c>
      <c r="J823" s="7">
        <v>101</v>
      </c>
      <c r="K823" s="20">
        <v>33068.5</v>
      </c>
      <c r="L823" s="20">
        <v>74.62</v>
      </c>
      <c r="M823" s="7">
        <v>117.33</v>
      </c>
      <c r="N823" s="20">
        <f>Table15[[#This Row],[Processing Fee]]-Table15[[#This Row],[Discount Applied]]</f>
        <v>-42.709999999999994</v>
      </c>
      <c r="O823" s="7" t="str">
        <f>IF(Table15[[#This Row],[Revenue]]&gt;35000,"Achieved","Not Achieved")</f>
        <v>Not Achieved</v>
      </c>
      <c r="P823" s="8">
        <v>2</v>
      </c>
      <c r="Q823" s="7" t="str">
        <f>IF(AND(Table15[[#This Row],[CSAT Score]]&lt;=3,Table15[[#This Row],[Revenue]]&gt;=20000),"High-Risk","Stable")</f>
        <v>High-Risk</v>
      </c>
      <c r="R823" s="8" t="str" cm="1">
        <f t="array" ref="R823">_xlfn.IFS(Table15[[#This Row],[Revenue]]&gt;=35000,"Platinum",Table15[[#This Row],[Revenue]]&gt;=15000,"Gold",TRUE,"Standard")</f>
        <v>Gold</v>
      </c>
      <c r="S823" s="8" t="str">
        <f>IF(OR(Table15[[#This Row],[Product]]="Wealth Management",Table15[[#This Row],[Revenue]]&gt;=40000),"Yes","No")</f>
        <v>No</v>
      </c>
    </row>
    <row r="824" spans="1:19" x14ac:dyDescent="0.3">
      <c r="A824" s="5" t="s">
        <v>882</v>
      </c>
      <c r="B824" s="6">
        <v>45905</v>
      </c>
      <c r="C824" s="7" t="s">
        <v>75</v>
      </c>
      <c r="D824" s="7" t="s">
        <v>87</v>
      </c>
      <c r="E824" s="7" t="s">
        <v>39</v>
      </c>
      <c r="F824" s="7" t="s">
        <v>35</v>
      </c>
      <c r="G824" s="7" t="s">
        <v>56</v>
      </c>
      <c r="H824" s="7" t="s">
        <v>24</v>
      </c>
      <c r="I824" s="7">
        <v>71</v>
      </c>
      <c r="J824" s="7">
        <v>57</v>
      </c>
      <c r="K824" s="20">
        <v>36510.120000000003</v>
      </c>
      <c r="L824" s="20">
        <v>290.95999999999998</v>
      </c>
      <c r="M824" s="7">
        <v>124.87</v>
      </c>
      <c r="N824" s="20">
        <f>Table15[[#This Row],[Processing Fee]]-Table15[[#This Row],[Discount Applied]]</f>
        <v>166.08999999999997</v>
      </c>
      <c r="O824" s="7" t="str">
        <f>IF(Table15[[#This Row],[Revenue]]&gt;35000,"Achieved","Not Achieved")</f>
        <v>Achieved</v>
      </c>
      <c r="P824" s="8">
        <v>4</v>
      </c>
      <c r="Q824" s="7" t="str">
        <f>IF(AND(Table15[[#This Row],[CSAT Score]]&lt;=3,Table15[[#This Row],[Revenue]]&gt;=20000),"High-Risk","Stable")</f>
        <v>Stable</v>
      </c>
      <c r="R824" s="8" t="str" cm="1">
        <f t="array" ref="R824">_xlfn.IFS(Table15[[#This Row],[Revenue]]&gt;=35000,"Platinum",Table15[[#This Row],[Revenue]]&gt;=15000,"Gold",TRUE,"Standard")</f>
        <v>Platinum</v>
      </c>
      <c r="S824" s="8" t="str">
        <f>IF(OR(Table15[[#This Row],[Product]]="Wealth Management",Table15[[#This Row],[Revenue]]&gt;=40000),"Yes","No")</f>
        <v>No</v>
      </c>
    </row>
    <row r="825" spans="1:19" x14ac:dyDescent="0.3">
      <c r="A825" s="5" t="s">
        <v>883</v>
      </c>
      <c r="B825" s="6">
        <v>45977</v>
      </c>
      <c r="C825" s="7" t="s">
        <v>19</v>
      </c>
      <c r="D825" s="7" t="s">
        <v>38</v>
      </c>
      <c r="E825" s="7" t="s">
        <v>46</v>
      </c>
      <c r="F825" s="7" t="s">
        <v>40</v>
      </c>
      <c r="G825" s="7" t="s">
        <v>65</v>
      </c>
      <c r="H825" s="7" t="s">
        <v>24</v>
      </c>
      <c r="I825" s="7">
        <v>69</v>
      </c>
      <c r="J825" s="7">
        <v>2</v>
      </c>
      <c r="K825" s="20">
        <v>39432.03</v>
      </c>
      <c r="L825" s="20">
        <v>471.09</v>
      </c>
      <c r="M825" s="7">
        <v>130.66</v>
      </c>
      <c r="N825" s="20">
        <f>Table15[[#This Row],[Processing Fee]]-Table15[[#This Row],[Discount Applied]]</f>
        <v>340.42999999999995</v>
      </c>
      <c r="O825" s="7" t="str">
        <f>IF(Table15[[#This Row],[Revenue]]&gt;35000,"Achieved","Not Achieved")</f>
        <v>Achieved</v>
      </c>
      <c r="P825" s="8">
        <v>3</v>
      </c>
      <c r="Q825" s="7" t="str">
        <f>IF(AND(Table15[[#This Row],[CSAT Score]]&lt;=3,Table15[[#This Row],[Revenue]]&gt;=20000),"High-Risk","Stable")</f>
        <v>High-Risk</v>
      </c>
      <c r="R825" s="8" t="str" cm="1">
        <f t="array" ref="R825">_xlfn.IFS(Table15[[#This Row],[Revenue]]&gt;=35000,"Platinum",Table15[[#This Row],[Revenue]]&gt;=15000,"Gold",TRUE,"Standard")</f>
        <v>Platinum</v>
      </c>
      <c r="S825" s="8" t="str">
        <f>IF(OR(Table15[[#This Row],[Product]]="Wealth Management",Table15[[#This Row],[Revenue]]&gt;=40000),"Yes","No")</f>
        <v>No</v>
      </c>
    </row>
    <row r="826" spans="1:19" x14ac:dyDescent="0.3">
      <c r="A826" s="5" t="s">
        <v>884</v>
      </c>
      <c r="B826" s="6">
        <v>45968</v>
      </c>
      <c r="C826" s="7" t="s">
        <v>44</v>
      </c>
      <c r="D826" s="7" t="s">
        <v>20</v>
      </c>
      <c r="E826" s="7" t="s">
        <v>28</v>
      </c>
      <c r="F826" s="7" t="s">
        <v>69</v>
      </c>
      <c r="G826" s="7" t="s">
        <v>36</v>
      </c>
      <c r="H826" s="7" t="s">
        <v>24</v>
      </c>
      <c r="I826" s="7">
        <v>29</v>
      </c>
      <c r="J826" s="7">
        <v>96</v>
      </c>
      <c r="K826" s="20">
        <v>12563.56</v>
      </c>
      <c r="L826" s="20">
        <v>318.93</v>
      </c>
      <c r="M826" s="7">
        <v>14.07</v>
      </c>
      <c r="N826" s="20">
        <f>Table15[[#This Row],[Processing Fee]]-Table15[[#This Row],[Discount Applied]]</f>
        <v>304.86</v>
      </c>
      <c r="O826" s="7" t="str">
        <f>IF(Table15[[#This Row],[Revenue]]&gt;35000,"Achieved","Not Achieved")</f>
        <v>Not Achieved</v>
      </c>
      <c r="P826" s="8">
        <v>3</v>
      </c>
      <c r="Q826" s="7" t="str">
        <f>IF(AND(Table15[[#This Row],[CSAT Score]]&lt;=3,Table15[[#This Row],[Revenue]]&gt;=20000),"High-Risk","Stable")</f>
        <v>Stable</v>
      </c>
      <c r="R826" s="8" t="str" cm="1">
        <f t="array" ref="R826">_xlfn.IFS(Table15[[#This Row],[Revenue]]&gt;=35000,"Platinum",Table15[[#This Row],[Revenue]]&gt;=15000,"Gold",TRUE,"Standard")</f>
        <v>Standard</v>
      </c>
      <c r="S826" s="8" t="str">
        <f>IF(OR(Table15[[#This Row],[Product]]="Wealth Management",Table15[[#This Row],[Revenue]]&gt;=40000),"Yes","No")</f>
        <v>No</v>
      </c>
    </row>
    <row r="827" spans="1:19" x14ac:dyDescent="0.3">
      <c r="A827" s="5" t="s">
        <v>885</v>
      </c>
      <c r="B827" s="6">
        <v>45947</v>
      </c>
      <c r="C827" s="7" t="s">
        <v>26</v>
      </c>
      <c r="D827" s="7" t="s">
        <v>20</v>
      </c>
      <c r="E827" s="7" t="s">
        <v>46</v>
      </c>
      <c r="F827" s="7" t="s">
        <v>35</v>
      </c>
      <c r="G827" s="7" t="s">
        <v>23</v>
      </c>
      <c r="H827" s="7" t="s">
        <v>53</v>
      </c>
      <c r="I827" s="7">
        <v>65</v>
      </c>
      <c r="J827" s="7">
        <v>62</v>
      </c>
      <c r="K827" s="20">
        <v>15641.79</v>
      </c>
      <c r="L827" s="20">
        <v>414.24</v>
      </c>
      <c r="M827" s="7">
        <v>126.21</v>
      </c>
      <c r="N827" s="20">
        <f>Table15[[#This Row],[Processing Fee]]-Table15[[#This Row],[Discount Applied]]</f>
        <v>288.03000000000003</v>
      </c>
      <c r="O827" s="7" t="str">
        <f>IF(Table15[[#This Row],[Revenue]]&gt;35000,"Achieved","Not Achieved")</f>
        <v>Not Achieved</v>
      </c>
      <c r="P827" s="8">
        <v>1</v>
      </c>
      <c r="Q827" s="7" t="str">
        <f>IF(AND(Table15[[#This Row],[CSAT Score]]&lt;=3,Table15[[#This Row],[Revenue]]&gt;=20000),"High-Risk","Stable")</f>
        <v>Stable</v>
      </c>
      <c r="R827" s="8" t="str" cm="1">
        <f t="array" ref="R827">_xlfn.IFS(Table15[[#This Row],[Revenue]]&gt;=35000,"Platinum",Table15[[#This Row],[Revenue]]&gt;=15000,"Gold",TRUE,"Standard")</f>
        <v>Gold</v>
      </c>
      <c r="S827" s="8" t="str">
        <f>IF(OR(Table15[[#This Row],[Product]]="Wealth Management",Table15[[#This Row],[Revenue]]&gt;=40000),"Yes","No")</f>
        <v>No</v>
      </c>
    </row>
    <row r="828" spans="1:19" x14ac:dyDescent="0.3">
      <c r="A828" s="5" t="s">
        <v>886</v>
      </c>
      <c r="B828" s="6">
        <v>45920</v>
      </c>
      <c r="C828" s="7" t="s">
        <v>42</v>
      </c>
      <c r="D828" s="7" t="s">
        <v>83</v>
      </c>
      <c r="E828" s="7" t="s">
        <v>59</v>
      </c>
      <c r="F828" s="7" t="s">
        <v>22</v>
      </c>
      <c r="G828" s="7" t="s">
        <v>23</v>
      </c>
      <c r="H828" s="7" t="s">
        <v>31</v>
      </c>
      <c r="I828" s="7">
        <v>42</v>
      </c>
      <c r="J828" s="7">
        <v>88</v>
      </c>
      <c r="K828" s="20">
        <v>24415.16</v>
      </c>
      <c r="L828" s="20">
        <v>410.07</v>
      </c>
      <c r="M828" s="7">
        <v>285.98</v>
      </c>
      <c r="N828" s="20">
        <f>Table15[[#This Row],[Processing Fee]]-Table15[[#This Row],[Discount Applied]]</f>
        <v>124.08999999999997</v>
      </c>
      <c r="O828" s="7" t="str">
        <f>IF(Table15[[#This Row],[Revenue]]&gt;35000,"Achieved","Not Achieved")</f>
        <v>Not Achieved</v>
      </c>
      <c r="P828" s="8">
        <v>1</v>
      </c>
      <c r="Q828" s="7" t="str">
        <f>IF(AND(Table15[[#This Row],[CSAT Score]]&lt;=3,Table15[[#This Row],[Revenue]]&gt;=20000),"High-Risk","Stable")</f>
        <v>High-Risk</v>
      </c>
      <c r="R828" s="8" t="str" cm="1">
        <f t="array" ref="R828">_xlfn.IFS(Table15[[#This Row],[Revenue]]&gt;=35000,"Platinum",Table15[[#This Row],[Revenue]]&gt;=15000,"Gold",TRUE,"Standard")</f>
        <v>Gold</v>
      </c>
      <c r="S828" s="8" t="str">
        <f>IF(OR(Table15[[#This Row],[Product]]="Wealth Management",Table15[[#This Row],[Revenue]]&gt;=40000),"Yes","No")</f>
        <v>Yes</v>
      </c>
    </row>
    <row r="829" spans="1:19" x14ac:dyDescent="0.3">
      <c r="A829" s="5" t="s">
        <v>887</v>
      </c>
      <c r="B829" s="6">
        <v>45870</v>
      </c>
      <c r="C829" s="7" t="s">
        <v>55</v>
      </c>
      <c r="D829" s="7" t="s">
        <v>61</v>
      </c>
      <c r="E829" s="7" t="s">
        <v>28</v>
      </c>
      <c r="F829" s="7" t="s">
        <v>40</v>
      </c>
      <c r="G829" s="7" t="s">
        <v>23</v>
      </c>
      <c r="H829" s="7" t="s">
        <v>57</v>
      </c>
      <c r="I829" s="7">
        <v>52</v>
      </c>
      <c r="J829" s="7">
        <v>9</v>
      </c>
      <c r="K829" s="20">
        <v>3627.56</v>
      </c>
      <c r="L829" s="20">
        <v>469.46</v>
      </c>
      <c r="M829" s="7">
        <v>108.2</v>
      </c>
      <c r="N829" s="20">
        <f>Table15[[#This Row],[Processing Fee]]-Table15[[#This Row],[Discount Applied]]</f>
        <v>361.26</v>
      </c>
      <c r="O829" s="7" t="str">
        <f>IF(Table15[[#This Row],[Revenue]]&gt;35000,"Achieved","Not Achieved")</f>
        <v>Not Achieved</v>
      </c>
      <c r="P829" s="8">
        <v>2</v>
      </c>
      <c r="Q829" s="7" t="str">
        <f>IF(AND(Table15[[#This Row],[CSAT Score]]&lt;=3,Table15[[#This Row],[Revenue]]&gt;=20000),"High-Risk","Stable")</f>
        <v>Stable</v>
      </c>
      <c r="R829" s="8" t="str" cm="1">
        <f t="array" ref="R829">_xlfn.IFS(Table15[[#This Row],[Revenue]]&gt;=35000,"Platinum",Table15[[#This Row],[Revenue]]&gt;=15000,"Gold",TRUE,"Standard")</f>
        <v>Standard</v>
      </c>
      <c r="S829" s="8" t="str">
        <f>IF(OR(Table15[[#This Row],[Product]]="Wealth Management",Table15[[#This Row],[Revenue]]&gt;=40000),"Yes","No")</f>
        <v>No</v>
      </c>
    </row>
    <row r="830" spans="1:19" x14ac:dyDescent="0.3">
      <c r="A830" s="5" t="s">
        <v>888</v>
      </c>
      <c r="B830" s="6">
        <v>46165</v>
      </c>
      <c r="C830" s="7" t="s">
        <v>19</v>
      </c>
      <c r="D830" s="7" t="s">
        <v>48</v>
      </c>
      <c r="E830" s="7" t="s">
        <v>28</v>
      </c>
      <c r="F830" s="7" t="s">
        <v>22</v>
      </c>
      <c r="G830" s="7" t="s">
        <v>65</v>
      </c>
      <c r="H830" s="7" t="s">
        <v>24</v>
      </c>
      <c r="I830" s="7">
        <v>25</v>
      </c>
      <c r="J830" s="7">
        <v>68</v>
      </c>
      <c r="K830" s="20">
        <v>30751.51</v>
      </c>
      <c r="L830" s="20">
        <v>396.6</v>
      </c>
      <c r="M830" s="7">
        <v>143.05000000000001</v>
      </c>
      <c r="N830" s="20">
        <f>Table15[[#This Row],[Processing Fee]]-Table15[[#This Row],[Discount Applied]]</f>
        <v>253.55</v>
      </c>
      <c r="O830" s="7" t="str">
        <f>IF(Table15[[#This Row],[Revenue]]&gt;35000,"Achieved","Not Achieved")</f>
        <v>Not Achieved</v>
      </c>
      <c r="P830" s="8">
        <v>5</v>
      </c>
      <c r="Q830" s="7" t="str">
        <f>IF(AND(Table15[[#This Row],[CSAT Score]]&lt;=3,Table15[[#This Row],[Revenue]]&gt;=20000),"High-Risk","Stable")</f>
        <v>Stable</v>
      </c>
      <c r="R830" s="8" t="str" cm="1">
        <f t="array" ref="R830">_xlfn.IFS(Table15[[#This Row],[Revenue]]&gt;=35000,"Platinum",Table15[[#This Row],[Revenue]]&gt;=15000,"Gold",TRUE,"Standard")</f>
        <v>Gold</v>
      </c>
      <c r="S830" s="8" t="str">
        <f>IF(OR(Table15[[#This Row],[Product]]="Wealth Management",Table15[[#This Row],[Revenue]]&gt;=40000),"Yes","No")</f>
        <v>Yes</v>
      </c>
    </row>
    <row r="831" spans="1:19" x14ac:dyDescent="0.3">
      <c r="A831" s="5" t="s">
        <v>889</v>
      </c>
      <c r="B831" s="6">
        <v>46211</v>
      </c>
      <c r="C831" s="7" t="s">
        <v>44</v>
      </c>
      <c r="D831" s="7" t="s">
        <v>77</v>
      </c>
      <c r="E831" s="7" t="s">
        <v>39</v>
      </c>
      <c r="F831" s="7" t="s">
        <v>29</v>
      </c>
      <c r="G831" s="7" t="s">
        <v>65</v>
      </c>
      <c r="H831" s="7" t="s">
        <v>31</v>
      </c>
      <c r="I831" s="7">
        <v>43</v>
      </c>
      <c r="J831" s="7">
        <v>81</v>
      </c>
      <c r="K831" s="20">
        <v>49194.879999999997</v>
      </c>
      <c r="L831" s="20">
        <v>386.47</v>
      </c>
      <c r="M831" s="7">
        <v>167.02</v>
      </c>
      <c r="N831" s="20">
        <f>Table15[[#This Row],[Processing Fee]]-Table15[[#This Row],[Discount Applied]]</f>
        <v>219.45000000000002</v>
      </c>
      <c r="O831" s="7" t="str">
        <f>IF(Table15[[#This Row],[Revenue]]&gt;35000,"Achieved","Not Achieved")</f>
        <v>Achieved</v>
      </c>
      <c r="P831" s="8">
        <v>4</v>
      </c>
      <c r="Q831" s="7" t="str">
        <f>IF(AND(Table15[[#This Row],[CSAT Score]]&lt;=3,Table15[[#This Row],[Revenue]]&gt;=20000),"High-Risk","Stable")</f>
        <v>Stable</v>
      </c>
      <c r="R831" s="8" t="str" cm="1">
        <f t="array" ref="R831">_xlfn.IFS(Table15[[#This Row],[Revenue]]&gt;=35000,"Platinum",Table15[[#This Row],[Revenue]]&gt;=15000,"Gold",TRUE,"Standard")</f>
        <v>Platinum</v>
      </c>
      <c r="S831" s="8" t="str">
        <f>IF(OR(Table15[[#This Row],[Product]]="Wealth Management",Table15[[#This Row],[Revenue]]&gt;=40000),"Yes","No")</f>
        <v>Yes</v>
      </c>
    </row>
    <row r="832" spans="1:19" x14ac:dyDescent="0.3">
      <c r="A832" s="5" t="s">
        <v>890</v>
      </c>
      <c r="B832" s="6">
        <v>45883</v>
      </c>
      <c r="C832" s="7" t="s">
        <v>33</v>
      </c>
      <c r="D832" s="7" t="s">
        <v>77</v>
      </c>
      <c r="E832" s="7" t="s">
        <v>21</v>
      </c>
      <c r="F832" s="7" t="s">
        <v>40</v>
      </c>
      <c r="G832" s="7" t="s">
        <v>30</v>
      </c>
      <c r="H832" s="7" t="s">
        <v>31</v>
      </c>
      <c r="I832" s="7">
        <v>25</v>
      </c>
      <c r="J832" s="7">
        <v>17</v>
      </c>
      <c r="K832" s="20">
        <v>18359.91</v>
      </c>
      <c r="L832" s="20">
        <v>155.35</v>
      </c>
      <c r="M832" s="7">
        <v>256.42</v>
      </c>
      <c r="N832" s="20">
        <f>Table15[[#This Row],[Processing Fee]]-Table15[[#This Row],[Discount Applied]]</f>
        <v>-101.07000000000002</v>
      </c>
      <c r="O832" s="7" t="str">
        <f>IF(Table15[[#This Row],[Revenue]]&gt;35000,"Achieved","Not Achieved")</f>
        <v>Not Achieved</v>
      </c>
      <c r="P832" s="8">
        <v>3</v>
      </c>
      <c r="Q832" s="7" t="str">
        <f>IF(AND(Table15[[#This Row],[CSAT Score]]&lt;=3,Table15[[#This Row],[Revenue]]&gt;=20000),"High-Risk","Stable")</f>
        <v>Stable</v>
      </c>
      <c r="R832" s="8" t="str" cm="1">
        <f t="array" ref="R832">_xlfn.IFS(Table15[[#This Row],[Revenue]]&gt;=35000,"Platinum",Table15[[#This Row],[Revenue]]&gt;=15000,"Gold",TRUE,"Standard")</f>
        <v>Gold</v>
      </c>
      <c r="S832" s="8" t="str">
        <f>IF(OR(Table15[[#This Row],[Product]]="Wealth Management",Table15[[#This Row],[Revenue]]&gt;=40000),"Yes","No")</f>
        <v>No</v>
      </c>
    </row>
    <row r="833" spans="1:19" x14ac:dyDescent="0.3">
      <c r="A833" s="5" t="s">
        <v>891</v>
      </c>
      <c r="B833" s="6">
        <v>45974</v>
      </c>
      <c r="C833" s="7" t="s">
        <v>33</v>
      </c>
      <c r="D833" s="7" t="s">
        <v>50</v>
      </c>
      <c r="E833" s="7" t="s">
        <v>28</v>
      </c>
      <c r="F833" s="7" t="s">
        <v>35</v>
      </c>
      <c r="G833" s="7" t="s">
        <v>30</v>
      </c>
      <c r="H833" s="7" t="s">
        <v>53</v>
      </c>
      <c r="I833" s="7">
        <v>62</v>
      </c>
      <c r="J833" s="7">
        <v>117</v>
      </c>
      <c r="K833" s="20">
        <v>37765.949999999997</v>
      </c>
      <c r="L833" s="20">
        <v>76.97</v>
      </c>
      <c r="M833" s="7">
        <v>185.92</v>
      </c>
      <c r="N833" s="20">
        <f>Table15[[#This Row],[Processing Fee]]-Table15[[#This Row],[Discount Applied]]</f>
        <v>-108.94999999999999</v>
      </c>
      <c r="O833" s="7" t="str">
        <f>IF(Table15[[#This Row],[Revenue]]&gt;35000,"Achieved","Not Achieved")</f>
        <v>Achieved</v>
      </c>
      <c r="P833" s="8">
        <v>1</v>
      </c>
      <c r="Q833" s="7" t="str">
        <f>IF(AND(Table15[[#This Row],[CSAT Score]]&lt;=3,Table15[[#This Row],[Revenue]]&gt;=20000),"High-Risk","Stable")</f>
        <v>High-Risk</v>
      </c>
      <c r="R833" s="8" t="str" cm="1">
        <f t="array" ref="R833">_xlfn.IFS(Table15[[#This Row],[Revenue]]&gt;=35000,"Platinum",Table15[[#This Row],[Revenue]]&gt;=15000,"Gold",TRUE,"Standard")</f>
        <v>Platinum</v>
      </c>
      <c r="S833" s="8" t="str">
        <f>IF(OR(Table15[[#This Row],[Product]]="Wealth Management",Table15[[#This Row],[Revenue]]&gt;=40000),"Yes","No")</f>
        <v>No</v>
      </c>
    </row>
    <row r="834" spans="1:19" x14ac:dyDescent="0.3">
      <c r="A834" s="5" t="s">
        <v>892</v>
      </c>
      <c r="B834" s="6">
        <v>46033</v>
      </c>
      <c r="C834" s="7" t="s">
        <v>42</v>
      </c>
      <c r="D834" s="7" t="s">
        <v>50</v>
      </c>
      <c r="E834" s="7" t="s">
        <v>21</v>
      </c>
      <c r="F834" s="7" t="s">
        <v>40</v>
      </c>
      <c r="G834" s="7" t="s">
        <v>23</v>
      </c>
      <c r="H834" s="7" t="s">
        <v>57</v>
      </c>
      <c r="I834" s="7">
        <v>73</v>
      </c>
      <c r="J834" s="7">
        <v>50</v>
      </c>
      <c r="K834" s="20">
        <v>25251.68</v>
      </c>
      <c r="L834" s="20">
        <v>282.92</v>
      </c>
      <c r="M834" s="7">
        <v>36.840000000000003</v>
      </c>
      <c r="N834" s="20">
        <f>Table15[[#This Row],[Processing Fee]]-Table15[[#This Row],[Discount Applied]]</f>
        <v>246.08</v>
      </c>
      <c r="O834" s="7" t="str">
        <f>IF(Table15[[#This Row],[Revenue]]&gt;35000,"Achieved","Not Achieved")</f>
        <v>Not Achieved</v>
      </c>
      <c r="P834" s="8">
        <v>4</v>
      </c>
      <c r="Q834" s="7" t="str">
        <f>IF(AND(Table15[[#This Row],[CSAT Score]]&lt;=3,Table15[[#This Row],[Revenue]]&gt;=20000),"High-Risk","Stable")</f>
        <v>Stable</v>
      </c>
      <c r="R834" s="8" t="str" cm="1">
        <f t="array" ref="R834">_xlfn.IFS(Table15[[#This Row],[Revenue]]&gt;=35000,"Platinum",Table15[[#This Row],[Revenue]]&gt;=15000,"Gold",TRUE,"Standard")</f>
        <v>Gold</v>
      </c>
      <c r="S834" s="8" t="str">
        <f>IF(OR(Table15[[#This Row],[Product]]="Wealth Management",Table15[[#This Row],[Revenue]]&gt;=40000),"Yes","No")</f>
        <v>No</v>
      </c>
    </row>
    <row r="835" spans="1:19" x14ac:dyDescent="0.3">
      <c r="A835" s="5" t="s">
        <v>893</v>
      </c>
      <c r="B835" s="6">
        <v>46085</v>
      </c>
      <c r="C835" s="7" t="s">
        <v>26</v>
      </c>
      <c r="D835" s="7" t="s">
        <v>68</v>
      </c>
      <c r="E835" s="7" t="s">
        <v>46</v>
      </c>
      <c r="F835" s="7" t="s">
        <v>22</v>
      </c>
      <c r="G835" s="7" t="s">
        <v>36</v>
      </c>
      <c r="H835" s="7" t="s">
        <v>53</v>
      </c>
      <c r="I835" s="7">
        <v>52</v>
      </c>
      <c r="J835" s="7">
        <v>112</v>
      </c>
      <c r="K835" s="20">
        <v>6826.69</v>
      </c>
      <c r="L835" s="20">
        <v>106</v>
      </c>
      <c r="M835" s="7">
        <v>87.37</v>
      </c>
      <c r="N835" s="20">
        <f>Table15[[#This Row],[Processing Fee]]-Table15[[#This Row],[Discount Applied]]</f>
        <v>18.629999999999995</v>
      </c>
      <c r="O835" s="7" t="str">
        <f>IF(Table15[[#This Row],[Revenue]]&gt;35000,"Achieved","Not Achieved")</f>
        <v>Not Achieved</v>
      </c>
      <c r="P835" s="8">
        <v>5</v>
      </c>
      <c r="Q835" s="7" t="str">
        <f>IF(AND(Table15[[#This Row],[CSAT Score]]&lt;=3,Table15[[#This Row],[Revenue]]&gt;=20000),"High-Risk","Stable")</f>
        <v>Stable</v>
      </c>
      <c r="R835" s="8" t="str" cm="1">
        <f t="array" ref="R835">_xlfn.IFS(Table15[[#This Row],[Revenue]]&gt;=35000,"Platinum",Table15[[#This Row],[Revenue]]&gt;=15000,"Gold",TRUE,"Standard")</f>
        <v>Standard</v>
      </c>
      <c r="S835" s="8" t="str">
        <f>IF(OR(Table15[[#This Row],[Product]]="Wealth Management",Table15[[#This Row],[Revenue]]&gt;=40000),"Yes","No")</f>
        <v>Yes</v>
      </c>
    </row>
    <row r="836" spans="1:19" x14ac:dyDescent="0.3">
      <c r="A836" s="5" t="s">
        <v>894</v>
      </c>
      <c r="B836" s="6">
        <v>45977</v>
      </c>
      <c r="C836" s="7" t="s">
        <v>91</v>
      </c>
      <c r="D836" s="7" t="s">
        <v>87</v>
      </c>
      <c r="E836" s="7" t="s">
        <v>59</v>
      </c>
      <c r="F836" s="7" t="s">
        <v>69</v>
      </c>
      <c r="G836" s="7" t="s">
        <v>30</v>
      </c>
      <c r="H836" s="7" t="s">
        <v>31</v>
      </c>
      <c r="I836" s="7">
        <v>30</v>
      </c>
      <c r="J836" s="7">
        <v>94</v>
      </c>
      <c r="K836" s="20">
        <v>29320.75</v>
      </c>
      <c r="L836" s="20">
        <v>482.99</v>
      </c>
      <c r="M836" s="7">
        <v>117.72</v>
      </c>
      <c r="N836" s="20">
        <f>Table15[[#This Row],[Processing Fee]]-Table15[[#This Row],[Discount Applied]]</f>
        <v>365.27</v>
      </c>
      <c r="O836" s="7" t="str">
        <f>IF(Table15[[#This Row],[Revenue]]&gt;35000,"Achieved","Not Achieved")</f>
        <v>Not Achieved</v>
      </c>
      <c r="P836" s="8">
        <v>3</v>
      </c>
      <c r="Q836" s="7" t="str">
        <f>IF(AND(Table15[[#This Row],[CSAT Score]]&lt;=3,Table15[[#This Row],[Revenue]]&gt;=20000),"High-Risk","Stable")</f>
        <v>High-Risk</v>
      </c>
      <c r="R836" s="8" t="str" cm="1">
        <f t="array" ref="R836">_xlfn.IFS(Table15[[#This Row],[Revenue]]&gt;=35000,"Platinum",Table15[[#This Row],[Revenue]]&gt;=15000,"Gold",TRUE,"Standard")</f>
        <v>Gold</v>
      </c>
      <c r="S836" s="8" t="str">
        <f>IF(OR(Table15[[#This Row],[Product]]="Wealth Management",Table15[[#This Row],[Revenue]]&gt;=40000),"Yes","No")</f>
        <v>No</v>
      </c>
    </row>
    <row r="837" spans="1:19" x14ac:dyDescent="0.3">
      <c r="A837" s="5" t="s">
        <v>895</v>
      </c>
      <c r="B837" s="6">
        <v>46137</v>
      </c>
      <c r="C837" s="7" t="s">
        <v>26</v>
      </c>
      <c r="D837" s="7" t="s">
        <v>45</v>
      </c>
      <c r="E837" s="7" t="s">
        <v>39</v>
      </c>
      <c r="F837" s="7" t="s">
        <v>40</v>
      </c>
      <c r="G837" s="7" t="s">
        <v>30</v>
      </c>
      <c r="H837" s="7" t="s">
        <v>31</v>
      </c>
      <c r="I837" s="7">
        <v>59</v>
      </c>
      <c r="J837" s="7">
        <v>40</v>
      </c>
      <c r="K837" s="20">
        <v>15343.78</v>
      </c>
      <c r="L837" s="20">
        <v>180.47</v>
      </c>
      <c r="M837" s="7">
        <v>121.56</v>
      </c>
      <c r="N837" s="20">
        <f>Table15[[#This Row],[Processing Fee]]-Table15[[#This Row],[Discount Applied]]</f>
        <v>58.91</v>
      </c>
      <c r="O837" s="7" t="str">
        <f>IF(Table15[[#This Row],[Revenue]]&gt;35000,"Achieved","Not Achieved")</f>
        <v>Not Achieved</v>
      </c>
      <c r="P837" s="8">
        <v>3</v>
      </c>
      <c r="Q837" s="7" t="str">
        <f>IF(AND(Table15[[#This Row],[CSAT Score]]&lt;=3,Table15[[#This Row],[Revenue]]&gt;=20000),"High-Risk","Stable")</f>
        <v>Stable</v>
      </c>
      <c r="R837" s="8" t="str" cm="1">
        <f t="array" ref="R837">_xlfn.IFS(Table15[[#This Row],[Revenue]]&gt;=35000,"Platinum",Table15[[#This Row],[Revenue]]&gt;=15000,"Gold",TRUE,"Standard")</f>
        <v>Gold</v>
      </c>
      <c r="S837" s="8" t="str">
        <f>IF(OR(Table15[[#This Row],[Product]]="Wealth Management",Table15[[#This Row],[Revenue]]&gt;=40000),"Yes","No")</f>
        <v>No</v>
      </c>
    </row>
    <row r="838" spans="1:19" x14ac:dyDescent="0.3">
      <c r="A838" s="5" t="s">
        <v>896</v>
      </c>
      <c r="B838" s="6">
        <v>45907</v>
      </c>
      <c r="C838" s="7" t="s">
        <v>42</v>
      </c>
      <c r="D838" s="7" t="s">
        <v>83</v>
      </c>
      <c r="E838" s="7" t="s">
        <v>21</v>
      </c>
      <c r="F838" s="7" t="s">
        <v>35</v>
      </c>
      <c r="G838" s="7" t="s">
        <v>65</v>
      </c>
      <c r="H838" s="7" t="s">
        <v>31</v>
      </c>
      <c r="I838" s="7">
        <v>35</v>
      </c>
      <c r="J838" s="7">
        <v>58</v>
      </c>
      <c r="K838" s="20">
        <v>2202.96</v>
      </c>
      <c r="L838" s="20">
        <v>433.82</v>
      </c>
      <c r="M838" s="7">
        <v>37.65</v>
      </c>
      <c r="N838" s="20">
        <f>Table15[[#This Row],[Processing Fee]]-Table15[[#This Row],[Discount Applied]]</f>
        <v>396.17</v>
      </c>
      <c r="O838" s="7" t="str">
        <f>IF(Table15[[#This Row],[Revenue]]&gt;35000,"Achieved","Not Achieved")</f>
        <v>Not Achieved</v>
      </c>
      <c r="P838" s="8">
        <v>5</v>
      </c>
      <c r="Q838" s="7" t="str">
        <f>IF(AND(Table15[[#This Row],[CSAT Score]]&lt;=3,Table15[[#This Row],[Revenue]]&gt;=20000),"High-Risk","Stable")</f>
        <v>Stable</v>
      </c>
      <c r="R838" s="8" t="str" cm="1">
        <f t="array" ref="R838">_xlfn.IFS(Table15[[#This Row],[Revenue]]&gt;=35000,"Platinum",Table15[[#This Row],[Revenue]]&gt;=15000,"Gold",TRUE,"Standard")</f>
        <v>Standard</v>
      </c>
      <c r="S838" s="8" t="str">
        <f>IF(OR(Table15[[#This Row],[Product]]="Wealth Management",Table15[[#This Row],[Revenue]]&gt;=40000),"Yes","No")</f>
        <v>No</v>
      </c>
    </row>
    <row r="839" spans="1:19" x14ac:dyDescent="0.3">
      <c r="A839" s="5" t="s">
        <v>897</v>
      </c>
      <c r="B839" s="6">
        <v>46177</v>
      </c>
      <c r="C839" s="7" t="s">
        <v>33</v>
      </c>
      <c r="D839" s="7" t="s">
        <v>20</v>
      </c>
      <c r="E839" s="7" t="s">
        <v>28</v>
      </c>
      <c r="F839" s="7" t="s">
        <v>29</v>
      </c>
      <c r="G839" s="7" t="s">
        <v>36</v>
      </c>
      <c r="H839" s="7" t="s">
        <v>53</v>
      </c>
      <c r="I839" s="7">
        <v>27</v>
      </c>
      <c r="J839" s="7">
        <v>75</v>
      </c>
      <c r="K839" s="20">
        <v>31929.02</v>
      </c>
      <c r="L839" s="20">
        <v>224.43</v>
      </c>
      <c r="M839" s="7">
        <v>162.72</v>
      </c>
      <c r="N839" s="20">
        <f>Table15[[#This Row],[Processing Fee]]-Table15[[#This Row],[Discount Applied]]</f>
        <v>61.710000000000008</v>
      </c>
      <c r="O839" s="7" t="str">
        <f>IF(Table15[[#This Row],[Revenue]]&gt;35000,"Achieved","Not Achieved")</f>
        <v>Not Achieved</v>
      </c>
      <c r="P839" s="8">
        <v>3</v>
      </c>
      <c r="Q839" s="7" t="str">
        <f>IF(AND(Table15[[#This Row],[CSAT Score]]&lt;=3,Table15[[#This Row],[Revenue]]&gt;=20000),"High-Risk","Stable")</f>
        <v>High-Risk</v>
      </c>
      <c r="R839" s="8" t="str" cm="1">
        <f t="array" ref="R839">_xlfn.IFS(Table15[[#This Row],[Revenue]]&gt;=35000,"Platinum",Table15[[#This Row],[Revenue]]&gt;=15000,"Gold",TRUE,"Standard")</f>
        <v>Gold</v>
      </c>
      <c r="S839" s="8" t="str">
        <f>IF(OR(Table15[[#This Row],[Product]]="Wealth Management",Table15[[#This Row],[Revenue]]&gt;=40000),"Yes","No")</f>
        <v>No</v>
      </c>
    </row>
    <row r="840" spans="1:19" x14ac:dyDescent="0.3">
      <c r="A840" s="5" t="s">
        <v>898</v>
      </c>
      <c r="B840" s="6">
        <v>46075</v>
      </c>
      <c r="C840" s="7" t="s">
        <v>26</v>
      </c>
      <c r="D840" s="7" t="s">
        <v>68</v>
      </c>
      <c r="E840" s="7" t="s">
        <v>21</v>
      </c>
      <c r="F840" s="7" t="s">
        <v>69</v>
      </c>
      <c r="G840" s="7" t="s">
        <v>23</v>
      </c>
      <c r="H840" s="7" t="s">
        <v>57</v>
      </c>
      <c r="I840" s="7">
        <v>49</v>
      </c>
      <c r="J840" s="7">
        <v>85</v>
      </c>
      <c r="K840" s="20">
        <v>43017.15</v>
      </c>
      <c r="L840" s="20">
        <v>195.44</v>
      </c>
      <c r="M840" s="7">
        <v>7.15</v>
      </c>
      <c r="N840" s="20">
        <f>Table15[[#This Row],[Processing Fee]]-Table15[[#This Row],[Discount Applied]]</f>
        <v>188.29</v>
      </c>
      <c r="O840" s="7" t="str">
        <f>IF(Table15[[#This Row],[Revenue]]&gt;35000,"Achieved","Not Achieved")</f>
        <v>Achieved</v>
      </c>
      <c r="P840" s="8">
        <v>5</v>
      </c>
      <c r="Q840" s="7" t="str">
        <f>IF(AND(Table15[[#This Row],[CSAT Score]]&lt;=3,Table15[[#This Row],[Revenue]]&gt;=20000),"High-Risk","Stable")</f>
        <v>Stable</v>
      </c>
      <c r="R840" s="8" t="str" cm="1">
        <f t="array" ref="R840">_xlfn.IFS(Table15[[#This Row],[Revenue]]&gt;=35000,"Platinum",Table15[[#This Row],[Revenue]]&gt;=15000,"Gold",TRUE,"Standard")</f>
        <v>Platinum</v>
      </c>
      <c r="S840" s="8" t="str">
        <f>IF(OR(Table15[[#This Row],[Product]]="Wealth Management",Table15[[#This Row],[Revenue]]&gt;=40000),"Yes","No")</f>
        <v>Yes</v>
      </c>
    </row>
    <row r="841" spans="1:19" x14ac:dyDescent="0.3">
      <c r="A841" s="5" t="s">
        <v>899</v>
      </c>
      <c r="B841" s="6">
        <v>46210</v>
      </c>
      <c r="C841" s="7" t="s">
        <v>33</v>
      </c>
      <c r="D841" s="7" t="s">
        <v>45</v>
      </c>
      <c r="E841" s="7" t="s">
        <v>28</v>
      </c>
      <c r="F841" s="7" t="s">
        <v>29</v>
      </c>
      <c r="G841" s="7" t="s">
        <v>30</v>
      </c>
      <c r="H841" s="7" t="s">
        <v>24</v>
      </c>
      <c r="I841" s="7">
        <v>67</v>
      </c>
      <c r="J841" s="7">
        <v>21</v>
      </c>
      <c r="K841" s="20">
        <v>17566.099999999999</v>
      </c>
      <c r="L841" s="20">
        <v>470.82</v>
      </c>
      <c r="M841" s="7">
        <v>105.65</v>
      </c>
      <c r="N841" s="20">
        <f>Table15[[#This Row],[Processing Fee]]-Table15[[#This Row],[Discount Applied]]</f>
        <v>365.16999999999996</v>
      </c>
      <c r="O841" s="7" t="str">
        <f>IF(Table15[[#This Row],[Revenue]]&gt;35000,"Achieved","Not Achieved")</f>
        <v>Not Achieved</v>
      </c>
      <c r="P841" s="8">
        <v>3</v>
      </c>
      <c r="Q841" s="7" t="str">
        <f>IF(AND(Table15[[#This Row],[CSAT Score]]&lt;=3,Table15[[#This Row],[Revenue]]&gt;=20000),"High-Risk","Stable")</f>
        <v>Stable</v>
      </c>
      <c r="R841" s="8" t="str" cm="1">
        <f t="array" ref="R841">_xlfn.IFS(Table15[[#This Row],[Revenue]]&gt;=35000,"Platinum",Table15[[#This Row],[Revenue]]&gt;=15000,"Gold",TRUE,"Standard")</f>
        <v>Gold</v>
      </c>
      <c r="S841" s="8" t="str">
        <f>IF(OR(Table15[[#This Row],[Product]]="Wealth Management",Table15[[#This Row],[Revenue]]&gt;=40000),"Yes","No")</f>
        <v>No</v>
      </c>
    </row>
    <row r="842" spans="1:19" x14ac:dyDescent="0.3">
      <c r="A842" s="5" t="s">
        <v>900</v>
      </c>
      <c r="B842" s="6">
        <v>46037</v>
      </c>
      <c r="C842" s="7" t="s">
        <v>19</v>
      </c>
      <c r="D842" s="7" t="s">
        <v>77</v>
      </c>
      <c r="E842" s="7" t="s">
        <v>21</v>
      </c>
      <c r="F842" s="7" t="s">
        <v>40</v>
      </c>
      <c r="G842" s="7" t="s">
        <v>36</v>
      </c>
      <c r="H842" s="7" t="s">
        <v>53</v>
      </c>
      <c r="I842" s="7">
        <v>23</v>
      </c>
      <c r="J842" s="7">
        <v>18</v>
      </c>
      <c r="K842" s="20">
        <v>19819.63</v>
      </c>
      <c r="L842" s="20">
        <v>213.5</v>
      </c>
      <c r="M842" s="7">
        <v>132.38</v>
      </c>
      <c r="N842" s="20">
        <f>Table15[[#This Row],[Processing Fee]]-Table15[[#This Row],[Discount Applied]]</f>
        <v>81.12</v>
      </c>
      <c r="O842" s="7" t="str">
        <f>IF(Table15[[#This Row],[Revenue]]&gt;35000,"Achieved","Not Achieved")</f>
        <v>Not Achieved</v>
      </c>
      <c r="P842" s="8">
        <v>2</v>
      </c>
      <c r="Q842" s="7" t="str">
        <f>IF(AND(Table15[[#This Row],[CSAT Score]]&lt;=3,Table15[[#This Row],[Revenue]]&gt;=20000),"High-Risk","Stable")</f>
        <v>Stable</v>
      </c>
      <c r="R842" s="8" t="str" cm="1">
        <f t="array" ref="R842">_xlfn.IFS(Table15[[#This Row],[Revenue]]&gt;=35000,"Platinum",Table15[[#This Row],[Revenue]]&gt;=15000,"Gold",TRUE,"Standard")</f>
        <v>Gold</v>
      </c>
      <c r="S842" s="8" t="str">
        <f>IF(OR(Table15[[#This Row],[Product]]="Wealth Management",Table15[[#This Row],[Revenue]]&gt;=40000),"Yes","No")</f>
        <v>No</v>
      </c>
    </row>
    <row r="843" spans="1:19" x14ac:dyDescent="0.3">
      <c r="A843" s="5" t="s">
        <v>901</v>
      </c>
      <c r="B843" s="6">
        <v>45994</v>
      </c>
      <c r="C843" s="7" t="s">
        <v>44</v>
      </c>
      <c r="D843" s="7" t="s">
        <v>48</v>
      </c>
      <c r="E843" s="7" t="s">
        <v>28</v>
      </c>
      <c r="F843" s="7" t="s">
        <v>22</v>
      </c>
      <c r="G843" s="7" t="s">
        <v>36</v>
      </c>
      <c r="H843" s="7" t="s">
        <v>31</v>
      </c>
      <c r="I843" s="7">
        <v>39</v>
      </c>
      <c r="J843" s="7">
        <v>55</v>
      </c>
      <c r="K843" s="20">
        <v>44605.57</v>
      </c>
      <c r="L843" s="20">
        <v>225.63</v>
      </c>
      <c r="M843" s="7">
        <v>62.24</v>
      </c>
      <c r="N843" s="20">
        <f>Table15[[#This Row],[Processing Fee]]-Table15[[#This Row],[Discount Applied]]</f>
        <v>163.38999999999999</v>
      </c>
      <c r="O843" s="7" t="str">
        <f>IF(Table15[[#This Row],[Revenue]]&gt;35000,"Achieved","Not Achieved")</f>
        <v>Achieved</v>
      </c>
      <c r="P843" s="8">
        <v>5</v>
      </c>
      <c r="Q843" s="7" t="str">
        <f>IF(AND(Table15[[#This Row],[CSAT Score]]&lt;=3,Table15[[#This Row],[Revenue]]&gt;=20000),"High-Risk","Stable")</f>
        <v>Stable</v>
      </c>
      <c r="R843" s="8" t="str" cm="1">
        <f t="array" ref="R843">_xlfn.IFS(Table15[[#This Row],[Revenue]]&gt;=35000,"Platinum",Table15[[#This Row],[Revenue]]&gt;=15000,"Gold",TRUE,"Standard")</f>
        <v>Platinum</v>
      </c>
      <c r="S843" s="8" t="str">
        <f>IF(OR(Table15[[#This Row],[Product]]="Wealth Management",Table15[[#This Row],[Revenue]]&gt;=40000),"Yes","No")</f>
        <v>Yes</v>
      </c>
    </row>
    <row r="844" spans="1:19" x14ac:dyDescent="0.3">
      <c r="A844" s="5" t="s">
        <v>902</v>
      </c>
      <c r="B844" s="6">
        <v>45959</v>
      </c>
      <c r="C844" s="7" t="s">
        <v>91</v>
      </c>
      <c r="D844" s="7" t="s">
        <v>38</v>
      </c>
      <c r="E844" s="7" t="s">
        <v>46</v>
      </c>
      <c r="F844" s="7" t="s">
        <v>22</v>
      </c>
      <c r="G844" s="7" t="s">
        <v>23</v>
      </c>
      <c r="H844" s="7" t="s">
        <v>53</v>
      </c>
      <c r="I844" s="7">
        <v>30</v>
      </c>
      <c r="J844" s="7">
        <v>29</v>
      </c>
      <c r="K844" s="20">
        <v>40773.64</v>
      </c>
      <c r="L844" s="20">
        <v>97.74</v>
      </c>
      <c r="M844" s="7">
        <v>181.17</v>
      </c>
      <c r="N844" s="20">
        <f>Table15[[#This Row],[Processing Fee]]-Table15[[#This Row],[Discount Applied]]</f>
        <v>-83.429999999999993</v>
      </c>
      <c r="O844" s="7" t="str">
        <f>IF(Table15[[#This Row],[Revenue]]&gt;35000,"Achieved","Not Achieved")</f>
        <v>Achieved</v>
      </c>
      <c r="P844" s="8">
        <v>4</v>
      </c>
      <c r="Q844" s="7" t="str">
        <f>IF(AND(Table15[[#This Row],[CSAT Score]]&lt;=3,Table15[[#This Row],[Revenue]]&gt;=20000),"High-Risk","Stable")</f>
        <v>Stable</v>
      </c>
      <c r="R844" s="8" t="str" cm="1">
        <f t="array" ref="R844">_xlfn.IFS(Table15[[#This Row],[Revenue]]&gt;=35000,"Platinum",Table15[[#This Row],[Revenue]]&gt;=15000,"Gold",TRUE,"Standard")</f>
        <v>Platinum</v>
      </c>
      <c r="S844" s="8" t="str">
        <f>IF(OR(Table15[[#This Row],[Product]]="Wealth Management",Table15[[#This Row],[Revenue]]&gt;=40000),"Yes","No")</f>
        <v>Yes</v>
      </c>
    </row>
    <row r="845" spans="1:19" x14ac:dyDescent="0.3">
      <c r="A845" s="5" t="s">
        <v>903</v>
      </c>
      <c r="B845" s="6">
        <v>45965</v>
      </c>
      <c r="C845" s="7" t="s">
        <v>19</v>
      </c>
      <c r="D845" s="7" t="s">
        <v>20</v>
      </c>
      <c r="E845" s="7" t="s">
        <v>28</v>
      </c>
      <c r="F845" s="7" t="s">
        <v>35</v>
      </c>
      <c r="G845" s="7" t="s">
        <v>36</v>
      </c>
      <c r="H845" s="7" t="s">
        <v>31</v>
      </c>
      <c r="I845" s="7">
        <v>48</v>
      </c>
      <c r="J845" s="7">
        <v>24</v>
      </c>
      <c r="K845" s="20">
        <v>35890.160000000003</v>
      </c>
      <c r="L845" s="20">
        <v>351.7</v>
      </c>
      <c r="M845" s="7">
        <v>251.56</v>
      </c>
      <c r="N845" s="20">
        <f>Table15[[#This Row],[Processing Fee]]-Table15[[#This Row],[Discount Applied]]</f>
        <v>100.13999999999999</v>
      </c>
      <c r="O845" s="7" t="str">
        <f>IF(Table15[[#This Row],[Revenue]]&gt;35000,"Achieved","Not Achieved")</f>
        <v>Achieved</v>
      </c>
      <c r="P845" s="8">
        <v>2</v>
      </c>
      <c r="Q845" s="7" t="str">
        <f>IF(AND(Table15[[#This Row],[CSAT Score]]&lt;=3,Table15[[#This Row],[Revenue]]&gt;=20000),"High-Risk","Stable")</f>
        <v>High-Risk</v>
      </c>
      <c r="R845" s="8" t="str" cm="1">
        <f t="array" ref="R845">_xlfn.IFS(Table15[[#This Row],[Revenue]]&gt;=35000,"Platinum",Table15[[#This Row],[Revenue]]&gt;=15000,"Gold",TRUE,"Standard")</f>
        <v>Platinum</v>
      </c>
      <c r="S845" s="8" t="str">
        <f>IF(OR(Table15[[#This Row],[Product]]="Wealth Management",Table15[[#This Row],[Revenue]]&gt;=40000),"Yes","No")</f>
        <v>No</v>
      </c>
    </row>
    <row r="846" spans="1:19" x14ac:dyDescent="0.3">
      <c r="A846" s="5" t="s">
        <v>904</v>
      </c>
      <c r="B846" s="6">
        <v>46006</v>
      </c>
      <c r="C846" s="7" t="s">
        <v>33</v>
      </c>
      <c r="D846" s="7" t="s">
        <v>68</v>
      </c>
      <c r="E846" s="7" t="s">
        <v>28</v>
      </c>
      <c r="F846" s="7" t="s">
        <v>22</v>
      </c>
      <c r="G846" s="7" t="s">
        <v>36</v>
      </c>
      <c r="H846" s="7" t="s">
        <v>24</v>
      </c>
      <c r="I846" s="7">
        <v>49</v>
      </c>
      <c r="J846" s="7">
        <v>74</v>
      </c>
      <c r="K846" s="20">
        <v>12815.45</v>
      </c>
      <c r="L846" s="20">
        <v>179.98</v>
      </c>
      <c r="M846" s="7">
        <v>94.22</v>
      </c>
      <c r="N846" s="20">
        <f>Table15[[#This Row],[Processing Fee]]-Table15[[#This Row],[Discount Applied]]</f>
        <v>85.759999999999991</v>
      </c>
      <c r="O846" s="7" t="str">
        <f>IF(Table15[[#This Row],[Revenue]]&gt;35000,"Achieved","Not Achieved")</f>
        <v>Not Achieved</v>
      </c>
      <c r="P846" s="8">
        <v>4</v>
      </c>
      <c r="Q846" s="7" t="str">
        <f>IF(AND(Table15[[#This Row],[CSAT Score]]&lt;=3,Table15[[#This Row],[Revenue]]&gt;=20000),"High-Risk","Stable")</f>
        <v>Stable</v>
      </c>
      <c r="R846" s="8" t="str" cm="1">
        <f t="array" ref="R846">_xlfn.IFS(Table15[[#This Row],[Revenue]]&gt;=35000,"Platinum",Table15[[#This Row],[Revenue]]&gt;=15000,"Gold",TRUE,"Standard")</f>
        <v>Standard</v>
      </c>
      <c r="S846" s="8" t="str">
        <f>IF(OR(Table15[[#This Row],[Product]]="Wealth Management",Table15[[#This Row],[Revenue]]&gt;=40000),"Yes","No")</f>
        <v>Yes</v>
      </c>
    </row>
    <row r="847" spans="1:19" x14ac:dyDescent="0.3">
      <c r="A847" s="5" t="s">
        <v>905</v>
      </c>
      <c r="B847" s="6">
        <v>45961</v>
      </c>
      <c r="C847" s="7" t="s">
        <v>33</v>
      </c>
      <c r="D847" s="7" t="s">
        <v>34</v>
      </c>
      <c r="E847" s="7" t="s">
        <v>59</v>
      </c>
      <c r="F847" s="7" t="s">
        <v>69</v>
      </c>
      <c r="G847" s="7" t="s">
        <v>36</v>
      </c>
      <c r="H847" s="7" t="s">
        <v>24</v>
      </c>
      <c r="I847" s="7">
        <v>35</v>
      </c>
      <c r="J847" s="7">
        <v>109</v>
      </c>
      <c r="K847" s="20">
        <v>45555.72</v>
      </c>
      <c r="L847" s="20">
        <v>313.52</v>
      </c>
      <c r="M847" s="7">
        <v>82.23</v>
      </c>
      <c r="N847" s="20">
        <f>Table15[[#This Row],[Processing Fee]]-Table15[[#This Row],[Discount Applied]]</f>
        <v>231.28999999999996</v>
      </c>
      <c r="O847" s="7" t="str">
        <f>IF(Table15[[#This Row],[Revenue]]&gt;35000,"Achieved","Not Achieved")</f>
        <v>Achieved</v>
      </c>
      <c r="P847" s="8">
        <v>3</v>
      </c>
      <c r="Q847" s="7" t="str">
        <f>IF(AND(Table15[[#This Row],[CSAT Score]]&lt;=3,Table15[[#This Row],[Revenue]]&gt;=20000),"High-Risk","Stable")</f>
        <v>High-Risk</v>
      </c>
      <c r="R847" s="8" t="str" cm="1">
        <f t="array" ref="R847">_xlfn.IFS(Table15[[#This Row],[Revenue]]&gt;=35000,"Platinum",Table15[[#This Row],[Revenue]]&gt;=15000,"Gold",TRUE,"Standard")</f>
        <v>Platinum</v>
      </c>
      <c r="S847" s="8" t="str">
        <f>IF(OR(Table15[[#This Row],[Product]]="Wealth Management",Table15[[#This Row],[Revenue]]&gt;=40000),"Yes","No")</f>
        <v>Yes</v>
      </c>
    </row>
    <row r="848" spans="1:19" x14ac:dyDescent="0.3">
      <c r="A848" s="5" t="s">
        <v>906</v>
      </c>
      <c r="B848" s="6">
        <v>45888</v>
      </c>
      <c r="C848" s="7" t="s">
        <v>55</v>
      </c>
      <c r="D848" s="7" t="s">
        <v>45</v>
      </c>
      <c r="E848" s="7" t="s">
        <v>28</v>
      </c>
      <c r="F848" s="7" t="s">
        <v>22</v>
      </c>
      <c r="G848" s="7" t="s">
        <v>30</v>
      </c>
      <c r="H848" s="7" t="s">
        <v>57</v>
      </c>
      <c r="I848" s="7">
        <v>55</v>
      </c>
      <c r="J848" s="7">
        <v>17</v>
      </c>
      <c r="K848" s="20">
        <v>8143.58</v>
      </c>
      <c r="L848" s="20">
        <v>316.11</v>
      </c>
      <c r="M848" s="7">
        <v>47.31</v>
      </c>
      <c r="N848" s="20">
        <f>Table15[[#This Row],[Processing Fee]]-Table15[[#This Row],[Discount Applied]]</f>
        <v>268.8</v>
      </c>
      <c r="O848" s="7" t="str">
        <f>IF(Table15[[#This Row],[Revenue]]&gt;35000,"Achieved","Not Achieved")</f>
        <v>Not Achieved</v>
      </c>
      <c r="P848" s="8">
        <v>4</v>
      </c>
      <c r="Q848" s="7" t="str">
        <f>IF(AND(Table15[[#This Row],[CSAT Score]]&lt;=3,Table15[[#This Row],[Revenue]]&gt;=20000),"High-Risk","Stable")</f>
        <v>Stable</v>
      </c>
      <c r="R848" s="8" t="str" cm="1">
        <f t="array" ref="R848">_xlfn.IFS(Table15[[#This Row],[Revenue]]&gt;=35000,"Platinum",Table15[[#This Row],[Revenue]]&gt;=15000,"Gold",TRUE,"Standard")</f>
        <v>Standard</v>
      </c>
      <c r="S848" s="8" t="str">
        <f>IF(OR(Table15[[#This Row],[Product]]="Wealth Management",Table15[[#This Row],[Revenue]]&gt;=40000),"Yes","No")</f>
        <v>Yes</v>
      </c>
    </row>
    <row r="849" spans="1:19" x14ac:dyDescent="0.3">
      <c r="A849" s="5" t="s">
        <v>907</v>
      </c>
      <c r="B849" s="6">
        <v>46043</v>
      </c>
      <c r="C849" s="7" t="s">
        <v>55</v>
      </c>
      <c r="D849" s="7" t="s">
        <v>38</v>
      </c>
      <c r="E849" s="7" t="s">
        <v>59</v>
      </c>
      <c r="F849" s="7" t="s">
        <v>35</v>
      </c>
      <c r="G849" s="7" t="s">
        <v>23</v>
      </c>
      <c r="H849" s="7" t="s">
        <v>31</v>
      </c>
      <c r="I849" s="7">
        <v>26</v>
      </c>
      <c r="J849" s="7">
        <v>18</v>
      </c>
      <c r="K849" s="20">
        <v>31525.14</v>
      </c>
      <c r="L849" s="20">
        <v>373.64</v>
      </c>
      <c r="M849" s="7">
        <v>219</v>
      </c>
      <c r="N849" s="20">
        <f>Table15[[#This Row],[Processing Fee]]-Table15[[#This Row],[Discount Applied]]</f>
        <v>154.63999999999999</v>
      </c>
      <c r="O849" s="7" t="str">
        <f>IF(Table15[[#This Row],[Revenue]]&gt;35000,"Achieved","Not Achieved")</f>
        <v>Not Achieved</v>
      </c>
      <c r="P849" s="8">
        <v>2</v>
      </c>
      <c r="Q849" s="7" t="str">
        <f>IF(AND(Table15[[#This Row],[CSAT Score]]&lt;=3,Table15[[#This Row],[Revenue]]&gt;=20000),"High-Risk","Stable")</f>
        <v>High-Risk</v>
      </c>
      <c r="R849" s="8" t="str" cm="1">
        <f t="array" ref="R849">_xlfn.IFS(Table15[[#This Row],[Revenue]]&gt;=35000,"Platinum",Table15[[#This Row],[Revenue]]&gt;=15000,"Gold",TRUE,"Standard")</f>
        <v>Gold</v>
      </c>
      <c r="S849" s="8" t="str">
        <f>IF(OR(Table15[[#This Row],[Product]]="Wealth Management",Table15[[#This Row],[Revenue]]&gt;=40000),"Yes","No")</f>
        <v>No</v>
      </c>
    </row>
    <row r="850" spans="1:19" x14ac:dyDescent="0.3">
      <c r="A850" s="5" t="s">
        <v>908</v>
      </c>
      <c r="B850" s="6">
        <v>46221</v>
      </c>
      <c r="C850" s="7" t="s">
        <v>19</v>
      </c>
      <c r="D850" s="7" t="s">
        <v>20</v>
      </c>
      <c r="E850" s="7" t="s">
        <v>39</v>
      </c>
      <c r="F850" s="7" t="s">
        <v>40</v>
      </c>
      <c r="G850" s="7" t="s">
        <v>36</v>
      </c>
      <c r="H850" s="7" t="s">
        <v>57</v>
      </c>
      <c r="I850" s="7">
        <v>32</v>
      </c>
      <c r="J850" s="7">
        <v>42</v>
      </c>
      <c r="K850" s="20">
        <v>1925.66</v>
      </c>
      <c r="L850" s="20">
        <v>385.36</v>
      </c>
      <c r="M850" s="7">
        <v>26.35</v>
      </c>
      <c r="N850" s="20">
        <f>Table15[[#This Row],[Processing Fee]]-Table15[[#This Row],[Discount Applied]]</f>
        <v>359.01</v>
      </c>
      <c r="O850" s="7" t="str">
        <f>IF(Table15[[#This Row],[Revenue]]&gt;35000,"Achieved","Not Achieved")</f>
        <v>Not Achieved</v>
      </c>
      <c r="P850" s="8">
        <v>5</v>
      </c>
      <c r="Q850" s="7" t="str">
        <f>IF(AND(Table15[[#This Row],[CSAT Score]]&lt;=3,Table15[[#This Row],[Revenue]]&gt;=20000),"High-Risk","Stable")</f>
        <v>Stable</v>
      </c>
      <c r="R850" s="8" t="str" cm="1">
        <f t="array" ref="R850">_xlfn.IFS(Table15[[#This Row],[Revenue]]&gt;=35000,"Platinum",Table15[[#This Row],[Revenue]]&gt;=15000,"Gold",TRUE,"Standard")</f>
        <v>Standard</v>
      </c>
      <c r="S850" s="8" t="str">
        <f>IF(OR(Table15[[#This Row],[Product]]="Wealth Management",Table15[[#This Row],[Revenue]]&gt;=40000),"Yes","No")</f>
        <v>No</v>
      </c>
    </row>
    <row r="851" spans="1:19" x14ac:dyDescent="0.3">
      <c r="A851" s="5" t="s">
        <v>909</v>
      </c>
      <c r="B851" s="6">
        <v>45963</v>
      </c>
      <c r="C851" s="7" t="s">
        <v>75</v>
      </c>
      <c r="D851" s="7" t="s">
        <v>77</v>
      </c>
      <c r="E851" s="7" t="s">
        <v>59</v>
      </c>
      <c r="F851" s="7" t="s">
        <v>40</v>
      </c>
      <c r="G851" s="7" t="s">
        <v>36</v>
      </c>
      <c r="H851" s="7" t="s">
        <v>57</v>
      </c>
      <c r="I851" s="7">
        <v>67</v>
      </c>
      <c r="J851" s="7">
        <v>112</v>
      </c>
      <c r="K851" s="20">
        <v>32364.13</v>
      </c>
      <c r="L851" s="20">
        <v>281.5</v>
      </c>
      <c r="M851" s="7">
        <v>136.05000000000001</v>
      </c>
      <c r="N851" s="20">
        <f>Table15[[#This Row],[Processing Fee]]-Table15[[#This Row],[Discount Applied]]</f>
        <v>145.44999999999999</v>
      </c>
      <c r="O851" s="7" t="str">
        <f>IF(Table15[[#This Row],[Revenue]]&gt;35000,"Achieved","Not Achieved")</f>
        <v>Not Achieved</v>
      </c>
      <c r="P851" s="8">
        <v>1</v>
      </c>
      <c r="Q851" s="7" t="str">
        <f>IF(AND(Table15[[#This Row],[CSAT Score]]&lt;=3,Table15[[#This Row],[Revenue]]&gt;=20000),"High-Risk","Stable")</f>
        <v>High-Risk</v>
      </c>
      <c r="R851" s="8" t="str" cm="1">
        <f t="array" ref="R851">_xlfn.IFS(Table15[[#This Row],[Revenue]]&gt;=35000,"Platinum",Table15[[#This Row],[Revenue]]&gt;=15000,"Gold",TRUE,"Standard")</f>
        <v>Gold</v>
      </c>
      <c r="S851" s="8" t="str">
        <f>IF(OR(Table15[[#This Row],[Product]]="Wealth Management",Table15[[#This Row],[Revenue]]&gt;=40000),"Yes","No")</f>
        <v>No</v>
      </c>
    </row>
    <row r="852" spans="1:19" x14ac:dyDescent="0.3">
      <c r="A852" s="5" t="s">
        <v>910</v>
      </c>
      <c r="B852" s="6">
        <v>46100</v>
      </c>
      <c r="C852" s="7" t="s">
        <v>19</v>
      </c>
      <c r="D852" s="7" t="s">
        <v>52</v>
      </c>
      <c r="E852" s="7" t="s">
        <v>46</v>
      </c>
      <c r="F852" s="7" t="s">
        <v>22</v>
      </c>
      <c r="G852" s="7" t="s">
        <v>30</v>
      </c>
      <c r="H852" s="7" t="s">
        <v>24</v>
      </c>
      <c r="I852" s="7">
        <v>58</v>
      </c>
      <c r="J852" s="7">
        <v>84</v>
      </c>
      <c r="K852" s="20">
        <v>14218.65</v>
      </c>
      <c r="L852" s="20">
        <v>198.95</v>
      </c>
      <c r="M852" s="7">
        <v>168.49</v>
      </c>
      <c r="N852" s="20">
        <f>Table15[[#This Row],[Processing Fee]]-Table15[[#This Row],[Discount Applied]]</f>
        <v>30.45999999999998</v>
      </c>
      <c r="O852" s="7" t="str">
        <f>IF(Table15[[#This Row],[Revenue]]&gt;35000,"Achieved","Not Achieved")</f>
        <v>Not Achieved</v>
      </c>
      <c r="P852" s="8">
        <v>4</v>
      </c>
      <c r="Q852" s="7" t="str">
        <f>IF(AND(Table15[[#This Row],[CSAT Score]]&lt;=3,Table15[[#This Row],[Revenue]]&gt;=20000),"High-Risk","Stable")</f>
        <v>Stable</v>
      </c>
      <c r="R852" s="8" t="str" cm="1">
        <f t="array" ref="R852">_xlfn.IFS(Table15[[#This Row],[Revenue]]&gt;=35000,"Platinum",Table15[[#This Row],[Revenue]]&gt;=15000,"Gold",TRUE,"Standard")</f>
        <v>Standard</v>
      </c>
      <c r="S852" s="8" t="str">
        <f>IF(OR(Table15[[#This Row],[Product]]="Wealth Management",Table15[[#This Row],[Revenue]]&gt;=40000),"Yes","No")</f>
        <v>Yes</v>
      </c>
    </row>
    <row r="853" spans="1:19" x14ac:dyDescent="0.3">
      <c r="A853" s="5" t="s">
        <v>911</v>
      </c>
      <c r="B853" s="6">
        <v>46087</v>
      </c>
      <c r="C853" s="7" t="s">
        <v>55</v>
      </c>
      <c r="D853" s="7" t="s">
        <v>87</v>
      </c>
      <c r="E853" s="7" t="s">
        <v>59</v>
      </c>
      <c r="F853" s="7" t="s">
        <v>29</v>
      </c>
      <c r="G853" s="7" t="s">
        <v>23</v>
      </c>
      <c r="H853" s="7" t="s">
        <v>53</v>
      </c>
      <c r="I853" s="7">
        <v>33</v>
      </c>
      <c r="J853" s="7">
        <v>101</v>
      </c>
      <c r="K853" s="20">
        <v>22759.01</v>
      </c>
      <c r="L853" s="20">
        <v>426.85</v>
      </c>
      <c r="M853" s="7">
        <v>45.69</v>
      </c>
      <c r="N853" s="20">
        <f>Table15[[#This Row],[Processing Fee]]-Table15[[#This Row],[Discount Applied]]</f>
        <v>381.16</v>
      </c>
      <c r="O853" s="7" t="str">
        <f>IF(Table15[[#This Row],[Revenue]]&gt;35000,"Achieved","Not Achieved")</f>
        <v>Not Achieved</v>
      </c>
      <c r="P853" s="8">
        <v>1</v>
      </c>
      <c r="Q853" s="7" t="str">
        <f>IF(AND(Table15[[#This Row],[CSAT Score]]&lt;=3,Table15[[#This Row],[Revenue]]&gt;=20000),"High-Risk","Stable")</f>
        <v>High-Risk</v>
      </c>
      <c r="R853" s="8" t="str" cm="1">
        <f t="array" ref="R853">_xlfn.IFS(Table15[[#This Row],[Revenue]]&gt;=35000,"Platinum",Table15[[#This Row],[Revenue]]&gt;=15000,"Gold",TRUE,"Standard")</f>
        <v>Gold</v>
      </c>
      <c r="S853" s="8" t="str">
        <f>IF(OR(Table15[[#This Row],[Product]]="Wealth Management",Table15[[#This Row],[Revenue]]&gt;=40000),"Yes","No")</f>
        <v>No</v>
      </c>
    </row>
    <row r="854" spans="1:19" x14ac:dyDescent="0.3">
      <c r="A854" s="5" t="s">
        <v>912</v>
      </c>
      <c r="B854" s="6">
        <v>45982</v>
      </c>
      <c r="C854" s="7" t="s">
        <v>33</v>
      </c>
      <c r="D854" s="7" t="s">
        <v>45</v>
      </c>
      <c r="E854" s="7" t="s">
        <v>39</v>
      </c>
      <c r="F854" s="7" t="s">
        <v>40</v>
      </c>
      <c r="G854" s="7" t="s">
        <v>65</v>
      </c>
      <c r="H854" s="7" t="s">
        <v>53</v>
      </c>
      <c r="I854" s="7">
        <v>49</v>
      </c>
      <c r="J854" s="7">
        <v>45</v>
      </c>
      <c r="K854" s="20">
        <v>17590.599999999999</v>
      </c>
      <c r="L854" s="20">
        <v>189.44</v>
      </c>
      <c r="M854" s="7">
        <v>173.29</v>
      </c>
      <c r="N854" s="20">
        <f>Table15[[#This Row],[Processing Fee]]-Table15[[#This Row],[Discount Applied]]</f>
        <v>16.150000000000006</v>
      </c>
      <c r="O854" s="7" t="str">
        <f>IF(Table15[[#This Row],[Revenue]]&gt;35000,"Achieved","Not Achieved")</f>
        <v>Not Achieved</v>
      </c>
      <c r="P854" s="8">
        <v>4</v>
      </c>
      <c r="Q854" s="7" t="str">
        <f>IF(AND(Table15[[#This Row],[CSAT Score]]&lt;=3,Table15[[#This Row],[Revenue]]&gt;=20000),"High-Risk","Stable")</f>
        <v>Stable</v>
      </c>
      <c r="R854" s="8" t="str" cm="1">
        <f t="array" ref="R854">_xlfn.IFS(Table15[[#This Row],[Revenue]]&gt;=35000,"Platinum",Table15[[#This Row],[Revenue]]&gt;=15000,"Gold",TRUE,"Standard")</f>
        <v>Gold</v>
      </c>
      <c r="S854" s="8" t="str">
        <f>IF(OR(Table15[[#This Row],[Product]]="Wealth Management",Table15[[#This Row],[Revenue]]&gt;=40000),"Yes","No")</f>
        <v>No</v>
      </c>
    </row>
    <row r="855" spans="1:19" x14ac:dyDescent="0.3">
      <c r="A855" s="5" t="s">
        <v>913</v>
      </c>
      <c r="B855" s="6">
        <v>46178</v>
      </c>
      <c r="C855" s="7" t="s">
        <v>42</v>
      </c>
      <c r="D855" s="7" t="s">
        <v>77</v>
      </c>
      <c r="E855" s="7" t="s">
        <v>46</v>
      </c>
      <c r="F855" s="7" t="s">
        <v>22</v>
      </c>
      <c r="G855" s="7" t="s">
        <v>30</v>
      </c>
      <c r="H855" s="7" t="s">
        <v>57</v>
      </c>
      <c r="I855" s="7">
        <v>39</v>
      </c>
      <c r="J855" s="7">
        <v>82</v>
      </c>
      <c r="K855" s="20">
        <v>9051.4599999999991</v>
      </c>
      <c r="L855" s="20">
        <v>278.38</v>
      </c>
      <c r="M855" s="7">
        <v>6.66</v>
      </c>
      <c r="N855" s="20">
        <f>Table15[[#This Row],[Processing Fee]]-Table15[[#This Row],[Discount Applied]]</f>
        <v>271.71999999999997</v>
      </c>
      <c r="O855" s="7" t="str">
        <f>IF(Table15[[#This Row],[Revenue]]&gt;35000,"Achieved","Not Achieved")</f>
        <v>Not Achieved</v>
      </c>
      <c r="P855" s="8">
        <v>4</v>
      </c>
      <c r="Q855" s="7" t="str">
        <f>IF(AND(Table15[[#This Row],[CSAT Score]]&lt;=3,Table15[[#This Row],[Revenue]]&gt;=20000),"High-Risk","Stable")</f>
        <v>Stable</v>
      </c>
      <c r="R855" s="8" t="str" cm="1">
        <f t="array" ref="R855">_xlfn.IFS(Table15[[#This Row],[Revenue]]&gt;=35000,"Platinum",Table15[[#This Row],[Revenue]]&gt;=15000,"Gold",TRUE,"Standard")</f>
        <v>Standard</v>
      </c>
      <c r="S855" s="8" t="str">
        <f>IF(OR(Table15[[#This Row],[Product]]="Wealth Management",Table15[[#This Row],[Revenue]]&gt;=40000),"Yes","No")</f>
        <v>Yes</v>
      </c>
    </row>
    <row r="856" spans="1:19" x14ac:dyDescent="0.3">
      <c r="A856" s="5" t="s">
        <v>914</v>
      </c>
      <c r="B856" s="6">
        <v>46141</v>
      </c>
      <c r="C856" s="7" t="s">
        <v>19</v>
      </c>
      <c r="D856" s="7" t="s">
        <v>20</v>
      </c>
      <c r="E856" s="7" t="s">
        <v>21</v>
      </c>
      <c r="F856" s="7" t="s">
        <v>35</v>
      </c>
      <c r="G856" s="7" t="s">
        <v>23</v>
      </c>
      <c r="H856" s="7" t="s">
        <v>24</v>
      </c>
      <c r="I856" s="7">
        <v>23</v>
      </c>
      <c r="J856" s="7">
        <v>17</v>
      </c>
      <c r="K856" s="20">
        <v>31288.05</v>
      </c>
      <c r="L856" s="20">
        <v>230.56</v>
      </c>
      <c r="M856" s="7">
        <v>182.56</v>
      </c>
      <c r="N856" s="20">
        <f>Table15[[#This Row],[Processing Fee]]-Table15[[#This Row],[Discount Applied]]</f>
        <v>48</v>
      </c>
      <c r="O856" s="7" t="str">
        <f>IF(Table15[[#This Row],[Revenue]]&gt;35000,"Achieved","Not Achieved")</f>
        <v>Not Achieved</v>
      </c>
      <c r="P856" s="8">
        <v>5</v>
      </c>
      <c r="Q856" s="7" t="str">
        <f>IF(AND(Table15[[#This Row],[CSAT Score]]&lt;=3,Table15[[#This Row],[Revenue]]&gt;=20000),"High-Risk","Stable")</f>
        <v>Stable</v>
      </c>
      <c r="R856" s="8" t="str" cm="1">
        <f t="array" ref="R856">_xlfn.IFS(Table15[[#This Row],[Revenue]]&gt;=35000,"Platinum",Table15[[#This Row],[Revenue]]&gt;=15000,"Gold",TRUE,"Standard")</f>
        <v>Gold</v>
      </c>
      <c r="S856" s="8" t="str">
        <f>IF(OR(Table15[[#This Row],[Product]]="Wealth Management",Table15[[#This Row],[Revenue]]&gt;=40000),"Yes","No")</f>
        <v>No</v>
      </c>
    </row>
    <row r="857" spans="1:19" x14ac:dyDescent="0.3">
      <c r="A857" s="5" t="s">
        <v>915</v>
      </c>
      <c r="B857" s="6">
        <v>46209</v>
      </c>
      <c r="C857" s="7" t="s">
        <v>33</v>
      </c>
      <c r="D857" s="7" t="s">
        <v>45</v>
      </c>
      <c r="E857" s="7" t="s">
        <v>21</v>
      </c>
      <c r="F857" s="7" t="s">
        <v>22</v>
      </c>
      <c r="G857" s="7" t="s">
        <v>36</v>
      </c>
      <c r="H857" s="7" t="s">
        <v>31</v>
      </c>
      <c r="I857" s="7">
        <v>28</v>
      </c>
      <c r="J857" s="7">
        <v>73</v>
      </c>
      <c r="K857" s="20">
        <v>44157.79</v>
      </c>
      <c r="L857" s="20">
        <v>434.79</v>
      </c>
      <c r="M857" s="7">
        <v>35.51</v>
      </c>
      <c r="N857" s="20">
        <f>Table15[[#This Row],[Processing Fee]]-Table15[[#This Row],[Discount Applied]]</f>
        <v>399.28000000000003</v>
      </c>
      <c r="O857" s="7" t="str">
        <f>IF(Table15[[#This Row],[Revenue]]&gt;35000,"Achieved","Not Achieved")</f>
        <v>Achieved</v>
      </c>
      <c r="P857" s="8">
        <v>3</v>
      </c>
      <c r="Q857" s="7" t="str">
        <f>IF(AND(Table15[[#This Row],[CSAT Score]]&lt;=3,Table15[[#This Row],[Revenue]]&gt;=20000),"High-Risk","Stable")</f>
        <v>High-Risk</v>
      </c>
      <c r="R857" s="8" t="str" cm="1">
        <f t="array" ref="R857">_xlfn.IFS(Table15[[#This Row],[Revenue]]&gt;=35000,"Platinum",Table15[[#This Row],[Revenue]]&gt;=15000,"Gold",TRUE,"Standard")</f>
        <v>Platinum</v>
      </c>
      <c r="S857" s="8" t="str">
        <f>IF(OR(Table15[[#This Row],[Product]]="Wealth Management",Table15[[#This Row],[Revenue]]&gt;=40000),"Yes","No")</f>
        <v>Yes</v>
      </c>
    </row>
    <row r="858" spans="1:19" x14ac:dyDescent="0.3">
      <c r="A858" s="5" t="s">
        <v>916</v>
      </c>
      <c r="B858" s="6">
        <v>46006</v>
      </c>
      <c r="C858" s="7" t="s">
        <v>42</v>
      </c>
      <c r="D858" s="7" t="s">
        <v>83</v>
      </c>
      <c r="E858" s="7" t="s">
        <v>59</v>
      </c>
      <c r="F858" s="7" t="s">
        <v>40</v>
      </c>
      <c r="G858" s="7" t="s">
        <v>23</v>
      </c>
      <c r="H858" s="7" t="s">
        <v>53</v>
      </c>
      <c r="I858" s="7">
        <v>28</v>
      </c>
      <c r="J858" s="7">
        <v>14</v>
      </c>
      <c r="K858" s="20">
        <v>47974.67</v>
      </c>
      <c r="L858" s="20">
        <v>244.36</v>
      </c>
      <c r="M858" s="7">
        <v>129.15</v>
      </c>
      <c r="N858" s="20">
        <f>Table15[[#This Row],[Processing Fee]]-Table15[[#This Row],[Discount Applied]]</f>
        <v>115.21000000000001</v>
      </c>
      <c r="O858" s="7" t="str">
        <f>IF(Table15[[#This Row],[Revenue]]&gt;35000,"Achieved","Not Achieved")</f>
        <v>Achieved</v>
      </c>
      <c r="P858" s="8">
        <v>2</v>
      </c>
      <c r="Q858" s="7" t="str">
        <f>IF(AND(Table15[[#This Row],[CSAT Score]]&lt;=3,Table15[[#This Row],[Revenue]]&gt;=20000),"High-Risk","Stable")</f>
        <v>High-Risk</v>
      </c>
      <c r="R858" s="8" t="str" cm="1">
        <f t="array" ref="R858">_xlfn.IFS(Table15[[#This Row],[Revenue]]&gt;=35000,"Platinum",Table15[[#This Row],[Revenue]]&gt;=15000,"Gold",TRUE,"Standard")</f>
        <v>Platinum</v>
      </c>
      <c r="S858" s="8" t="str">
        <f>IF(OR(Table15[[#This Row],[Product]]="Wealth Management",Table15[[#This Row],[Revenue]]&gt;=40000),"Yes","No")</f>
        <v>Yes</v>
      </c>
    </row>
    <row r="859" spans="1:19" x14ac:dyDescent="0.3">
      <c r="A859" s="5" t="s">
        <v>917</v>
      </c>
      <c r="B859" s="6">
        <v>46186</v>
      </c>
      <c r="C859" s="7" t="s">
        <v>42</v>
      </c>
      <c r="D859" s="7" t="s">
        <v>38</v>
      </c>
      <c r="E859" s="7" t="s">
        <v>59</v>
      </c>
      <c r="F859" s="7" t="s">
        <v>35</v>
      </c>
      <c r="G859" s="7" t="s">
        <v>23</v>
      </c>
      <c r="H859" s="7" t="s">
        <v>57</v>
      </c>
      <c r="I859" s="7">
        <v>40</v>
      </c>
      <c r="J859" s="7">
        <v>49</v>
      </c>
      <c r="K859" s="20">
        <v>10021.14</v>
      </c>
      <c r="L859" s="20">
        <v>223.74</v>
      </c>
      <c r="M859" s="7">
        <v>50.02</v>
      </c>
      <c r="N859" s="20">
        <f>Table15[[#This Row],[Processing Fee]]-Table15[[#This Row],[Discount Applied]]</f>
        <v>173.72</v>
      </c>
      <c r="O859" s="7" t="str">
        <f>IF(Table15[[#This Row],[Revenue]]&gt;35000,"Achieved","Not Achieved")</f>
        <v>Not Achieved</v>
      </c>
      <c r="P859" s="8">
        <v>2</v>
      </c>
      <c r="Q859" s="7" t="str">
        <f>IF(AND(Table15[[#This Row],[CSAT Score]]&lt;=3,Table15[[#This Row],[Revenue]]&gt;=20000),"High-Risk","Stable")</f>
        <v>Stable</v>
      </c>
      <c r="R859" s="8" t="str" cm="1">
        <f t="array" ref="R859">_xlfn.IFS(Table15[[#This Row],[Revenue]]&gt;=35000,"Platinum",Table15[[#This Row],[Revenue]]&gt;=15000,"Gold",TRUE,"Standard")</f>
        <v>Standard</v>
      </c>
      <c r="S859" s="8" t="str">
        <f>IF(OR(Table15[[#This Row],[Product]]="Wealth Management",Table15[[#This Row],[Revenue]]&gt;=40000),"Yes","No")</f>
        <v>No</v>
      </c>
    </row>
    <row r="860" spans="1:19" x14ac:dyDescent="0.3">
      <c r="A860" s="5" t="s">
        <v>918</v>
      </c>
      <c r="B860" s="6">
        <v>45909</v>
      </c>
      <c r="C860" s="7" t="s">
        <v>55</v>
      </c>
      <c r="D860" s="7" t="s">
        <v>27</v>
      </c>
      <c r="E860" s="7" t="s">
        <v>39</v>
      </c>
      <c r="F860" s="7" t="s">
        <v>22</v>
      </c>
      <c r="G860" s="7" t="s">
        <v>23</v>
      </c>
      <c r="H860" s="7" t="s">
        <v>53</v>
      </c>
      <c r="I860" s="7">
        <v>67</v>
      </c>
      <c r="J860" s="7">
        <v>29</v>
      </c>
      <c r="K860" s="20">
        <v>36009.949999999997</v>
      </c>
      <c r="L860" s="20">
        <v>360.42</v>
      </c>
      <c r="M860" s="7">
        <v>167.31</v>
      </c>
      <c r="N860" s="20">
        <f>Table15[[#This Row],[Processing Fee]]-Table15[[#This Row],[Discount Applied]]</f>
        <v>193.11</v>
      </c>
      <c r="O860" s="7" t="str">
        <f>IF(Table15[[#This Row],[Revenue]]&gt;35000,"Achieved","Not Achieved")</f>
        <v>Achieved</v>
      </c>
      <c r="P860" s="8">
        <v>2</v>
      </c>
      <c r="Q860" s="7" t="str">
        <f>IF(AND(Table15[[#This Row],[CSAT Score]]&lt;=3,Table15[[#This Row],[Revenue]]&gt;=20000),"High-Risk","Stable")</f>
        <v>High-Risk</v>
      </c>
      <c r="R860" s="8" t="str" cm="1">
        <f t="array" ref="R860">_xlfn.IFS(Table15[[#This Row],[Revenue]]&gt;=35000,"Platinum",Table15[[#This Row],[Revenue]]&gt;=15000,"Gold",TRUE,"Standard")</f>
        <v>Platinum</v>
      </c>
      <c r="S860" s="8" t="str">
        <f>IF(OR(Table15[[#This Row],[Product]]="Wealth Management",Table15[[#This Row],[Revenue]]&gt;=40000),"Yes","No")</f>
        <v>Yes</v>
      </c>
    </row>
    <row r="861" spans="1:19" x14ac:dyDescent="0.3">
      <c r="A861" s="5" t="s">
        <v>919</v>
      </c>
      <c r="B861" s="6">
        <v>46093</v>
      </c>
      <c r="C861" s="7" t="s">
        <v>19</v>
      </c>
      <c r="D861" s="7" t="s">
        <v>20</v>
      </c>
      <c r="E861" s="7" t="s">
        <v>39</v>
      </c>
      <c r="F861" s="7" t="s">
        <v>69</v>
      </c>
      <c r="G861" s="7" t="s">
        <v>65</v>
      </c>
      <c r="H861" s="7" t="s">
        <v>53</v>
      </c>
      <c r="I861" s="7">
        <v>24</v>
      </c>
      <c r="J861" s="7">
        <v>95</v>
      </c>
      <c r="K861" s="20">
        <v>33384.800000000003</v>
      </c>
      <c r="L861" s="20">
        <v>321.10000000000002</v>
      </c>
      <c r="M861" s="7">
        <v>102.46</v>
      </c>
      <c r="N861" s="20">
        <f>Table15[[#This Row],[Processing Fee]]-Table15[[#This Row],[Discount Applied]]</f>
        <v>218.64000000000004</v>
      </c>
      <c r="O861" s="7" t="str">
        <f>IF(Table15[[#This Row],[Revenue]]&gt;35000,"Achieved","Not Achieved")</f>
        <v>Not Achieved</v>
      </c>
      <c r="P861" s="8">
        <v>3</v>
      </c>
      <c r="Q861" s="7" t="str">
        <f>IF(AND(Table15[[#This Row],[CSAT Score]]&lt;=3,Table15[[#This Row],[Revenue]]&gt;=20000),"High-Risk","Stable")</f>
        <v>High-Risk</v>
      </c>
      <c r="R861" s="8" t="str" cm="1">
        <f t="array" ref="R861">_xlfn.IFS(Table15[[#This Row],[Revenue]]&gt;=35000,"Platinum",Table15[[#This Row],[Revenue]]&gt;=15000,"Gold",TRUE,"Standard")</f>
        <v>Gold</v>
      </c>
      <c r="S861" s="8" t="str">
        <f>IF(OR(Table15[[#This Row],[Product]]="Wealth Management",Table15[[#This Row],[Revenue]]&gt;=40000),"Yes","No")</f>
        <v>No</v>
      </c>
    </row>
    <row r="862" spans="1:19" x14ac:dyDescent="0.3">
      <c r="A862" s="5" t="s">
        <v>920</v>
      </c>
      <c r="B862" s="6">
        <v>46030</v>
      </c>
      <c r="C862" s="7" t="s">
        <v>26</v>
      </c>
      <c r="D862" s="7" t="s">
        <v>83</v>
      </c>
      <c r="E862" s="7" t="s">
        <v>28</v>
      </c>
      <c r="F862" s="7" t="s">
        <v>35</v>
      </c>
      <c r="G862" s="7" t="s">
        <v>23</v>
      </c>
      <c r="H862" s="7" t="s">
        <v>31</v>
      </c>
      <c r="I862" s="7">
        <v>71</v>
      </c>
      <c r="J862" s="7">
        <v>4</v>
      </c>
      <c r="K862" s="20">
        <v>17497.2</v>
      </c>
      <c r="L862" s="20">
        <v>98.26</v>
      </c>
      <c r="M862" s="7">
        <v>40.58</v>
      </c>
      <c r="N862" s="20">
        <f>Table15[[#This Row],[Processing Fee]]-Table15[[#This Row],[Discount Applied]]</f>
        <v>57.680000000000007</v>
      </c>
      <c r="O862" s="7" t="str">
        <f>IF(Table15[[#This Row],[Revenue]]&gt;35000,"Achieved","Not Achieved")</f>
        <v>Not Achieved</v>
      </c>
      <c r="P862" s="8">
        <v>1</v>
      </c>
      <c r="Q862" s="7" t="str">
        <f>IF(AND(Table15[[#This Row],[CSAT Score]]&lt;=3,Table15[[#This Row],[Revenue]]&gt;=20000),"High-Risk","Stable")</f>
        <v>Stable</v>
      </c>
      <c r="R862" s="8" t="str" cm="1">
        <f t="array" ref="R862">_xlfn.IFS(Table15[[#This Row],[Revenue]]&gt;=35000,"Platinum",Table15[[#This Row],[Revenue]]&gt;=15000,"Gold",TRUE,"Standard")</f>
        <v>Gold</v>
      </c>
      <c r="S862" s="8" t="str">
        <f>IF(OR(Table15[[#This Row],[Product]]="Wealth Management",Table15[[#This Row],[Revenue]]&gt;=40000),"Yes","No")</f>
        <v>No</v>
      </c>
    </row>
    <row r="863" spans="1:19" x14ac:dyDescent="0.3">
      <c r="A863" s="5" t="s">
        <v>921</v>
      </c>
      <c r="B863" s="6">
        <v>46083</v>
      </c>
      <c r="C863" s="7" t="s">
        <v>91</v>
      </c>
      <c r="D863" s="7" t="s">
        <v>79</v>
      </c>
      <c r="E863" s="7" t="s">
        <v>39</v>
      </c>
      <c r="F863" s="7" t="s">
        <v>69</v>
      </c>
      <c r="G863" s="7" t="s">
        <v>65</v>
      </c>
      <c r="H863" s="7" t="s">
        <v>24</v>
      </c>
      <c r="I863" s="7">
        <v>41</v>
      </c>
      <c r="J863" s="7">
        <v>82</v>
      </c>
      <c r="K863" s="20">
        <v>1445.41</v>
      </c>
      <c r="L863" s="20">
        <v>278.68</v>
      </c>
      <c r="M863" s="7">
        <v>114.2</v>
      </c>
      <c r="N863" s="20">
        <f>Table15[[#This Row],[Processing Fee]]-Table15[[#This Row],[Discount Applied]]</f>
        <v>164.48000000000002</v>
      </c>
      <c r="O863" s="7" t="str">
        <f>IF(Table15[[#This Row],[Revenue]]&gt;35000,"Achieved","Not Achieved")</f>
        <v>Not Achieved</v>
      </c>
      <c r="P863" s="8">
        <v>2</v>
      </c>
      <c r="Q863" s="7" t="str">
        <f>IF(AND(Table15[[#This Row],[CSAT Score]]&lt;=3,Table15[[#This Row],[Revenue]]&gt;=20000),"High-Risk","Stable")</f>
        <v>Stable</v>
      </c>
      <c r="R863" s="8" t="str" cm="1">
        <f t="array" ref="R863">_xlfn.IFS(Table15[[#This Row],[Revenue]]&gt;=35000,"Platinum",Table15[[#This Row],[Revenue]]&gt;=15000,"Gold",TRUE,"Standard")</f>
        <v>Standard</v>
      </c>
      <c r="S863" s="8" t="str">
        <f>IF(OR(Table15[[#This Row],[Product]]="Wealth Management",Table15[[#This Row],[Revenue]]&gt;=40000),"Yes","No")</f>
        <v>No</v>
      </c>
    </row>
    <row r="864" spans="1:19" x14ac:dyDescent="0.3">
      <c r="A864" s="5" t="s">
        <v>922</v>
      </c>
      <c r="B864" s="6">
        <v>46135</v>
      </c>
      <c r="C864" s="7" t="s">
        <v>55</v>
      </c>
      <c r="D864" s="7" t="s">
        <v>68</v>
      </c>
      <c r="E864" s="7" t="s">
        <v>28</v>
      </c>
      <c r="F864" s="7" t="s">
        <v>29</v>
      </c>
      <c r="G864" s="7" t="s">
        <v>36</v>
      </c>
      <c r="H864" s="7" t="s">
        <v>31</v>
      </c>
      <c r="I864" s="7">
        <v>23</v>
      </c>
      <c r="J864" s="7">
        <v>20</v>
      </c>
      <c r="K864" s="20">
        <v>34644.67</v>
      </c>
      <c r="L864" s="20">
        <v>380.97</v>
      </c>
      <c r="M864" s="7">
        <v>122.37</v>
      </c>
      <c r="N864" s="20">
        <f>Table15[[#This Row],[Processing Fee]]-Table15[[#This Row],[Discount Applied]]</f>
        <v>258.60000000000002</v>
      </c>
      <c r="O864" s="7" t="str">
        <f>IF(Table15[[#This Row],[Revenue]]&gt;35000,"Achieved","Not Achieved")</f>
        <v>Not Achieved</v>
      </c>
      <c r="P864" s="8">
        <v>1</v>
      </c>
      <c r="Q864" s="7" t="str">
        <f>IF(AND(Table15[[#This Row],[CSAT Score]]&lt;=3,Table15[[#This Row],[Revenue]]&gt;=20000),"High-Risk","Stable")</f>
        <v>High-Risk</v>
      </c>
      <c r="R864" s="8" t="str" cm="1">
        <f t="array" ref="R864">_xlfn.IFS(Table15[[#This Row],[Revenue]]&gt;=35000,"Platinum",Table15[[#This Row],[Revenue]]&gt;=15000,"Gold",TRUE,"Standard")</f>
        <v>Gold</v>
      </c>
      <c r="S864" s="8" t="str">
        <f>IF(OR(Table15[[#This Row],[Product]]="Wealth Management",Table15[[#This Row],[Revenue]]&gt;=40000),"Yes","No")</f>
        <v>No</v>
      </c>
    </row>
    <row r="865" spans="1:19" x14ac:dyDescent="0.3">
      <c r="A865" s="5" t="s">
        <v>923</v>
      </c>
      <c r="B865" s="6">
        <v>46135</v>
      </c>
      <c r="C865" s="7" t="s">
        <v>55</v>
      </c>
      <c r="D865" s="7" t="s">
        <v>52</v>
      </c>
      <c r="E865" s="7" t="s">
        <v>46</v>
      </c>
      <c r="F865" s="7" t="s">
        <v>35</v>
      </c>
      <c r="G865" s="7" t="s">
        <v>65</v>
      </c>
      <c r="H865" s="7" t="s">
        <v>24</v>
      </c>
      <c r="I865" s="7">
        <v>65</v>
      </c>
      <c r="J865" s="7">
        <v>47</v>
      </c>
      <c r="K865" s="20">
        <v>47302</v>
      </c>
      <c r="L865" s="20">
        <v>496.43</v>
      </c>
      <c r="M865" s="7">
        <v>132.29</v>
      </c>
      <c r="N865" s="20">
        <f>Table15[[#This Row],[Processing Fee]]-Table15[[#This Row],[Discount Applied]]</f>
        <v>364.14</v>
      </c>
      <c r="O865" s="7" t="str">
        <f>IF(Table15[[#This Row],[Revenue]]&gt;35000,"Achieved","Not Achieved")</f>
        <v>Achieved</v>
      </c>
      <c r="P865" s="8">
        <v>3</v>
      </c>
      <c r="Q865" s="7" t="str">
        <f>IF(AND(Table15[[#This Row],[CSAT Score]]&lt;=3,Table15[[#This Row],[Revenue]]&gt;=20000),"High-Risk","Stable")</f>
        <v>High-Risk</v>
      </c>
      <c r="R865" s="8" t="str" cm="1">
        <f t="array" ref="R865">_xlfn.IFS(Table15[[#This Row],[Revenue]]&gt;=35000,"Platinum",Table15[[#This Row],[Revenue]]&gt;=15000,"Gold",TRUE,"Standard")</f>
        <v>Platinum</v>
      </c>
      <c r="S865" s="8" t="str">
        <f>IF(OR(Table15[[#This Row],[Product]]="Wealth Management",Table15[[#This Row],[Revenue]]&gt;=40000),"Yes","No")</f>
        <v>Yes</v>
      </c>
    </row>
    <row r="866" spans="1:19" x14ac:dyDescent="0.3">
      <c r="A866" s="5" t="s">
        <v>924</v>
      </c>
      <c r="B866" s="6">
        <v>45928</v>
      </c>
      <c r="C866" s="7" t="s">
        <v>26</v>
      </c>
      <c r="D866" s="7" t="s">
        <v>50</v>
      </c>
      <c r="E866" s="7" t="s">
        <v>59</v>
      </c>
      <c r="F866" s="7" t="s">
        <v>69</v>
      </c>
      <c r="G866" s="7" t="s">
        <v>36</v>
      </c>
      <c r="H866" s="7" t="s">
        <v>53</v>
      </c>
      <c r="I866" s="7">
        <v>28</v>
      </c>
      <c r="J866" s="7">
        <v>107</v>
      </c>
      <c r="K866" s="20">
        <v>31789.95</v>
      </c>
      <c r="L866" s="20">
        <v>333.12</v>
      </c>
      <c r="M866" s="7">
        <v>176.38</v>
      </c>
      <c r="N866" s="20">
        <f>Table15[[#This Row],[Processing Fee]]-Table15[[#This Row],[Discount Applied]]</f>
        <v>156.74</v>
      </c>
      <c r="O866" s="7" t="str">
        <f>IF(Table15[[#This Row],[Revenue]]&gt;35000,"Achieved","Not Achieved")</f>
        <v>Not Achieved</v>
      </c>
      <c r="P866" s="8">
        <v>3</v>
      </c>
      <c r="Q866" s="7" t="str">
        <f>IF(AND(Table15[[#This Row],[CSAT Score]]&lt;=3,Table15[[#This Row],[Revenue]]&gt;=20000),"High-Risk","Stable")</f>
        <v>High-Risk</v>
      </c>
      <c r="R866" s="8" t="str" cm="1">
        <f t="array" ref="R866">_xlfn.IFS(Table15[[#This Row],[Revenue]]&gt;=35000,"Platinum",Table15[[#This Row],[Revenue]]&gt;=15000,"Gold",TRUE,"Standard")</f>
        <v>Gold</v>
      </c>
      <c r="S866" s="8" t="str">
        <f>IF(OR(Table15[[#This Row],[Product]]="Wealth Management",Table15[[#This Row],[Revenue]]&gt;=40000),"Yes","No")</f>
        <v>No</v>
      </c>
    </row>
    <row r="867" spans="1:19" x14ac:dyDescent="0.3">
      <c r="A867" s="5" t="s">
        <v>925</v>
      </c>
      <c r="B867" s="6">
        <v>46120</v>
      </c>
      <c r="C867" s="7" t="s">
        <v>91</v>
      </c>
      <c r="D867" s="7" t="s">
        <v>38</v>
      </c>
      <c r="E867" s="7" t="s">
        <v>46</v>
      </c>
      <c r="F867" s="7" t="s">
        <v>40</v>
      </c>
      <c r="G867" s="7" t="s">
        <v>36</v>
      </c>
      <c r="H867" s="7" t="s">
        <v>57</v>
      </c>
      <c r="I867" s="7">
        <v>43</v>
      </c>
      <c r="J867" s="7">
        <v>108</v>
      </c>
      <c r="K867" s="20">
        <v>22046.99</v>
      </c>
      <c r="L867" s="20">
        <v>216.63</v>
      </c>
      <c r="M867" s="7">
        <v>81.88</v>
      </c>
      <c r="N867" s="20">
        <f>Table15[[#This Row],[Processing Fee]]-Table15[[#This Row],[Discount Applied]]</f>
        <v>134.75</v>
      </c>
      <c r="O867" s="7" t="str">
        <f>IF(Table15[[#This Row],[Revenue]]&gt;35000,"Achieved","Not Achieved")</f>
        <v>Not Achieved</v>
      </c>
      <c r="P867" s="8">
        <v>5</v>
      </c>
      <c r="Q867" s="7" t="str">
        <f>IF(AND(Table15[[#This Row],[CSAT Score]]&lt;=3,Table15[[#This Row],[Revenue]]&gt;=20000),"High-Risk","Stable")</f>
        <v>Stable</v>
      </c>
      <c r="R867" s="8" t="str" cm="1">
        <f t="array" ref="R867">_xlfn.IFS(Table15[[#This Row],[Revenue]]&gt;=35000,"Platinum",Table15[[#This Row],[Revenue]]&gt;=15000,"Gold",TRUE,"Standard")</f>
        <v>Gold</v>
      </c>
      <c r="S867" s="8" t="str">
        <f>IF(OR(Table15[[#This Row],[Product]]="Wealth Management",Table15[[#This Row],[Revenue]]&gt;=40000),"Yes","No")</f>
        <v>No</v>
      </c>
    </row>
    <row r="868" spans="1:19" x14ac:dyDescent="0.3">
      <c r="A868" s="5" t="s">
        <v>926</v>
      </c>
      <c r="B868" s="6">
        <v>46156</v>
      </c>
      <c r="C868" s="7" t="s">
        <v>33</v>
      </c>
      <c r="D868" s="7" t="s">
        <v>45</v>
      </c>
      <c r="E868" s="7" t="s">
        <v>39</v>
      </c>
      <c r="F868" s="7" t="s">
        <v>40</v>
      </c>
      <c r="G868" s="7" t="s">
        <v>65</v>
      </c>
      <c r="H868" s="7" t="s">
        <v>31</v>
      </c>
      <c r="I868" s="7">
        <v>36</v>
      </c>
      <c r="J868" s="7">
        <v>9</v>
      </c>
      <c r="K868" s="20">
        <v>26495.119999999999</v>
      </c>
      <c r="L868" s="20">
        <v>151.77000000000001</v>
      </c>
      <c r="M868" s="7">
        <v>86.97</v>
      </c>
      <c r="N868" s="20">
        <f>Table15[[#This Row],[Processing Fee]]-Table15[[#This Row],[Discount Applied]]</f>
        <v>64.800000000000011</v>
      </c>
      <c r="O868" s="7" t="str">
        <f>IF(Table15[[#This Row],[Revenue]]&gt;35000,"Achieved","Not Achieved")</f>
        <v>Not Achieved</v>
      </c>
      <c r="P868" s="8">
        <v>2</v>
      </c>
      <c r="Q868" s="7" t="str">
        <f>IF(AND(Table15[[#This Row],[CSAT Score]]&lt;=3,Table15[[#This Row],[Revenue]]&gt;=20000),"High-Risk","Stable")</f>
        <v>High-Risk</v>
      </c>
      <c r="R868" s="8" t="str" cm="1">
        <f t="array" ref="R868">_xlfn.IFS(Table15[[#This Row],[Revenue]]&gt;=35000,"Platinum",Table15[[#This Row],[Revenue]]&gt;=15000,"Gold",TRUE,"Standard")</f>
        <v>Gold</v>
      </c>
      <c r="S868" s="8" t="str">
        <f>IF(OR(Table15[[#This Row],[Product]]="Wealth Management",Table15[[#This Row],[Revenue]]&gt;=40000),"Yes","No")</f>
        <v>No</v>
      </c>
    </row>
    <row r="869" spans="1:19" x14ac:dyDescent="0.3">
      <c r="A869" s="5" t="s">
        <v>927</v>
      </c>
      <c r="B869" s="6">
        <v>46042</v>
      </c>
      <c r="C869" s="7" t="s">
        <v>75</v>
      </c>
      <c r="D869" s="7" t="s">
        <v>87</v>
      </c>
      <c r="E869" s="7" t="s">
        <v>46</v>
      </c>
      <c r="F869" s="7" t="s">
        <v>29</v>
      </c>
      <c r="G869" s="7" t="s">
        <v>30</v>
      </c>
      <c r="H869" s="7" t="s">
        <v>24</v>
      </c>
      <c r="I869" s="7">
        <v>33</v>
      </c>
      <c r="J869" s="7">
        <v>77</v>
      </c>
      <c r="K869" s="20">
        <v>10381.629999999999</v>
      </c>
      <c r="L869" s="20">
        <v>442.77</v>
      </c>
      <c r="M869" s="7">
        <v>2.9</v>
      </c>
      <c r="N869" s="20">
        <f>Table15[[#This Row],[Processing Fee]]-Table15[[#This Row],[Discount Applied]]</f>
        <v>439.87</v>
      </c>
      <c r="O869" s="7" t="str">
        <f>IF(Table15[[#This Row],[Revenue]]&gt;35000,"Achieved","Not Achieved")</f>
        <v>Not Achieved</v>
      </c>
      <c r="P869" s="8">
        <v>5</v>
      </c>
      <c r="Q869" s="7" t="str">
        <f>IF(AND(Table15[[#This Row],[CSAT Score]]&lt;=3,Table15[[#This Row],[Revenue]]&gt;=20000),"High-Risk","Stable")</f>
        <v>Stable</v>
      </c>
      <c r="R869" s="8" t="str" cm="1">
        <f t="array" ref="R869">_xlfn.IFS(Table15[[#This Row],[Revenue]]&gt;=35000,"Platinum",Table15[[#This Row],[Revenue]]&gt;=15000,"Gold",TRUE,"Standard")</f>
        <v>Standard</v>
      </c>
      <c r="S869" s="8" t="str">
        <f>IF(OR(Table15[[#This Row],[Product]]="Wealth Management",Table15[[#This Row],[Revenue]]&gt;=40000),"Yes","No")</f>
        <v>No</v>
      </c>
    </row>
    <row r="870" spans="1:19" x14ac:dyDescent="0.3">
      <c r="A870" s="5" t="s">
        <v>928</v>
      </c>
      <c r="B870" s="6">
        <v>46136</v>
      </c>
      <c r="C870" s="7" t="s">
        <v>19</v>
      </c>
      <c r="D870" s="7" t="s">
        <v>77</v>
      </c>
      <c r="E870" s="7" t="s">
        <v>46</v>
      </c>
      <c r="F870" s="7" t="s">
        <v>35</v>
      </c>
      <c r="G870" s="7" t="s">
        <v>56</v>
      </c>
      <c r="H870" s="7" t="s">
        <v>53</v>
      </c>
      <c r="I870" s="7">
        <v>23</v>
      </c>
      <c r="J870" s="7">
        <v>79</v>
      </c>
      <c r="K870" s="20">
        <v>37651.94</v>
      </c>
      <c r="L870" s="20">
        <v>416.55</v>
      </c>
      <c r="M870" s="7">
        <v>114.97</v>
      </c>
      <c r="N870" s="20">
        <f>Table15[[#This Row],[Processing Fee]]-Table15[[#This Row],[Discount Applied]]</f>
        <v>301.58000000000004</v>
      </c>
      <c r="O870" s="7" t="str">
        <f>IF(Table15[[#This Row],[Revenue]]&gt;35000,"Achieved","Not Achieved")</f>
        <v>Achieved</v>
      </c>
      <c r="P870" s="8">
        <v>2</v>
      </c>
      <c r="Q870" s="7" t="str">
        <f>IF(AND(Table15[[#This Row],[CSAT Score]]&lt;=3,Table15[[#This Row],[Revenue]]&gt;=20000),"High-Risk","Stable")</f>
        <v>High-Risk</v>
      </c>
      <c r="R870" s="8" t="str" cm="1">
        <f t="array" ref="R870">_xlfn.IFS(Table15[[#This Row],[Revenue]]&gt;=35000,"Platinum",Table15[[#This Row],[Revenue]]&gt;=15000,"Gold",TRUE,"Standard")</f>
        <v>Platinum</v>
      </c>
      <c r="S870" s="8" t="str">
        <f>IF(OR(Table15[[#This Row],[Product]]="Wealth Management",Table15[[#This Row],[Revenue]]&gt;=40000),"Yes","No")</f>
        <v>No</v>
      </c>
    </row>
    <row r="871" spans="1:19" x14ac:dyDescent="0.3">
      <c r="A871" s="5" t="s">
        <v>929</v>
      </c>
      <c r="B871" s="6">
        <v>46089</v>
      </c>
      <c r="C871" s="7" t="s">
        <v>75</v>
      </c>
      <c r="D871" s="7" t="s">
        <v>50</v>
      </c>
      <c r="E871" s="7" t="s">
        <v>46</v>
      </c>
      <c r="F871" s="7" t="s">
        <v>35</v>
      </c>
      <c r="G871" s="7" t="s">
        <v>23</v>
      </c>
      <c r="H871" s="7" t="s">
        <v>24</v>
      </c>
      <c r="I871" s="7">
        <v>68</v>
      </c>
      <c r="J871" s="7">
        <v>27</v>
      </c>
      <c r="K871" s="20">
        <v>37447.78</v>
      </c>
      <c r="L871" s="20">
        <v>155.27000000000001</v>
      </c>
      <c r="M871" s="7">
        <v>80.45</v>
      </c>
      <c r="N871" s="20">
        <f>Table15[[#This Row],[Processing Fee]]-Table15[[#This Row],[Discount Applied]]</f>
        <v>74.820000000000007</v>
      </c>
      <c r="O871" s="7" t="str">
        <f>IF(Table15[[#This Row],[Revenue]]&gt;35000,"Achieved","Not Achieved")</f>
        <v>Achieved</v>
      </c>
      <c r="P871" s="8">
        <v>3</v>
      </c>
      <c r="Q871" s="7" t="str">
        <f>IF(AND(Table15[[#This Row],[CSAT Score]]&lt;=3,Table15[[#This Row],[Revenue]]&gt;=20000),"High-Risk","Stable")</f>
        <v>High-Risk</v>
      </c>
      <c r="R871" s="8" t="str" cm="1">
        <f t="array" ref="R871">_xlfn.IFS(Table15[[#This Row],[Revenue]]&gt;=35000,"Platinum",Table15[[#This Row],[Revenue]]&gt;=15000,"Gold",TRUE,"Standard")</f>
        <v>Platinum</v>
      </c>
      <c r="S871" s="8" t="str">
        <f>IF(OR(Table15[[#This Row],[Product]]="Wealth Management",Table15[[#This Row],[Revenue]]&gt;=40000),"Yes","No")</f>
        <v>No</v>
      </c>
    </row>
    <row r="872" spans="1:19" x14ac:dyDescent="0.3">
      <c r="A872" s="5" t="s">
        <v>930</v>
      </c>
      <c r="B872" s="6">
        <v>46199</v>
      </c>
      <c r="C872" s="7" t="s">
        <v>33</v>
      </c>
      <c r="D872" s="7" t="s">
        <v>34</v>
      </c>
      <c r="E872" s="7" t="s">
        <v>39</v>
      </c>
      <c r="F872" s="7" t="s">
        <v>35</v>
      </c>
      <c r="G872" s="7" t="s">
        <v>56</v>
      </c>
      <c r="H872" s="7" t="s">
        <v>24</v>
      </c>
      <c r="I872" s="7">
        <v>29</v>
      </c>
      <c r="J872" s="7">
        <v>15</v>
      </c>
      <c r="K872" s="20">
        <v>7703.11</v>
      </c>
      <c r="L872" s="20">
        <v>140.28</v>
      </c>
      <c r="M872" s="7">
        <v>74.930000000000007</v>
      </c>
      <c r="N872" s="20">
        <f>Table15[[#This Row],[Processing Fee]]-Table15[[#This Row],[Discount Applied]]</f>
        <v>65.349999999999994</v>
      </c>
      <c r="O872" s="7" t="str">
        <f>IF(Table15[[#This Row],[Revenue]]&gt;35000,"Achieved","Not Achieved")</f>
        <v>Not Achieved</v>
      </c>
      <c r="P872" s="8">
        <v>3</v>
      </c>
      <c r="Q872" s="7" t="str">
        <f>IF(AND(Table15[[#This Row],[CSAT Score]]&lt;=3,Table15[[#This Row],[Revenue]]&gt;=20000),"High-Risk","Stable")</f>
        <v>Stable</v>
      </c>
      <c r="R872" s="8" t="str" cm="1">
        <f t="array" ref="R872">_xlfn.IFS(Table15[[#This Row],[Revenue]]&gt;=35000,"Platinum",Table15[[#This Row],[Revenue]]&gt;=15000,"Gold",TRUE,"Standard")</f>
        <v>Standard</v>
      </c>
      <c r="S872" s="8" t="str">
        <f>IF(OR(Table15[[#This Row],[Product]]="Wealth Management",Table15[[#This Row],[Revenue]]&gt;=40000),"Yes","No")</f>
        <v>No</v>
      </c>
    </row>
    <row r="873" spans="1:19" x14ac:dyDescent="0.3">
      <c r="A873" s="5" t="s">
        <v>931</v>
      </c>
      <c r="B873" s="6">
        <v>46038</v>
      </c>
      <c r="C873" s="7" t="s">
        <v>44</v>
      </c>
      <c r="D873" s="7" t="s">
        <v>77</v>
      </c>
      <c r="E873" s="7" t="s">
        <v>46</v>
      </c>
      <c r="F873" s="7" t="s">
        <v>29</v>
      </c>
      <c r="G873" s="7" t="s">
        <v>23</v>
      </c>
      <c r="H873" s="7" t="s">
        <v>24</v>
      </c>
      <c r="I873" s="7">
        <v>34</v>
      </c>
      <c r="J873" s="7">
        <v>92</v>
      </c>
      <c r="K873" s="20">
        <v>43959.93</v>
      </c>
      <c r="L873" s="20">
        <v>371.81</v>
      </c>
      <c r="M873" s="7">
        <v>36.590000000000003</v>
      </c>
      <c r="N873" s="20">
        <f>Table15[[#This Row],[Processing Fee]]-Table15[[#This Row],[Discount Applied]]</f>
        <v>335.22</v>
      </c>
      <c r="O873" s="7" t="str">
        <f>IF(Table15[[#This Row],[Revenue]]&gt;35000,"Achieved","Not Achieved")</f>
        <v>Achieved</v>
      </c>
      <c r="P873" s="8">
        <v>4</v>
      </c>
      <c r="Q873" s="7" t="str">
        <f>IF(AND(Table15[[#This Row],[CSAT Score]]&lt;=3,Table15[[#This Row],[Revenue]]&gt;=20000),"High-Risk","Stable")</f>
        <v>Stable</v>
      </c>
      <c r="R873" s="8" t="str" cm="1">
        <f t="array" ref="R873">_xlfn.IFS(Table15[[#This Row],[Revenue]]&gt;=35000,"Platinum",Table15[[#This Row],[Revenue]]&gt;=15000,"Gold",TRUE,"Standard")</f>
        <v>Platinum</v>
      </c>
      <c r="S873" s="8" t="str">
        <f>IF(OR(Table15[[#This Row],[Product]]="Wealth Management",Table15[[#This Row],[Revenue]]&gt;=40000),"Yes","No")</f>
        <v>Yes</v>
      </c>
    </row>
    <row r="874" spans="1:19" x14ac:dyDescent="0.3">
      <c r="A874" s="5" t="s">
        <v>932</v>
      </c>
      <c r="B874" s="6">
        <v>46185</v>
      </c>
      <c r="C874" s="7" t="s">
        <v>55</v>
      </c>
      <c r="D874" s="7" t="s">
        <v>45</v>
      </c>
      <c r="E874" s="7" t="s">
        <v>28</v>
      </c>
      <c r="F874" s="7" t="s">
        <v>35</v>
      </c>
      <c r="G874" s="7" t="s">
        <v>23</v>
      </c>
      <c r="H874" s="7" t="s">
        <v>53</v>
      </c>
      <c r="I874" s="7">
        <v>33</v>
      </c>
      <c r="J874" s="7">
        <v>101</v>
      </c>
      <c r="K874" s="20">
        <v>13824.89</v>
      </c>
      <c r="L874" s="20">
        <v>191.73</v>
      </c>
      <c r="M874" s="7">
        <v>86.01</v>
      </c>
      <c r="N874" s="20">
        <f>Table15[[#This Row],[Processing Fee]]-Table15[[#This Row],[Discount Applied]]</f>
        <v>105.71999999999998</v>
      </c>
      <c r="O874" s="7" t="str">
        <f>IF(Table15[[#This Row],[Revenue]]&gt;35000,"Achieved","Not Achieved")</f>
        <v>Not Achieved</v>
      </c>
      <c r="P874" s="8">
        <v>4</v>
      </c>
      <c r="Q874" s="7" t="str">
        <f>IF(AND(Table15[[#This Row],[CSAT Score]]&lt;=3,Table15[[#This Row],[Revenue]]&gt;=20000),"High-Risk","Stable")</f>
        <v>Stable</v>
      </c>
      <c r="R874" s="8" t="str" cm="1">
        <f t="array" ref="R874">_xlfn.IFS(Table15[[#This Row],[Revenue]]&gt;=35000,"Platinum",Table15[[#This Row],[Revenue]]&gt;=15000,"Gold",TRUE,"Standard")</f>
        <v>Standard</v>
      </c>
      <c r="S874" s="8" t="str">
        <f>IF(OR(Table15[[#This Row],[Product]]="Wealth Management",Table15[[#This Row],[Revenue]]&gt;=40000),"Yes","No")</f>
        <v>No</v>
      </c>
    </row>
    <row r="875" spans="1:19" x14ac:dyDescent="0.3">
      <c r="A875" s="5" t="s">
        <v>933</v>
      </c>
      <c r="B875" s="6">
        <v>46012</v>
      </c>
      <c r="C875" s="7" t="s">
        <v>91</v>
      </c>
      <c r="D875" s="7" t="s">
        <v>52</v>
      </c>
      <c r="E875" s="7" t="s">
        <v>39</v>
      </c>
      <c r="F875" s="7" t="s">
        <v>40</v>
      </c>
      <c r="G875" s="7" t="s">
        <v>36</v>
      </c>
      <c r="H875" s="7" t="s">
        <v>57</v>
      </c>
      <c r="I875" s="7">
        <v>73</v>
      </c>
      <c r="J875" s="7">
        <v>119</v>
      </c>
      <c r="K875" s="20">
        <v>49121.68</v>
      </c>
      <c r="L875" s="20">
        <v>187.88</v>
      </c>
      <c r="M875" s="7">
        <v>196.89</v>
      </c>
      <c r="N875" s="20">
        <f>Table15[[#This Row],[Processing Fee]]-Table15[[#This Row],[Discount Applied]]</f>
        <v>-9.0099999999999909</v>
      </c>
      <c r="O875" s="7" t="str">
        <f>IF(Table15[[#This Row],[Revenue]]&gt;35000,"Achieved","Not Achieved")</f>
        <v>Achieved</v>
      </c>
      <c r="P875" s="8">
        <v>3</v>
      </c>
      <c r="Q875" s="7" t="str">
        <f>IF(AND(Table15[[#This Row],[CSAT Score]]&lt;=3,Table15[[#This Row],[Revenue]]&gt;=20000),"High-Risk","Stable")</f>
        <v>High-Risk</v>
      </c>
      <c r="R875" s="8" t="str" cm="1">
        <f t="array" ref="R875">_xlfn.IFS(Table15[[#This Row],[Revenue]]&gt;=35000,"Platinum",Table15[[#This Row],[Revenue]]&gt;=15000,"Gold",TRUE,"Standard")</f>
        <v>Platinum</v>
      </c>
      <c r="S875" s="8" t="str">
        <f>IF(OR(Table15[[#This Row],[Product]]="Wealth Management",Table15[[#This Row],[Revenue]]&gt;=40000),"Yes","No")</f>
        <v>Yes</v>
      </c>
    </row>
    <row r="876" spans="1:19" x14ac:dyDescent="0.3">
      <c r="A876" s="5" t="s">
        <v>934</v>
      </c>
      <c r="B876" s="6">
        <v>45976</v>
      </c>
      <c r="C876" s="7" t="s">
        <v>55</v>
      </c>
      <c r="D876" s="7" t="s">
        <v>61</v>
      </c>
      <c r="E876" s="7" t="s">
        <v>46</v>
      </c>
      <c r="F876" s="7" t="s">
        <v>69</v>
      </c>
      <c r="G876" s="7" t="s">
        <v>23</v>
      </c>
      <c r="H876" s="7" t="s">
        <v>57</v>
      </c>
      <c r="I876" s="7">
        <v>27</v>
      </c>
      <c r="J876" s="7">
        <v>19</v>
      </c>
      <c r="K876" s="20">
        <v>19453.7</v>
      </c>
      <c r="L876" s="20">
        <v>118.53</v>
      </c>
      <c r="M876" s="7">
        <v>59.55</v>
      </c>
      <c r="N876" s="20">
        <f>Table15[[#This Row],[Processing Fee]]-Table15[[#This Row],[Discount Applied]]</f>
        <v>58.980000000000004</v>
      </c>
      <c r="O876" s="7" t="str">
        <f>IF(Table15[[#This Row],[Revenue]]&gt;35000,"Achieved","Not Achieved")</f>
        <v>Not Achieved</v>
      </c>
      <c r="P876" s="8">
        <v>3</v>
      </c>
      <c r="Q876" s="7" t="str">
        <f>IF(AND(Table15[[#This Row],[CSAT Score]]&lt;=3,Table15[[#This Row],[Revenue]]&gt;=20000),"High-Risk","Stable")</f>
        <v>Stable</v>
      </c>
      <c r="R876" s="8" t="str" cm="1">
        <f t="array" ref="R876">_xlfn.IFS(Table15[[#This Row],[Revenue]]&gt;=35000,"Platinum",Table15[[#This Row],[Revenue]]&gt;=15000,"Gold",TRUE,"Standard")</f>
        <v>Gold</v>
      </c>
      <c r="S876" s="8" t="str">
        <f>IF(OR(Table15[[#This Row],[Product]]="Wealth Management",Table15[[#This Row],[Revenue]]&gt;=40000),"Yes","No")</f>
        <v>No</v>
      </c>
    </row>
    <row r="877" spans="1:19" x14ac:dyDescent="0.3">
      <c r="A877" s="5" t="s">
        <v>935</v>
      </c>
      <c r="B877" s="6">
        <v>45895</v>
      </c>
      <c r="C877" s="7" t="s">
        <v>42</v>
      </c>
      <c r="D877" s="7" t="s">
        <v>77</v>
      </c>
      <c r="E877" s="7" t="s">
        <v>39</v>
      </c>
      <c r="F877" s="7" t="s">
        <v>40</v>
      </c>
      <c r="G877" s="7" t="s">
        <v>23</v>
      </c>
      <c r="H877" s="7" t="s">
        <v>57</v>
      </c>
      <c r="I877" s="7">
        <v>35</v>
      </c>
      <c r="J877" s="7">
        <v>90</v>
      </c>
      <c r="K877" s="20">
        <v>9305.26</v>
      </c>
      <c r="L877" s="20">
        <v>168.79</v>
      </c>
      <c r="M877" s="7">
        <v>119.94</v>
      </c>
      <c r="N877" s="20">
        <f>Table15[[#This Row],[Processing Fee]]-Table15[[#This Row],[Discount Applied]]</f>
        <v>48.849999999999994</v>
      </c>
      <c r="O877" s="7" t="str">
        <f>IF(Table15[[#This Row],[Revenue]]&gt;35000,"Achieved","Not Achieved")</f>
        <v>Not Achieved</v>
      </c>
      <c r="P877" s="8">
        <v>1</v>
      </c>
      <c r="Q877" s="7" t="str">
        <f>IF(AND(Table15[[#This Row],[CSAT Score]]&lt;=3,Table15[[#This Row],[Revenue]]&gt;=20000),"High-Risk","Stable")</f>
        <v>Stable</v>
      </c>
      <c r="R877" s="8" t="str" cm="1">
        <f t="array" ref="R877">_xlfn.IFS(Table15[[#This Row],[Revenue]]&gt;=35000,"Platinum",Table15[[#This Row],[Revenue]]&gt;=15000,"Gold",TRUE,"Standard")</f>
        <v>Standard</v>
      </c>
      <c r="S877" s="8" t="str">
        <f>IF(OR(Table15[[#This Row],[Product]]="Wealth Management",Table15[[#This Row],[Revenue]]&gt;=40000),"Yes","No")</f>
        <v>No</v>
      </c>
    </row>
    <row r="878" spans="1:19" x14ac:dyDescent="0.3">
      <c r="A878" s="5" t="s">
        <v>936</v>
      </c>
      <c r="B878" s="6">
        <v>46099</v>
      </c>
      <c r="C878" s="7" t="s">
        <v>55</v>
      </c>
      <c r="D878" s="7" t="s">
        <v>61</v>
      </c>
      <c r="E878" s="7" t="s">
        <v>21</v>
      </c>
      <c r="F878" s="7" t="s">
        <v>40</v>
      </c>
      <c r="G878" s="7" t="s">
        <v>65</v>
      </c>
      <c r="H878" s="7" t="s">
        <v>24</v>
      </c>
      <c r="I878" s="7">
        <v>27</v>
      </c>
      <c r="J878" s="7">
        <v>52</v>
      </c>
      <c r="K878" s="20">
        <v>17910.150000000001</v>
      </c>
      <c r="L878" s="20">
        <v>242.38</v>
      </c>
      <c r="M878" s="7">
        <v>155.30000000000001</v>
      </c>
      <c r="N878" s="20">
        <f>Table15[[#This Row],[Processing Fee]]-Table15[[#This Row],[Discount Applied]]</f>
        <v>87.079999999999984</v>
      </c>
      <c r="O878" s="7" t="str">
        <f>IF(Table15[[#This Row],[Revenue]]&gt;35000,"Achieved","Not Achieved")</f>
        <v>Not Achieved</v>
      </c>
      <c r="P878" s="8">
        <v>1</v>
      </c>
      <c r="Q878" s="7" t="str">
        <f>IF(AND(Table15[[#This Row],[CSAT Score]]&lt;=3,Table15[[#This Row],[Revenue]]&gt;=20000),"High-Risk","Stable")</f>
        <v>Stable</v>
      </c>
      <c r="R878" s="8" t="str" cm="1">
        <f t="array" ref="R878">_xlfn.IFS(Table15[[#This Row],[Revenue]]&gt;=35000,"Platinum",Table15[[#This Row],[Revenue]]&gt;=15000,"Gold",TRUE,"Standard")</f>
        <v>Gold</v>
      </c>
      <c r="S878" s="8" t="str">
        <f>IF(OR(Table15[[#This Row],[Product]]="Wealth Management",Table15[[#This Row],[Revenue]]&gt;=40000),"Yes","No")</f>
        <v>No</v>
      </c>
    </row>
    <row r="879" spans="1:19" x14ac:dyDescent="0.3">
      <c r="A879" s="5" t="s">
        <v>937</v>
      </c>
      <c r="B879" s="6">
        <v>46131</v>
      </c>
      <c r="C879" s="7" t="s">
        <v>55</v>
      </c>
      <c r="D879" s="7" t="s">
        <v>68</v>
      </c>
      <c r="E879" s="7" t="s">
        <v>28</v>
      </c>
      <c r="F879" s="7" t="s">
        <v>69</v>
      </c>
      <c r="G879" s="7" t="s">
        <v>56</v>
      </c>
      <c r="H879" s="7" t="s">
        <v>53</v>
      </c>
      <c r="I879" s="7">
        <v>58</v>
      </c>
      <c r="J879" s="7">
        <v>26</v>
      </c>
      <c r="K879" s="20">
        <v>22288.93</v>
      </c>
      <c r="L879" s="20">
        <v>379.78</v>
      </c>
      <c r="M879" s="7">
        <v>149.83000000000001</v>
      </c>
      <c r="N879" s="20">
        <f>Table15[[#This Row],[Processing Fee]]-Table15[[#This Row],[Discount Applied]]</f>
        <v>229.94999999999996</v>
      </c>
      <c r="O879" s="7" t="str">
        <f>IF(Table15[[#This Row],[Revenue]]&gt;35000,"Achieved","Not Achieved")</f>
        <v>Not Achieved</v>
      </c>
      <c r="P879" s="8">
        <v>5</v>
      </c>
      <c r="Q879" s="7" t="str">
        <f>IF(AND(Table15[[#This Row],[CSAT Score]]&lt;=3,Table15[[#This Row],[Revenue]]&gt;=20000),"High-Risk","Stable")</f>
        <v>Stable</v>
      </c>
      <c r="R879" s="8" t="str" cm="1">
        <f t="array" ref="R879">_xlfn.IFS(Table15[[#This Row],[Revenue]]&gt;=35000,"Platinum",Table15[[#This Row],[Revenue]]&gt;=15000,"Gold",TRUE,"Standard")</f>
        <v>Gold</v>
      </c>
      <c r="S879" s="8" t="str">
        <f>IF(OR(Table15[[#This Row],[Product]]="Wealth Management",Table15[[#This Row],[Revenue]]&gt;=40000),"Yes","No")</f>
        <v>No</v>
      </c>
    </row>
    <row r="880" spans="1:19" x14ac:dyDescent="0.3">
      <c r="A880" s="5" t="s">
        <v>938</v>
      </c>
      <c r="B880" s="6">
        <v>45904</v>
      </c>
      <c r="C880" s="7" t="s">
        <v>33</v>
      </c>
      <c r="D880" s="7" t="s">
        <v>52</v>
      </c>
      <c r="E880" s="7" t="s">
        <v>46</v>
      </c>
      <c r="F880" s="7" t="s">
        <v>40</v>
      </c>
      <c r="G880" s="7" t="s">
        <v>65</v>
      </c>
      <c r="H880" s="7" t="s">
        <v>24</v>
      </c>
      <c r="I880" s="7">
        <v>54</v>
      </c>
      <c r="J880" s="7">
        <v>89</v>
      </c>
      <c r="K880" s="20">
        <v>3930.73</v>
      </c>
      <c r="L880" s="20">
        <v>201.34</v>
      </c>
      <c r="M880" s="7">
        <v>65.75</v>
      </c>
      <c r="N880" s="20">
        <f>Table15[[#This Row],[Processing Fee]]-Table15[[#This Row],[Discount Applied]]</f>
        <v>135.59</v>
      </c>
      <c r="O880" s="7" t="str">
        <f>IF(Table15[[#This Row],[Revenue]]&gt;35000,"Achieved","Not Achieved")</f>
        <v>Not Achieved</v>
      </c>
      <c r="P880" s="8">
        <v>4</v>
      </c>
      <c r="Q880" s="7" t="str">
        <f>IF(AND(Table15[[#This Row],[CSAT Score]]&lt;=3,Table15[[#This Row],[Revenue]]&gt;=20000),"High-Risk","Stable")</f>
        <v>Stable</v>
      </c>
      <c r="R880" s="8" t="str" cm="1">
        <f t="array" ref="R880">_xlfn.IFS(Table15[[#This Row],[Revenue]]&gt;=35000,"Platinum",Table15[[#This Row],[Revenue]]&gt;=15000,"Gold",TRUE,"Standard")</f>
        <v>Standard</v>
      </c>
      <c r="S880" s="8" t="str">
        <f>IF(OR(Table15[[#This Row],[Product]]="Wealth Management",Table15[[#This Row],[Revenue]]&gt;=40000),"Yes","No")</f>
        <v>No</v>
      </c>
    </row>
    <row r="881" spans="1:19" x14ac:dyDescent="0.3">
      <c r="A881" s="5" t="s">
        <v>939</v>
      </c>
      <c r="B881" s="6">
        <v>46088</v>
      </c>
      <c r="C881" s="7" t="s">
        <v>33</v>
      </c>
      <c r="D881" s="7" t="s">
        <v>20</v>
      </c>
      <c r="E881" s="7" t="s">
        <v>21</v>
      </c>
      <c r="F881" s="7" t="s">
        <v>29</v>
      </c>
      <c r="G881" s="7" t="s">
        <v>23</v>
      </c>
      <c r="H881" s="7" t="s">
        <v>57</v>
      </c>
      <c r="I881" s="7">
        <v>61</v>
      </c>
      <c r="J881" s="7">
        <v>26</v>
      </c>
      <c r="K881" s="20">
        <v>29121.81</v>
      </c>
      <c r="L881" s="20">
        <v>197.87</v>
      </c>
      <c r="M881" s="7">
        <v>122.17</v>
      </c>
      <c r="N881" s="20">
        <f>Table15[[#This Row],[Processing Fee]]-Table15[[#This Row],[Discount Applied]]</f>
        <v>75.7</v>
      </c>
      <c r="O881" s="7" t="str">
        <f>IF(Table15[[#This Row],[Revenue]]&gt;35000,"Achieved","Not Achieved")</f>
        <v>Not Achieved</v>
      </c>
      <c r="P881" s="8">
        <v>4</v>
      </c>
      <c r="Q881" s="7" t="str">
        <f>IF(AND(Table15[[#This Row],[CSAT Score]]&lt;=3,Table15[[#This Row],[Revenue]]&gt;=20000),"High-Risk","Stable")</f>
        <v>Stable</v>
      </c>
      <c r="R881" s="8" t="str" cm="1">
        <f t="array" ref="R881">_xlfn.IFS(Table15[[#This Row],[Revenue]]&gt;=35000,"Platinum",Table15[[#This Row],[Revenue]]&gt;=15000,"Gold",TRUE,"Standard")</f>
        <v>Gold</v>
      </c>
      <c r="S881" s="8" t="str">
        <f>IF(OR(Table15[[#This Row],[Product]]="Wealth Management",Table15[[#This Row],[Revenue]]&gt;=40000),"Yes","No")</f>
        <v>No</v>
      </c>
    </row>
    <row r="882" spans="1:19" x14ac:dyDescent="0.3">
      <c r="A882" s="5" t="s">
        <v>940</v>
      </c>
      <c r="B882" s="6">
        <v>45920</v>
      </c>
      <c r="C882" s="7" t="s">
        <v>33</v>
      </c>
      <c r="D882" s="7" t="s">
        <v>83</v>
      </c>
      <c r="E882" s="7" t="s">
        <v>21</v>
      </c>
      <c r="F882" s="7" t="s">
        <v>69</v>
      </c>
      <c r="G882" s="7" t="s">
        <v>36</v>
      </c>
      <c r="H882" s="7" t="s">
        <v>57</v>
      </c>
      <c r="I882" s="7">
        <v>42</v>
      </c>
      <c r="J882" s="7">
        <v>26</v>
      </c>
      <c r="K882" s="20">
        <v>30082.81</v>
      </c>
      <c r="L882" s="20">
        <v>178.21</v>
      </c>
      <c r="M882" s="7">
        <v>174.25</v>
      </c>
      <c r="N882" s="20">
        <f>Table15[[#This Row],[Processing Fee]]-Table15[[#This Row],[Discount Applied]]</f>
        <v>3.960000000000008</v>
      </c>
      <c r="O882" s="7" t="str">
        <f>IF(Table15[[#This Row],[Revenue]]&gt;35000,"Achieved","Not Achieved")</f>
        <v>Not Achieved</v>
      </c>
      <c r="P882" s="8">
        <v>3</v>
      </c>
      <c r="Q882" s="7" t="str">
        <f>IF(AND(Table15[[#This Row],[CSAT Score]]&lt;=3,Table15[[#This Row],[Revenue]]&gt;=20000),"High-Risk","Stable")</f>
        <v>High-Risk</v>
      </c>
      <c r="R882" s="8" t="str" cm="1">
        <f t="array" ref="R882">_xlfn.IFS(Table15[[#This Row],[Revenue]]&gt;=35000,"Platinum",Table15[[#This Row],[Revenue]]&gt;=15000,"Gold",TRUE,"Standard")</f>
        <v>Gold</v>
      </c>
      <c r="S882" s="8" t="str">
        <f>IF(OR(Table15[[#This Row],[Product]]="Wealth Management",Table15[[#This Row],[Revenue]]&gt;=40000),"Yes","No")</f>
        <v>No</v>
      </c>
    </row>
    <row r="883" spans="1:19" x14ac:dyDescent="0.3">
      <c r="A883" s="5" t="s">
        <v>941</v>
      </c>
      <c r="B883" s="6">
        <v>46197</v>
      </c>
      <c r="C883" s="7" t="s">
        <v>75</v>
      </c>
      <c r="D883" s="7" t="s">
        <v>34</v>
      </c>
      <c r="E883" s="7" t="s">
        <v>39</v>
      </c>
      <c r="F883" s="7" t="s">
        <v>40</v>
      </c>
      <c r="G883" s="7" t="s">
        <v>65</v>
      </c>
      <c r="H883" s="7" t="s">
        <v>53</v>
      </c>
      <c r="I883" s="7">
        <v>44</v>
      </c>
      <c r="J883" s="7">
        <v>46</v>
      </c>
      <c r="K883" s="20">
        <v>37077.06</v>
      </c>
      <c r="L883" s="20">
        <v>265.23</v>
      </c>
      <c r="M883" s="7">
        <v>3.09</v>
      </c>
      <c r="N883" s="20">
        <f>Table15[[#This Row],[Processing Fee]]-Table15[[#This Row],[Discount Applied]]</f>
        <v>262.14000000000004</v>
      </c>
      <c r="O883" s="7" t="str">
        <f>IF(Table15[[#This Row],[Revenue]]&gt;35000,"Achieved","Not Achieved")</f>
        <v>Achieved</v>
      </c>
      <c r="P883" s="8">
        <v>3</v>
      </c>
      <c r="Q883" s="7" t="str">
        <f>IF(AND(Table15[[#This Row],[CSAT Score]]&lt;=3,Table15[[#This Row],[Revenue]]&gt;=20000),"High-Risk","Stable")</f>
        <v>High-Risk</v>
      </c>
      <c r="R883" s="8" t="str" cm="1">
        <f t="array" ref="R883">_xlfn.IFS(Table15[[#This Row],[Revenue]]&gt;=35000,"Platinum",Table15[[#This Row],[Revenue]]&gt;=15000,"Gold",TRUE,"Standard")</f>
        <v>Platinum</v>
      </c>
      <c r="S883" s="8" t="str">
        <f>IF(OR(Table15[[#This Row],[Product]]="Wealth Management",Table15[[#This Row],[Revenue]]&gt;=40000),"Yes","No")</f>
        <v>No</v>
      </c>
    </row>
    <row r="884" spans="1:19" x14ac:dyDescent="0.3">
      <c r="A884" s="5" t="s">
        <v>942</v>
      </c>
      <c r="B884" s="6">
        <v>45995</v>
      </c>
      <c r="C884" s="7" t="s">
        <v>42</v>
      </c>
      <c r="D884" s="7" t="s">
        <v>63</v>
      </c>
      <c r="E884" s="7" t="s">
        <v>21</v>
      </c>
      <c r="F884" s="7" t="s">
        <v>22</v>
      </c>
      <c r="G884" s="7" t="s">
        <v>65</v>
      </c>
      <c r="H884" s="7" t="s">
        <v>24</v>
      </c>
      <c r="I884" s="7">
        <v>69</v>
      </c>
      <c r="J884" s="7">
        <v>92</v>
      </c>
      <c r="K884" s="20">
        <v>1943.91</v>
      </c>
      <c r="L884" s="20">
        <v>131.29</v>
      </c>
      <c r="M884" s="7">
        <v>87.15</v>
      </c>
      <c r="N884" s="20">
        <f>Table15[[#This Row],[Processing Fee]]-Table15[[#This Row],[Discount Applied]]</f>
        <v>44.139999999999986</v>
      </c>
      <c r="O884" s="7" t="str">
        <f>IF(Table15[[#This Row],[Revenue]]&gt;35000,"Achieved","Not Achieved")</f>
        <v>Not Achieved</v>
      </c>
      <c r="P884" s="8">
        <v>5</v>
      </c>
      <c r="Q884" s="7" t="str">
        <f>IF(AND(Table15[[#This Row],[CSAT Score]]&lt;=3,Table15[[#This Row],[Revenue]]&gt;=20000),"High-Risk","Stable")</f>
        <v>Stable</v>
      </c>
      <c r="R884" s="8" t="str" cm="1">
        <f t="array" ref="R884">_xlfn.IFS(Table15[[#This Row],[Revenue]]&gt;=35000,"Platinum",Table15[[#This Row],[Revenue]]&gt;=15000,"Gold",TRUE,"Standard")</f>
        <v>Standard</v>
      </c>
      <c r="S884" s="8" t="str">
        <f>IF(OR(Table15[[#This Row],[Product]]="Wealth Management",Table15[[#This Row],[Revenue]]&gt;=40000),"Yes","No")</f>
        <v>Yes</v>
      </c>
    </row>
    <row r="885" spans="1:19" x14ac:dyDescent="0.3">
      <c r="A885" s="5" t="s">
        <v>943</v>
      </c>
      <c r="B885" s="6">
        <v>46081</v>
      </c>
      <c r="C885" s="7" t="s">
        <v>44</v>
      </c>
      <c r="D885" s="7" t="s">
        <v>45</v>
      </c>
      <c r="E885" s="7" t="s">
        <v>28</v>
      </c>
      <c r="F885" s="7" t="s">
        <v>40</v>
      </c>
      <c r="G885" s="7" t="s">
        <v>30</v>
      </c>
      <c r="H885" s="7" t="s">
        <v>31</v>
      </c>
      <c r="I885" s="7">
        <v>57</v>
      </c>
      <c r="J885" s="7">
        <v>49</v>
      </c>
      <c r="K885" s="20">
        <v>27291.29</v>
      </c>
      <c r="L885" s="20">
        <v>268.52999999999997</v>
      </c>
      <c r="M885" s="7">
        <v>67.28</v>
      </c>
      <c r="N885" s="20">
        <f>Table15[[#This Row],[Processing Fee]]-Table15[[#This Row],[Discount Applied]]</f>
        <v>201.24999999999997</v>
      </c>
      <c r="O885" s="7" t="str">
        <f>IF(Table15[[#This Row],[Revenue]]&gt;35000,"Achieved","Not Achieved")</f>
        <v>Not Achieved</v>
      </c>
      <c r="P885" s="8">
        <v>4</v>
      </c>
      <c r="Q885" s="7" t="str">
        <f>IF(AND(Table15[[#This Row],[CSAT Score]]&lt;=3,Table15[[#This Row],[Revenue]]&gt;=20000),"High-Risk","Stable")</f>
        <v>Stable</v>
      </c>
      <c r="R885" s="8" t="str" cm="1">
        <f t="array" ref="R885">_xlfn.IFS(Table15[[#This Row],[Revenue]]&gt;=35000,"Platinum",Table15[[#This Row],[Revenue]]&gt;=15000,"Gold",TRUE,"Standard")</f>
        <v>Gold</v>
      </c>
      <c r="S885" s="8" t="str">
        <f>IF(OR(Table15[[#This Row],[Product]]="Wealth Management",Table15[[#This Row],[Revenue]]&gt;=40000),"Yes","No")</f>
        <v>No</v>
      </c>
    </row>
    <row r="886" spans="1:19" x14ac:dyDescent="0.3">
      <c r="A886" s="5" t="s">
        <v>944</v>
      </c>
      <c r="B886" s="6">
        <v>46197</v>
      </c>
      <c r="C886" s="7" t="s">
        <v>44</v>
      </c>
      <c r="D886" s="7" t="s">
        <v>48</v>
      </c>
      <c r="E886" s="7" t="s">
        <v>28</v>
      </c>
      <c r="F886" s="7" t="s">
        <v>29</v>
      </c>
      <c r="G886" s="7" t="s">
        <v>23</v>
      </c>
      <c r="H886" s="7" t="s">
        <v>31</v>
      </c>
      <c r="I886" s="7">
        <v>64</v>
      </c>
      <c r="J886" s="7">
        <v>82</v>
      </c>
      <c r="K886" s="20">
        <v>3118.92</v>
      </c>
      <c r="L886" s="20">
        <v>366.88</v>
      </c>
      <c r="M886" s="7">
        <v>116.6</v>
      </c>
      <c r="N886" s="20">
        <f>Table15[[#This Row],[Processing Fee]]-Table15[[#This Row],[Discount Applied]]</f>
        <v>250.28</v>
      </c>
      <c r="O886" s="7" t="str">
        <f>IF(Table15[[#This Row],[Revenue]]&gt;35000,"Achieved","Not Achieved")</f>
        <v>Not Achieved</v>
      </c>
      <c r="P886" s="8">
        <v>1</v>
      </c>
      <c r="Q886" s="7" t="str">
        <f>IF(AND(Table15[[#This Row],[CSAT Score]]&lt;=3,Table15[[#This Row],[Revenue]]&gt;=20000),"High-Risk","Stable")</f>
        <v>Stable</v>
      </c>
      <c r="R886" s="8" t="str" cm="1">
        <f t="array" ref="R886">_xlfn.IFS(Table15[[#This Row],[Revenue]]&gt;=35000,"Platinum",Table15[[#This Row],[Revenue]]&gt;=15000,"Gold",TRUE,"Standard")</f>
        <v>Standard</v>
      </c>
      <c r="S886" s="8" t="str">
        <f>IF(OR(Table15[[#This Row],[Product]]="Wealth Management",Table15[[#This Row],[Revenue]]&gt;=40000),"Yes","No")</f>
        <v>No</v>
      </c>
    </row>
    <row r="887" spans="1:19" x14ac:dyDescent="0.3">
      <c r="A887" s="5" t="s">
        <v>945</v>
      </c>
      <c r="B887" s="6">
        <v>45969</v>
      </c>
      <c r="C887" s="7" t="s">
        <v>33</v>
      </c>
      <c r="D887" s="7" t="s">
        <v>63</v>
      </c>
      <c r="E887" s="7" t="s">
        <v>59</v>
      </c>
      <c r="F887" s="7" t="s">
        <v>35</v>
      </c>
      <c r="G887" s="7" t="s">
        <v>36</v>
      </c>
      <c r="H887" s="7" t="s">
        <v>57</v>
      </c>
      <c r="I887" s="7">
        <v>21</v>
      </c>
      <c r="J887" s="7">
        <v>96</v>
      </c>
      <c r="K887" s="20">
        <v>35206.639999999999</v>
      </c>
      <c r="L887" s="20">
        <v>63.41</v>
      </c>
      <c r="M887" s="7">
        <v>83.2</v>
      </c>
      <c r="N887" s="20">
        <f>Table15[[#This Row],[Processing Fee]]-Table15[[#This Row],[Discount Applied]]</f>
        <v>-19.790000000000006</v>
      </c>
      <c r="O887" s="7" t="str">
        <f>IF(Table15[[#This Row],[Revenue]]&gt;35000,"Achieved","Not Achieved")</f>
        <v>Achieved</v>
      </c>
      <c r="P887" s="8">
        <v>2</v>
      </c>
      <c r="Q887" s="7" t="str">
        <f>IF(AND(Table15[[#This Row],[CSAT Score]]&lt;=3,Table15[[#This Row],[Revenue]]&gt;=20000),"High-Risk","Stable")</f>
        <v>High-Risk</v>
      </c>
      <c r="R887" s="8" t="str" cm="1">
        <f t="array" ref="R887">_xlfn.IFS(Table15[[#This Row],[Revenue]]&gt;=35000,"Platinum",Table15[[#This Row],[Revenue]]&gt;=15000,"Gold",TRUE,"Standard")</f>
        <v>Platinum</v>
      </c>
      <c r="S887" s="8" t="str">
        <f>IF(OR(Table15[[#This Row],[Product]]="Wealth Management",Table15[[#This Row],[Revenue]]&gt;=40000),"Yes","No")</f>
        <v>No</v>
      </c>
    </row>
    <row r="888" spans="1:19" x14ac:dyDescent="0.3">
      <c r="A888" s="5" t="s">
        <v>946</v>
      </c>
      <c r="B888" s="6">
        <v>45991</v>
      </c>
      <c r="C888" s="7" t="s">
        <v>91</v>
      </c>
      <c r="D888" s="7" t="s">
        <v>77</v>
      </c>
      <c r="E888" s="7" t="s">
        <v>28</v>
      </c>
      <c r="F888" s="7" t="s">
        <v>40</v>
      </c>
      <c r="G888" s="7" t="s">
        <v>65</v>
      </c>
      <c r="H888" s="7" t="s">
        <v>53</v>
      </c>
      <c r="I888" s="7">
        <v>30</v>
      </c>
      <c r="J888" s="7">
        <v>53</v>
      </c>
      <c r="K888" s="20">
        <v>3258.54</v>
      </c>
      <c r="L888" s="20">
        <v>54.4</v>
      </c>
      <c r="M888" s="7">
        <v>149.33000000000001</v>
      </c>
      <c r="N888" s="20">
        <f>Table15[[#This Row],[Processing Fee]]-Table15[[#This Row],[Discount Applied]]</f>
        <v>-94.93</v>
      </c>
      <c r="O888" s="7" t="str">
        <f>IF(Table15[[#This Row],[Revenue]]&gt;35000,"Achieved","Not Achieved")</f>
        <v>Not Achieved</v>
      </c>
      <c r="P888" s="8">
        <v>5</v>
      </c>
      <c r="Q888" s="7" t="str">
        <f>IF(AND(Table15[[#This Row],[CSAT Score]]&lt;=3,Table15[[#This Row],[Revenue]]&gt;=20000),"High-Risk","Stable")</f>
        <v>Stable</v>
      </c>
      <c r="R888" s="8" t="str" cm="1">
        <f t="array" ref="R888">_xlfn.IFS(Table15[[#This Row],[Revenue]]&gt;=35000,"Platinum",Table15[[#This Row],[Revenue]]&gt;=15000,"Gold",TRUE,"Standard")</f>
        <v>Standard</v>
      </c>
      <c r="S888" s="8" t="str">
        <f>IF(OR(Table15[[#This Row],[Product]]="Wealth Management",Table15[[#This Row],[Revenue]]&gt;=40000),"Yes","No")</f>
        <v>No</v>
      </c>
    </row>
    <row r="889" spans="1:19" x14ac:dyDescent="0.3">
      <c r="A889" s="5" t="s">
        <v>947</v>
      </c>
      <c r="B889" s="6">
        <v>45950</v>
      </c>
      <c r="C889" s="7" t="s">
        <v>75</v>
      </c>
      <c r="D889" s="7" t="s">
        <v>50</v>
      </c>
      <c r="E889" s="7" t="s">
        <v>21</v>
      </c>
      <c r="F889" s="7" t="s">
        <v>35</v>
      </c>
      <c r="G889" s="7" t="s">
        <v>65</v>
      </c>
      <c r="H889" s="7" t="s">
        <v>24</v>
      </c>
      <c r="I889" s="7">
        <v>63</v>
      </c>
      <c r="J889" s="7">
        <v>3</v>
      </c>
      <c r="K889" s="20">
        <v>45630.53</v>
      </c>
      <c r="L889" s="20">
        <v>83.81</v>
      </c>
      <c r="M889" s="7">
        <v>18.760000000000002</v>
      </c>
      <c r="N889" s="20">
        <f>Table15[[#This Row],[Processing Fee]]-Table15[[#This Row],[Discount Applied]]</f>
        <v>65.05</v>
      </c>
      <c r="O889" s="7" t="str">
        <f>IF(Table15[[#This Row],[Revenue]]&gt;35000,"Achieved","Not Achieved")</f>
        <v>Achieved</v>
      </c>
      <c r="P889" s="8">
        <v>2</v>
      </c>
      <c r="Q889" s="7" t="str">
        <f>IF(AND(Table15[[#This Row],[CSAT Score]]&lt;=3,Table15[[#This Row],[Revenue]]&gt;=20000),"High-Risk","Stable")</f>
        <v>High-Risk</v>
      </c>
      <c r="R889" s="8" t="str" cm="1">
        <f t="array" ref="R889">_xlfn.IFS(Table15[[#This Row],[Revenue]]&gt;=35000,"Platinum",Table15[[#This Row],[Revenue]]&gt;=15000,"Gold",TRUE,"Standard")</f>
        <v>Platinum</v>
      </c>
      <c r="S889" s="8" t="str">
        <f>IF(OR(Table15[[#This Row],[Product]]="Wealth Management",Table15[[#This Row],[Revenue]]&gt;=40000),"Yes","No")</f>
        <v>Yes</v>
      </c>
    </row>
    <row r="890" spans="1:19" x14ac:dyDescent="0.3">
      <c r="A890" s="5" t="s">
        <v>948</v>
      </c>
      <c r="B890" s="6">
        <v>46130</v>
      </c>
      <c r="C890" s="7" t="s">
        <v>26</v>
      </c>
      <c r="D890" s="7" t="s">
        <v>45</v>
      </c>
      <c r="E890" s="7" t="s">
        <v>28</v>
      </c>
      <c r="F890" s="7" t="s">
        <v>22</v>
      </c>
      <c r="G890" s="7" t="s">
        <v>36</v>
      </c>
      <c r="H890" s="7" t="s">
        <v>24</v>
      </c>
      <c r="I890" s="7">
        <v>36</v>
      </c>
      <c r="J890" s="7">
        <v>66</v>
      </c>
      <c r="K890" s="20">
        <v>35253.089999999997</v>
      </c>
      <c r="L890" s="20">
        <v>291.05</v>
      </c>
      <c r="M890" s="7">
        <v>102.52</v>
      </c>
      <c r="N890" s="20">
        <f>Table15[[#This Row],[Processing Fee]]-Table15[[#This Row],[Discount Applied]]</f>
        <v>188.53000000000003</v>
      </c>
      <c r="O890" s="7" t="str">
        <f>IF(Table15[[#This Row],[Revenue]]&gt;35000,"Achieved","Not Achieved")</f>
        <v>Achieved</v>
      </c>
      <c r="P890" s="8">
        <v>1</v>
      </c>
      <c r="Q890" s="7" t="str">
        <f>IF(AND(Table15[[#This Row],[CSAT Score]]&lt;=3,Table15[[#This Row],[Revenue]]&gt;=20000),"High-Risk","Stable")</f>
        <v>High-Risk</v>
      </c>
      <c r="R890" s="8" t="str" cm="1">
        <f t="array" ref="R890">_xlfn.IFS(Table15[[#This Row],[Revenue]]&gt;=35000,"Platinum",Table15[[#This Row],[Revenue]]&gt;=15000,"Gold",TRUE,"Standard")</f>
        <v>Platinum</v>
      </c>
      <c r="S890" s="8" t="str">
        <f>IF(OR(Table15[[#This Row],[Product]]="Wealth Management",Table15[[#This Row],[Revenue]]&gt;=40000),"Yes","No")</f>
        <v>Yes</v>
      </c>
    </row>
    <row r="891" spans="1:19" x14ac:dyDescent="0.3">
      <c r="A891" s="5" t="s">
        <v>949</v>
      </c>
      <c r="B891" s="6">
        <v>46176</v>
      </c>
      <c r="C891" s="7" t="s">
        <v>91</v>
      </c>
      <c r="D891" s="7" t="s">
        <v>83</v>
      </c>
      <c r="E891" s="7" t="s">
        <v>39</v>
      </c>
      <c r="F891" s="7" t="s">
        <v>40</v>
      </c>
      <c r="G891" s="7" t="s">
        <v>23</v>
      </c>
      <c r="H891" s="7" t="s">
        <v>57</v>
      </c>
      <c r="I891" s="7">
        <v>66</v>
      </c>
      <c r="J891" s="7">
        <v>97</v>
      </c>
      <c r="K891" s="20">
        <v>25615.79</v>
      </c>
      <c r="L891" s="20">
        <v>434.5</v>
      </c>
      <c r="M891" s="7">
        <v>112.84</v>
      </c>
      <c r="N891" s="20">
        <f>Table15[[#This Row],[Processing Fee]]-Table15[[#This Row],[Discount Applied]]</f>
        <v>321.65999999999997</v>
      </c>
      <c r="O891" s="7" t="str">
        <f>IF(Table15[[#This Row],[Revenue]]&gt;35000,"Achieved","Not Achieved")</f>
        <v>Not Achieved</v>
      </c>
      <c r="P891" s="8">
        <v>1</v>
      </c>
      <c r="Q891" s="7" t="str">
        <f>IF(AND(Table15[[#This Row],[CSAT Score]]&lt;=3,Table15[[#This Row],[Revenue]]&gt;=20000),"High-Risk","Stable")</f>
        <v>High-Risk</v>
      </c>
      <c r="R891" s="8" t="str" cm="1">
        <f t="array" ref="R891">_xlfn.IFS(Table15[[#This Row],[Revenue]]&gt;=35000,"Platinum",Table15[[#This Row],[Revenue]]&gt;=15000,"Gold",TRUE,"Standard")</f>
        <v>Gold</v>
      </c>
      <c r="S891" s="8" t="str">
        <f>IF(OR(Table15[[#This Row],[Product]]="Wealth Management",Table15[[#This Row],[Revenue]]&gt;=40000),"Yes","No")</f>
        <v>No</v>
      </c>
    </row>
    <row r="892" spans="1:19" x14ac:dyDescent="0.3">
      <c r="A892" s="5" t="s">
        <v>950</v>
      </c>
      <c r="B892" s="6">
        <v>46094</v>
      </c>
      <c r="C892" s="7" t="s">
        <v>19</v>
      </c>
      <c r="D892" s="7" t="s">
        <v>79</v>
      </c>
      <c r="E892" s="7" t="s">
        <v>59</v>
      </c>
      <c r="F892" s="7" t="s">
        <v>69</v>
      </c>
      <c r="G892" s="7" t="s">
        <v>30</v>
      </c>
      <c r="H892" s="7" t="s">
        <v>57</v>
      </c>
      <c r="I892" s="7">
        <v>28</v>
      </c>
      <c r="J892" s="7">
        <v>42</v>
      </c>
      <c r="K892" s="20">
        <v>22354.44</v>
      </c>
      <c r="L892" s="20">
        <v>52.2</v>
      </c>
      <c r="M892" s="7">
        <v>98.83</v>
      </c>
      <c r="N892" s="20">
        <f>Table15[[#This Row],[Processing Fee]]-Table15[[#This Row],[Discount Applied]]</f>
        <v>-46.629999999999995</v>
      </c>
      <c r="O892" s="7" t="str">
        <f>IF(Table15[[#This Row],[Revenue]]&gt;35000,"Achieved","Not Achieved")</f>
        <v>Not Achieved</v>
      </c>
      <c r="P892" s="8">
        <v>2</v>
      </c>
      <c r="Q892" s="7" t="str">
        <f>IF(AND(Table15[[#This Row],[CSAT Score]]&lt;=3,Table15[[#This Row],[Revenue]]&gt;=20000),"High-Risk","Stable")</f>
        <v>High-Risk</v>
      </c>
      <c r="R892" s="8" t="str" cm="1">
        <f t="array" ref="R892">_xlfn.IFS(Table15[[#This Row],[Revenue]]&gt;=35000,"Platinum",Table15[[#This Row],[Revenue]]&gt;=15000,"Gold",TRUE,"Standard")</f>
        <v>Gold</v>
      </c>
      <c r="S892" s="8" t="str">
        <f>IF(OR(Table15[[#This Row],[Product]]="Wealth Management",Table15[[#This Row],[Revenue]]&gt;=40000),"Yes","No")</f>
        <v>No</v>
      </c>
    </row>
    <row r="893" spans="1:19" x14ac:dyDescent="0.3">
      <c r="A893" s="5" t="s">
        <v>951</v>
      </c>
      <c r="B893" s="6">
        <v>46129</v>
      </c>
      <c r="C893" s="7" t="s">
        <v>19</v>
      </c>
      <c r="D893" s="7" t="s">
        <v>83</v>
      </c>
      <c r="E893" s="7" t="s">
        <v>21</v>
      </c>
      <c r="F893" s="7" t="s">
        <v>35</v>
      </c>
      <c r="G893" s="7" t="s">
        <v>65</v>
      </c>
      <c r="H893" s="7" t="s">
        <v>24</v>
      </c>
      <c r="I893" s="7">
        <v>69</v>
      </c>
      <c r="J893" s="7">
        <v>19</v>
      </c>
      <c r="K893" s="20">
        <v>6968.3</v>
      </c>
      <c r="L893" s="20">
        <v>471.5</v>
      </c>
      <c r="M893" s="7">
        <v>146.37</v>
      </c>
      <c r="N893" s="20">
        <f>Table15[[#This Row],[Processing Fee]]-Table15[[#This Row],[Discount Applied]]</f>
        <v>325.13</v>
      </c>
      <c r="O893" s="7" t="str">
        <f>IF(Table15[[#This Row],[Revenue]]&gt;35000,"Achieved","Not Achieved")</f>
        <v>Not Achieved</v>
      </c>
      <c r="P893" s="8">
        <v>5</v>
      </c>
      <c r="Q893" s="7" t="str">
        <f>IF(AND(Table15[[#This Row],[CSAT Score]]&lt;=3,Table15[[#This Row],[Revenue]]&gt;=20000),"High-Risk","Stable")</f>
        <v>Stable</v>
      </c>
      <c r="R893" s="8" t="str" cm="1">
        <f t="array" ref="R893">_xlfn.IFS(Table15[[#This Row],[Revenue]]&gt;=35000,"Platinum",Table15[[#This Row],[Revenue]]&gt;=15000,"Gold",TRUE,"Standard")</f>
        <v>Standard</v>
      </c>
      <c r="S893" s="8" t="str">
        <f>IF(OR(Table15[[#This Row],[Product]]="Wealth Management",Table15[[#This Row],[Revenue]]&gt;=40000),"Yes","No")</f>
        <v>No</v>
      </c>
    </row>
    <row r="894" spans="1:19" x14ac:dyDescent="0.3">
      <c r="A894" s="5" t="s">
        <v>952</v>
      </c>
      <c r="B894" s="6">
        <v>46093</v>
      </c>
      <c r="C894" s="7" t="s">
        <v>91</v>
      </c>
      <c r="D894" s="7" t="s">
        <v>48</v>
      </c>
      <c r="E894" s="7" t="s">
        <v>59</v>
      </c>
      <c r="F894" s="7" t="s">
        <v>22</v>
      </c>
      <c r="G894" s="7" t="s">
        <v>30</v>
      </c>
      <c r="H894" s="7" t="s">
        <v>24</v>
      </c>
      <c r="I894" s="7">
        <v>45</v>
      </c>
      <c r="J894" s="7">
        <v>17</v>
      </c>
      <c r="K894" s="20">
        <v>14904.47</v>
      </c>
      <c r="L894" s="20">
        <v>97.83</v>
      </c>
      <c r="M894" s="7">
        <v>76.760000000000005</v>
      </c>
      <c r="N894" s="20">
        <f>Table15[[#This Row],[Processing Fee]]-Table15[[#This Row],[Discount Applied]]</f>
        <v>21.069999999999993</v>
      </c>
      <c r="O894" s="7" t="str">
        <f>IF(Table15[[#This Row],[Revenue]]&gt;35000,"Achieved","Not Achieved")</f>
        <v>Not Achieved</v>
      </c>
      <c r="P894" s="8">
        <v>2</v>
      </c>
      <c r="Q894" s="7" t="str">
        <f>IF(AND(Table15[[#This Row],[CSAT Score]]&lt;=3,Table15[[#This Row],[Revenue]]&gt;=20000),"High-Risk","Stable")</f>
        <v>Stable</v>
      </c>
      <c r="R894" s="8" t="str" cm="1">
        <f t="array" ref="R894">_xlfn.IFS(Table15[[#This Row],[Revenue]]&gt;=35000,"Platinum",Table15[[#This Row],[Revenue]]&gt;=15000,"Gold",TRUE,"Standard")</f>
        <v>Standard</v>
      </c>
      <c r="S894" s="8" t="str">
        <f>IF(OR(Table15[[#This Row],[Product]]="Wealth Management",Table15[[#This Row],[Revenue]]&gt;=40000),"Yes","No")</f>
        <v>Yes</v>
      </c>
    </row>
    <row r="895" spans="1:19" x14ac:dyDescent="0.3">
      <c r="A895" s="5" t="s">
        <v>953</v>
      </c>
      <c r="B895" s="6">
        <v>46067</v>
      </c>
      <c r="C895" s="7" t="s">
        <v>33</v>
      </c>
      <c r="D895" s="7" t="s">
        <v>34</v>
      </c>
      <c r="E895" s="7" t="s">
        <v>21</v>
      </c>
      <c r="F895" s="7" t="s">
        <v>69</v>
      </c>
      <c r="G895" s="7" t="s">
        <v>56</v>
      </c>
      <c r="H895" s="7" t="s">
        <v>57</v>
      </c>
      <c r="I895" s="7">
        <v>70</v>
      </c>
      <c r="J895" s="7">
        <v>108</v>
      </c>
      <c r="K895" s="20">
        <v>43513.48</v>
      </c>
      <c r="L895" s="20">
        <v>428.89</v>
      </c>
      <c r="M895" s="7">
        <v>188.99</v>
      </c>
      <c r="N895" s="20">
        <f>Table15[[#This Row],[Processing Fee]]-Table15[[#This Row],[Discount Applied]]</f>
        <v>239.89999999999998</v>
      </c>
      <c r="O895" s="7" t="str">
        <f>IF(Table15[[#This Row],[Revenue]]&gt;35000,"Achieved","Not Achieved")</f>
        <v>Achieved</v>
      </c>
      <c r="P895" s="8">
        <v>5</v>
      </c>
      <c r="Q895" s="7" t="str">
        <f>IF(AND(Table15[[#This Row],[CSAT Score]]&lt;=3,Table15[[#This Row],[Revenue]]&gt;=20000),"High-Risk","Stable")</f>
        <v>Stable</v>
      </c>
      <c r="R895" s="8" t="str" cm="1">
        <f t="array" ref="R895">_xlfn.IFS(Table15[[#This Row],[Revenue]]&gt;=35000,"Platinum",Table15[[#This Row],[Revenue]]&gt;=15000,"Gold",TRUE,"Standard")</f>
        <v>Platinum</v>
      </c>
      <c r="S895" s="8" t="str">
        <f>IF(OR(Table15[[#This Row],[Product]]="Wealth Management",Table15[[#This Row],[Revenue]]&gt;=40000),"Yes","No")</f>
        <v>Yes</v>
      </c>
    </row>
    <row r="896" spans="1:19" x14ac:dyDescent="0.3">
      <c r="A896" s="5" t="s">
        <v>954</v>
      </c>
      <c r="B896" s="6">
        <v>46131</v>
      </c>
      <c r="C896" s="7" t="s">
        <v>26</v>
      </c>
      <c r="D896" s="7" t="s">
        <v>83</v>
      </c>
      <c r="E896" s="7" t="s">
        <v>39</v>
      </c>
      <c r="F896" s="7" t="s">
        <v>69</v>
      </c>
      <c r="G896" s="7" t="s">
        <v>23</v>
      </c>
      <c r="H896" s="7" t="s">
        <v>24</v>
      </c>
      <c r="I896" s="7">
        <v>32</v>
      </c>
      <c r="J896" s="7">
        <v>33</v>
      </c>
      <c r="K896" s="20">
        <v>45270.41</v>
      </c>
      <c r="L896" s="20">
        <v>267.27999999999997</v>
      </c>
      <c r="M896" s="7">
        <v>96.36</v>
      </c>
      <c r="N896" s="20">
        <f>Table15[[#This Row],[Processing Fee]]-Table15[[#This Row],[Discount Applied]]</f>
        <v>170.91999999999996</v>
      </c>
      <c r="O896" s="7" t="str">
        <f>IF(Table15[[#This Row],[Revenue]]&gt;35000,"Achieved","Not Achieved")</f>
        <v>Achieved</v>
      </c>
      <c r="P896" s="8">
        <v>5</v>
      </c>
      <c r="Q896" s="7" t="str">
        <f>IF(AND(Table15[[#This Row],[CSAT Score]]&lt;=3,Table15[[#This Row],[Revenue]]&gt;=20000),"High-Risk","Stable")</f>
        <v>Stable</v>
      </c>
      <c r="R896" s="8" t="str" cm="1">
        <f t="array" ref="R896">_xlfn.IFS(Table15[[#This Row],[Revenue]]&gt;=35000,"Platinum",Table15[[#This Row],[Revenue]]&gt;=15000,"Gold",TRUE,"Standard")</f>
        <v>Platinum</v>
      </c>
      <c r="S896" s="8" t="str">
        <f>IF(OR(Table15[[#This Row],[Product]]="Wealth Management",Table15[[#This Row],[Revenue]]&gt;=40000),"Yes","No")</f>
        <v>Yes</v>
      </c>
    </row>
    <row r="897" spans="1:19" x14ac:dyDescent="0.3">
      <c r="A897" s="5" t="s">
        <v>955</v>
      </c>
      <c r="B897" s="6">
        <v>45942</v>
      </c>
      <c r="C897" s="7" t="s">
        <v>26</v>
      </c>
      <c r="D897" s="7" t="s">
        <v>87</v>
      </c>
      <c r="E897" s="7" t="s">
        <v>59</v>
      </c>
      <c r="F897" s="7" t="s">
        <v>69</v>
      </c>
      <c r="G897" s="7" t="s">
        <v>56</v>
      </c>
      <c r="H897" s="7" t="s">
        <v>31</v>
      </c>
      <c r="I897" s="7">
        <v>45</v>
      </c>
      <c r="J897" s="7">
        <v>76</v>
      </c>
      <c r="K897" s="20">
        <v>537.01</v>
      </c>
      <c r="L897" s="20">
        <v>346.71</v>
      </c>
      <c r="M897" s="7">
        <v>171.36</v>
      </c>
      <c r="N897" s="20">
        <f>Table15[[#This Row],[Processing Fee]]-Table15[[#This Row],[Discount Applied]]</f>
        <v>175.34999999999997</v>
      </c>
      <c r="O897" s="7" t="str">
        <f>IF(Table15[[#This Row],[Revenue]]&gt;35000,"Achieved","Not Achieved")</f>
        <v>Not Achieved</v>
      </c>
      <c r="P897" s="8">
        <v>3</v>
      </c>
      <c r="Q897" s="7" t="str">
        <f>IF(AND(Table15[[#This Row],[CSAT Score]]&lt;=3,Table15[[#This Row],[Revenue]]&gt;=20000),"High-Risk","Stable")</f>
        <v>Stable</v>
      </c>
      <c r="R897" s="8" t="str" cm="1">
        <f t="array" ref="R897">_xlfn.IFS(Table15[[#This Row],[Revenue]]&gt;=35000,"Platinum",Table15[[#This Row],[Revenue]]&gt;=15000,"Gold",TRUE,"Standard")</f>
        <v>Standard</v>
      </c>
      <c r="S897" s="8" t="str">
        <f>IF(OR(Table15[[#This Row],[Product]]="Wealth Management",Table15[[#This Row],[Revenue]]&gt;=40000),"Yes","No")</f>
        <v>No</v>
      </c>
    </row>
    <row r="898" spans="1:19" x14ac:dyDescent="0.3">
      <c r="A898" s="5" t="s">
        <v>956</v>
      </c>
      <c r="B898" s="6">
        <v>46098</v>
      </c>
      <c r="C898" s="7" t="s">
        <v>75</v>
      </c>
      <c r="D898" s="7" t="s">
        <v>79</v>
      </c>
      <c r="E898" s="7" t="s">
        <v>46</v>
      </c>
      <c r="F898" s="7" t="s">
        <v>69</v>
      </c>
      <c r="G898" s="7" t="s">
        <v>56</v>
      </c>
      <c r="H898" s="7" t="s">
        <v>57</v>
      </c>
      <c r="I898" s="7">
        <v>37</v>
      </c>
      <c r="J898" s="7">
        <v>49</v>
      </c>
      <c r="K898" s="20">
        <v>29909.75</v>
      </c>
      <c r="L898" s="20">
        <v>279.81</v>
      </c>
      <c r="M898" s="7">
        <v>165.11</v>
      </c>
      <c r="N898" s="20">
        <f>Table15[[#This Row],[Processing Fee]]-Table15[[#This Row],[Discount Applied]]</f>
        <v>114.69999999999999</v>
      </c>
      <c r="O898" s="7" t="str">
        <f>IF(Table15[[#This Row],[Revenue]]&gt;35000,"Achieved","Not Achieved")</f>
        <v>Not Achieved</v>
      </c>
      <c r="P898" s="8">
        <v>4</v>
      </c>
      <c r="Q898" s="7" t="str">
        <f>IF(AND(Table15[[#This Row],[CSAT Score]]&lt;=3,Table15[[#This Row],[Revenue]]&gt;=20000),"High-Risk","Stable")</f>
        <v>Stable</v>
      </c>
      <c r="R898" s="8" t="str" cm="1">
        <f t="array" ref="R898">_xlfn.IFS(Table15[[#This Row],[Revenue]]&gt;=35000,"Platinum",Table15[[#This Row],[Revenue]]&gt;=15000,"Gold",TRUE,"Standard")</f>
        <v>Gold</v>
      </c>
      <c r="S898" s="8" t="str">
        <f>IF(OR(Table15[[#This Row],[Product]]="Wealth Management",Table15[[#This Row],[Revenue]]&gt;=40000),"Yes","No")</f>
        <v>No</v>
      </c>
    </row>
    <row r="899" spans="1:19" x14ac:dyDescent="0.3">
      <c r="A899" s="5" t="s">
        <v>957</v>
      </c>
      <c r="B899" s="6">
        <v>45875</v>
      </c>
      <c r="C899" s="7" t="s">
        <v>26</v>
      </c>
      <c r="D899" s="7" t="s">
        <v>63</v>
      </c>
      <c r="E899" s="7" t="s">
        <v>21</v>
      </c>
      <c r="F899" s="7" t="s">
        <v>40</v>
      </c>
      <c r="G899" s="7" t="s">
        <v>56</v>
      </c>
      <c r="H899" s="7" t="s">
        <v>24</v>
      </c>
      <c r="I899" s="7">
        <v>46</v>
      </c>
      <c r="J899" s="7">
        <v>56</v>
      </c>
      <c r="K899" s="20">
        <v>36105.379999999997</v>
      </c>
      <c r="L899" s="20">
        <v>264.67</v>
      </c>
      <c r="M899" s="7">
        <v>55.05</v>
      </c>
      <c r="N899" s="20">
        <f>Table15[[#This Row],[Processing Fee]]-Table15[[#This Row],[Discount Applied]]</f>
        <v>209.62</v>
      </c>
      <c r="O899" s="7" t="str">
        <f>IF(Table15[[#This Row],[Revenue]]&gt;35000,"Achieved","Not Achieved")</f>
        <v>Achieved</v>
      </c>
      <c r="P899" s="8">
        <v>4</v>
      </c>
      <c r="Q899" s="7" t="str">
        <f>IF(AND(Table15[[#This Row],[CSAT Score]]&lt;=3,Table15[[#This Row],[Revenue]]&gt;=20000),"High-Risk","Stable")</f>
        <v>Stable</v>
      </c>
      <c r="R899" s="8" t="str" cm="1">
        <f t="array" ref="R899">_xlfn.IFS(Table15[[#This Row],[Revenue]]&gt;=35000,"Platinum",Table15[[#This Row],[Revenue]]&gt;=15000,"Gold",TRUE,"Standard")</f>
        <v>Platinum</v>
      </c>
      <c r="S899" s="8" t="str">
        <f>IF(OR(Table15[[#This Row],[Product]]="Wealth Management",Table15[[#This Row],[Revenue]]&gt;=40000),"Yes","No")</f>
        <v>No</v>
      </c>
    </row>
    <row r="900" spans="1:19" x14ac:dyDescent="0.3">
      <c r="A900" s="5" t="s">
        <v>958</v>
      </c>
      <c r="B900" s="6">
        <v>45874</v>
      </c>
      <c r="C900" s="7" t="s">
        <v>19</v>
      </c>
      <c r="D900" s="7" t="s">
        <v>20</v>
      </c>
      <c r="E900" s="7" t="s">
        <v>46</v>
      </c>
      <c r="F900" s="7" t="s">
        <v>40</v>
      </c>
      <c r="G900" s="7" t="s">
        <v>23</v>
      </c>
      <c r="H900" s="7" t="s">
        <v>57</v>
      </c>
      <c r="I900" s="7">
        <v>66</v>
      </c>
      <c r="J900" s="7">
        <v>63</v>
      </c>
      <c r="K900" s="20">
        <v>31127.98</v>
      </c>
      <c r="L900" s="20">
        <v>425.7</v>
      </c>
      <c r="M900" s="7">
        <v>15.04</v>
      </c>
      <c r="N900" s="20">
        <f>Table15[[#This Row],[Processing Fee]]-Table15[[#This Row],[Discount Applied]]</f>
        <v>410.65999999999997</v>
      </c>
      <c r="O900" s="7" t="str">
        <f>IF(Table15[[#This Row],[Revenue]]&gt;35000,"Achieved","Not Achieved")</f>
        <v>Not Achieved</v>
      </c>
      <c r="P900" s="8">
        <v>1</v>
      </c>
      <c r="Q900" s="7" t="str">
        <f>IF(AND(Table15[[#This Row],[CSAT Score]]&lt;=3,Table15[[#This Row],[Revenue]]&gt;=20000),"High-Risk","Stable")</f>
        <v>High-Risk</v>
      </c>
      <c r="R900" s="8" t="str" cm="1">
        <f t="array" ref="R900">_xlfn.IFS(Table15[[#This Row],[Revenue]]&gt;=35000,"Platinum",Table15[[#This Row],[Revenue]]&gt;=15000,"Gold",TRUE,"Standard")</f>
        <v>Gold</v>
      </c>
      <c r="S900" s="8" t="str">
        <f>IF(OR(Table15[[#This Row],[Product]]="Wealth Management",Table15[[#This Row],[Revenue]]&gt;=40000),"Yes","No")</f>
        <v>No</v>
      </c>
    </row>
    <row r="901" spans="1:19" x14ac:dyDescent="0.3">
      <c r="A901" s="5" t="s">
        <v>959</v>
      </c>
      <c r="B901" s="6">
        <v>45921</v>
      </c>
      <c r="C901" s="7" t="s">
        <v>42</v>
      </c>
      <c r="D901" s="7" t="s">
        <v>68</v>
      </c>
      <c r="E901" s="7" t="s">
        <v>59</v>
      </c>
      <c r="F901" s="7" t="s">
        <v>40</v>
      </c>
      <c r="G901" s="7" t="s">
        <v>23</v>
      </c>
      <c r="H901" s="7" t="s">
        <v>53</v>
      </c>
      <c r="I901" s="7">
        <v>68</v>
      </c>
      <c r="J901" s="7">
        <v>3</v>
      </c>
      <c r="K901" s="20">
        <v>4543.1499999999996</v>
      </c>
      <c r="L901" s="20">
        <v>390.15</v>
      </c>
      <c r="M901" s="7">
        <v>141.56</v>
      </c>
      <c r="N901" s="20">
        <f>Table15[[#This Row],[Processing Fee]]-Table15[[#This Row],[Discount Applied]]</f>
        <v>248.58999999999997</v>
      </c>
      <c r="O901" s="7" t="str">
        <f>IF(Table15[[#This Row],[Revenue]]&gt;35000,"Achieved","Not Achieved")</f>
        <v>Not Achieved</v>
      </c>
      <c r="P901" s="8">
        <v>3</v>
      </c>
      <c r="Q901" s="7" t="str">
        <f>IF(AND(Table15[[#This Row],[CSAT Score]]&lt;=3,Table15[[#This Row],[Revenue]]&gt;=20000),"High-Risk","Stable")</f>
        <v>Stable</v>
      </c>
      <c r="R901" s="8" t="str" cm="1">
        <f t="array" ref="R901">_xlfn.IFS(Table15[[#This Row],[Revenue]]&gt;=35000,"Platinum",Table15[[#This Row],[Revenue]]&gt;=15000,"Gold",TRUE,"Standard")</f>
        <v>Standard</v>
      </c>
      <c r="S901" s="8" t="str">
        <f>IF(OR(Table15[[#This Row],[Product]]="Wealth Management",Table15[[#This Row],[Revenue]]&gt;=40000),"Yes","No")</f>
        <v>No</v>
      </c>
    </row>
    <row r="902" spans="1:19" x14ac:dyDescent="0.3">
      <c r="A902" s="5" t="s">
        <v>960</v>
      </c>
      <c r="B902" s="6">
        <v>46118</v>
      </c>
      <c r="C902" s="7" t="s">
        <v>33</v>
      </c>
      <c r="D902" s="7" t="s">
        <v>87</v>
      </c>
      <c r="E902" s="7" t="s">
        <v>46</v>
      </c>
      <c r="F902" s="7" t="s">
        <v>22</v>
      </c>
      <c r="G902" s="7" t="s">
        <v>36</v>
      </c>
      <c r="H902" s="7" t="s">
        <v>57</v>
      </c>
      <c r="I902" s="7">
        <v>34</v>
      </c>
      <c r="J902" s="7">
        <v>107</v>
      </c>
      <c r="K902" s="20">
        <v>11277.38</v>
      </c>
      <c r="L902" s="20">
        <v>267.52999999999997</v>
      </c>
      <c r="M902" s="7">
        <v>96.6</v>
      </c>
      <c r="N902" s="20">
        <f>Table15[[#This Row],[Processing Fee]]-Table15[[#This Row],[Discount Applied]]</f>
        <v>170.92999999999998</v>
      </c>
      <c r="O902" s="7" t="str">
        <f>IF(Table15[[#This Row],[Revenue]]&gt;35000,"Achieved","Not Achieved")</f>
        <v>Not Achieved</v>
      </c>
      <c r="P902" s="8">
        <v>4</v>
      </c>
      <c r="Q902" s="7" t="str">
        <f>IF(AND(Table15[[#This Row],[CSAT Score]]&lt;=3,Table15[[#This Row],[Revenue]]&gt;=20000),"High-Risk","Stable")</f>
        <v>Stable</v>
      </c>
      <c r="R902" s="8" t="str" cm="1">
        <f t="array" ref="R902">_xlfn.IFS(Table15[[#This Row],[Revenue]]&gt;=35000,"Platinum",Table15[[#This Row],[Revenue]]&gt;=15000,"Gold",TRUE,"Standard")</f>
        <v>Standard</v>
      </c>
      <c r="S902" s="8" t="str">
        <f>IF(OR(Table15[[#This Row],[Product]]="Wealth Management",Table15[[#This Row],[Revenue]]&gt;=40000),"Yes","No")</f>
        <v>Yes</v>
      </c>
    </row>
    <row r="903" spans="1:19" x14ac:dyDescent="0.3">
      <c r="A903" s="5" t="s">
        <v>961</v>
      </c>
      <c r="B903" s="6">
        <v>46212</v>
      </c>
      <c r="C903" s="7" t="s">
        <v>26</v>
      </c>
      <c r="D903" s="7" t="s">
        <v>27</v>
      </c>
      <c r="E903" s="7" t="s">
        <v>46</v>
      </c>
      <c r="F903" s="7" t="s">
        <v>22</v>
      </c>
      <c r="G903" s="7" t="s">
        <v>30</v>
      </c>
      <c r="H903" s="7" t="s">
        <v>57</v>
      </c>
      <c r="I903" s="7">
        <v>61</v>
      </c>
      <c r="J903" s="7">
        <v>49</v>
      </c>
      <c r="K903" s="20">
        <v>12891.84</v>
      </c>
      <c r="L903" s="20">
        <v>100.24</v>
      </c>
      <c r="M903" s="7">
        <v>179.3</v>
      </c>
      <c r="N903" s="20">
        <f>Table15[[#This Row],[Processing Fee]]-Table15[[#This Row],[Discount Applied]]</f>
        <v>-79.060000000000016</v>
      </c>
      <c r="O903" s="7" t="str">
        <f>IF(Table15[[#This Row],[Revenue]]&gt;35000,"Achieved","Not Achieved")</f>
        <v>Not Achieved</v>
      </c>
      <c r="P903" s="8">
        <v>5</v>
      </c>
      <c r="Q903" s="7" t="str">
        <f>IF(AND(Table15[[#This Row],[CSAT Score]]&lt;=3,Table15[[#This Row],[Revenue]]&gt;=20000),"High-Risk","Stable")</f>
        <v>Stable</v>
      </c>
      <c r="R903" s="8" t="str" cm="1">
        <f t="array" ref="R903">_xlfn.IFS(Table15[[#This Row],[Revenue]]&gt;=35000,"Platinum",Table15[[#This Row],[Revenue]]&gt;=15000,"Gold",TRUE,"Standard")</f>
        <v>Standard</v>
      </c>
      <c r="S903" s="8" t="str">
        <f>IF(OR(Table15[[#This Row],[Product]]="Wealth Management",Table15[[#This Row],[Revenue]]&gt;=40000),"Yes","No")</f>
        <v>Yes</v>
      </c>
    </row>
    <row r="904" spans="1:19" x14ac:dyDescent="0.3">
      <c r="A904" s="5" t="s">
        <v>962</v>
      </c>
      <c r="B904" s="6">
        <v>45992</v>
      </c>
      <c r="C904" s="7" t="s">
        <v>75</v>
      </c>
      <c r="D904" s="7" t="s">
        <v>79</v>
      </c>
      <c r="E904" s="7" t="s">
        <v>59</v>
      </c>
      <c r="F904" s="7" t="s">
        <v>22</v>
      </c>
      <c r="G904" s="7" t="s">
        <v>30</v>
      </c>
      <c r="H904" s="7" t="s">
        <v>53</v>
      </c>
      <c r="I904" s="7">
        <v>56</v>
      </c>
      <c r="J904" s="7">
        <v>55</v>
      </c>
      <c r="K904" s="20">
        <v>41670.370000000003</v>
      </c>
      <c r="L904" s="20">
        <v>101.93</v>
      </c>
      <c r="M904" s="7">
        <v>196.54</v>
      </c>
      <c r="N904" s="20">
        <f>Table15[[#This Row],[Processing Fee]]-Table15[[#This Row],[Discount Applied]]</f>
        <v>-94.609999999999985</v>
      </c>
      <c r="O904" s="7" t="str">
        <f>IF(Table15[[#This Row],[Revenue]]&gt;35000,"Achieved","Not Achieved")</f>
        <v>Achieved</v>
      </c>
      <c r="P904" s="8">
        <v>5</v>
      </c>
      <c r="Q904" s="7" t="str">
        <f>IF(AND(Table15[[#This Row],[CSAT Score]]&lt;=3,Table15[[#This Row],[Revenue]]&gt;=20000),"High-Risk","Stable")</f>
        <v>Stable</v>
      </c>
      <c r="R904" s="8" t="str" cm="1">
        <f t="array" ref="R904">_xlfn.IFS(Table15[[#This Row],[Revenue]]&gt;=35000,"Platinum",Table15[[#This Row],[Revenue]]&gt;=15000,"Gold",TRUE,"Standard")</f>
        <v>Platinum</v>
      </c>
      <c r="S904" s="8" t="str">
        <f>IF(OR(Table15[[#This Row],[Product]]="Wealth Management",Table15[[#This Row],[Revenue]]&gt;=40000),"Yes","No")</f>
        <v>Yes</v>
      </c>
    </row>
    <row r="905" spans="1:19" x14ac:dyDescent="0.3">
      <c r="A905" s="5" t="s">
        <v>963</v>
      </c>
      <c r="B905" s="6">
        <v>46011</v>
      </c>
      <c r="C905" s="7" t="s">
        <v>19</v>
      </c>
      <c r="D905" s="7" t="s">
        <v>20</v>
      </c>
      <c r="E905" s="7" t="s">
        <v>39</v>
      </c>
      <c r="F905" s="7" t="s">
        <v>29</v>
      </c>
      <c r="G905" s="7" t="s">
        <v>36</v>
      </c>
      <c r="H905" s="7" t="s">
        <v>31</v>
      </c>
      <c r="I905" s="7">
        <v>43</v>
      </c>
      <c r="J905" s="7">
        <v>26</v>
      </c>
      <c r="K905" s="20">
        <v>23428.37</v>
      </c>
      <c r="L905" s="20">
        <v>410.69</v>
      </c>
      <c r="M905" s="7">
        <v>119.73</v>
      </c>
      <c r="N905" s="20">
        <f>Table15[[#This Row],[Processing Fee]]-Table15[[#This Row],[Discount Applied]]</f>
        <v>290.95999999999998</v>
      </c>
      <c r="O905" s="7" t="str">
        <f>IF(Table15[[#This Row],[Revenue]]&gt;35000,"Achieved","Not Achieved")</f>
        <v>Not Achieved</v>
      </c>
      <c r="P905" s="8">
        <v>2</v>
      </c>
      <c r="Q905" s="7" t="str">
        <f>IF(AND(Table15[[#This Row],[CSAT Score]]&lt;=3,Table15[[#This Row],[Revenue]]&gt;=20000),"High-Risk","Stable")</f>
        <v>High-Risk</v>
      </c>
      <c r="R905" s="8" t="str" cm="1">
        <f t="array" ref="R905">_xlfn.IFS(Table15[[#This Row],[Revenue]]&gt;=35000,"Platinum",Table15[[#This Row],[Revenue]]&gt;=15000,"Gold",TRUE,"Standard")</f>
        <v>Gold</v>
      </c>
      <c r="S905" s="8" t="str">
        <f>IF(OR(Table15[[#This Row],[Product]]="Wealth Management",Table15[[#This Row],[Revenue]]&gt;=40000),"Yes","No")</f>
        <v>No</v>
      </c>
    </row>
    <row r="906" spans="1:19" x14ac:dyDescent="0.3">
      <c r="A906" s="5" t="s">
        <v>964</v>
      </c>
      <c r="B906" s="6">
        <v>46190</v>
      </c>
      <c r="C906" s="7" t="s">
        <v>42</v>
      </c>
      <c r="D906" s="7" t="s">
        <v>20</v>
      </c>
      <c r="E906" s="7" t="s">
        <v>46</v>
      </c>
      <c r="F906" s="7" t="s">
        <v>22</v>
      </c>
      <c r="G906" s="7" t="s">
        <v>36</v>
      </c>
      <c r="H906" s="7" t="s">
        <v>24</v>
      </c>
      <c r="I906" s="7">
        <v>63</v>
      </c>
      <c r="J906" s="7">
        <v>99</v>
      </c>
      <c r="K906" s="20">
        <v>24598</v>
      </c>
      <c r="L906" s="20">
        <v>288.23</v>
      </c>
      <c r="M906" s="7">
        <v>83.09</v>
      </c>
      <c r="N906" s="20">
        <f>Table15[[#This Row],[Processing Fee]]-Table15[[#This Row],[Discount Applied]]</f>
        <v>205.14000000000001</v>
      </c>
      <c r="O906" s="7" t="str">
        <f>IF(Table15[[#This Row],[Revenue]]&gt;35000,"Achieved","Not Achieved")</f>
        <v>Not Achieved</v>
      </c>
      <c r="P906" s="8">
        <v>2</v>
      </c>
      <c r="Q906" s="7" t="str">
        <f>IF(AND(Table15[[#This Row],[CSAT Score]]&lt;=3,Table15[[#This Row],[Revenue]]&gt;=20000),"High-Risk","Stable")</f>
        <v>High-Risk</v>
      </c>
      <c r="R906" s="8" t="str" cm="1">
        <f t="array" ref="R906">_xlfn.IFS(Table15[[#This Row],[Revenue]]&gt;=35000,"Platinum",Table15[[#This Row],[Revenue]]&gt;=15000,"Gold",TRUE,"Standard")</f>
        <v>Gold</v>
      </c>
      <c r="S906" s="8" t="str">
        <f>IF(OR(Table15[[#This Row],[Product]]="Wealth Management",Table15[[#This Row],[Revenue]]&gt;=40000),"Yes","No")</f>
        <v>Yes</v>
      </c>
    </row>
    <row r="907" spans="1:19" x14ac:dyDescent="0.3">
      <c r="A907" s="5" t="s">
        <v>965</v>
      </c>
      <c r="B907" s="6">
        <v>46105</v>
      </c>
      <c r="C907" s="7" t="s">
        <v>55</v>
      </c>
      <c r="D907" s="7" t="s">
        <v>45</v>
      </c>
      <c r="E907" s="7" t="s">
        <v>46</v>
      </c>
      <c r="F907" s="7" t="s">
        <v>40</v>
      </c>
      <c r="G907" s="7" t="s">
        <v>56</v>
      </c>
      <c r="H907" s="7" t="s">
        <v>53</v>
      </c>
      <c r="I907" s="7">
        <v>26</v>
      </c>
      <c r="J907" s="7">
        <v>72</v>
      </c>
      <c r="K907" s="20">
        <v>46777.21</v>
      </c>
      <c r="L907" s="20">
        <v>266.72000000000003</v>
      </c>
      <c r="M907" s="7">
        <v>81.59</v>
      </c>
      <c r="N907" s="20">
        <f>Table15[[#This Row],[Processing Fee]]-Table15[[#This Row],[Discount Applied]]</f>
        <v>185.13000000000002</v>
      </c>
      <c r="O907" s="7" t="str">
        <f>IF(Table15[[#This Row],[Revenue]]&gt;35000,"Achieved","Not Achieved")</f>
        <v>Achieved</v>
      </c>
      <c r="P907" s="8">
        <v>5</v>
      </c>
      <c r="Q907" s="7" t="str">
        <f>IF(AND(Table15[[#This Row],[CSAT Score]]&lt;=3,Table15[[#This Row],[Revenue]]&gt;=20000),"High-Risk","Stable")</f>
        <v>Stable</v>
      </c>
      <c r="R907" s="8" t="str" cm="1">
        <f t="array" ref="R907">_xlfn.IFS(Table15[[#This Row],[Revenue]]&gt;=35000,"Platinum",Table15[[#This Row],[Revenue]]&gt;=15000,"Gold",TRUE,"Standard")</f>
        <v>Platinum</v>
      </c>
      <c r="S907" s="8" t="str">
        <f>IF(OR(Table15[[#This Row],[Product]]="Wealth Management",Table15[[#This Row],[Revenue]]&gt;=40000),"Yes","No")</f>
        <v>Yes</v>
      </c>
    </row>
    <row r="908" spans="1:19" x14ac:dyDescent="0.3">
      <c r="A908" s="5" t="s">
        <v>966</v>
      </c>
      <c r="B908" s="6">
        <v>45914</v>
      </c>
      <c r="C908" s="7" t="s">
        <v>55</v>
      </c>
      <c r="D908" s="7" t="s">
        <v>79</v>
      </c>
      <c r="E908" s="7" t="s">
        <v>39</v>
      </c>
      <c r="F908" s="7" t="s">
        <v>40</v>
      </c>
      <c r="G908" s="7" t="s">
        <v>36</v>
      </c>
      <c r="H908" s="7" t="s">
        <v>57</v>
      </c>
      <c r="I908" s="7">
        <v>67</v>
      </c>
      <c r="J908" s="7">
        <v>52</v>
      </c>
      <c r="K908" s="20">
        <v>32035.75</v>
      </c>
      <c r="L908" s="20">
        <v>356.26</v>
      </c>
      <c r="M908" s="7">
        <v>64.91</v>
      </c>
      <c r="N908" s="20">
        <f>Table15[[#This Row],[Processing Fee]]-Table15[[#This Row],[Discount Applied]]</f>
        <v>291.35000000000002</v>
      </c>
      <c r="O908" s="7" t="str">
        <f>IF(Table15[[#This Row],[Revenue]]&gt;35000,"Achieved","Not Achieved")</f>
        <v>Not Achieved</v>
      </c>
      <c r="P908" s="8">
        <v>5</v>
      </c>
      <c r="Q908" s="7" t="str">
        <f>IF(AND(Table15[[#This Row],[CSAT Score]]&lt;=3,Table15[[#This Row],[Revenue]]&gt;=20000),"High-Risk","Stable")</f>
        <v>Stable</v>
      </c>
      <c r="R908" s="8" t="str" cm="1">
        <f t="array" ref="R908">_xlfn.IFS(Table15[[#This Row],[Revenue]]&gt;=35000,"Platinum",Table15[[#This Row],[Revenue]]&gt;=15000,"Gold",TRUE,"Standard")</f>
        <v>Gold</v>
      </c>
      <c r="S908" s="8" t="str">
        <f>IF(OR(Table15[[#This Row],[Product]]="Wealth Management",Table15[[#This Row],[Revenue]]&gt;=40000),"Yes","No")</f>
        <v>No</v>
      </c>
    </row>
    <row r="909" spans="1:19" x14ac:dyDescent="0.3">
      <c r="A909" s="5" t="s">
        <v>967</v>
      </c>
      <c r="B909" s="6">
        <v>45872</v>
      </c>
      <c r="C909" s="7" t="s">
        <v>42</v>
      </c>
      <c r="D909" s="7" t="s">
        <v>34</v>
      </c>
      <c r="E909" s="7" t="s">
        <v>46</v>
      </c>
      <c r="F909" s="7" t="s">
        <v>29</v>
      </c>
      <c r="G909" s="7" t="s">
        <v>65</v>
      </c>
      <c r="H909" s="7" t="s">
        <v>24</v>
      </c>
      <c r="I909" s="7">
        <v>25</v>
      </c>
      <c r="J909" s="7">
        <v>100</v>
      </c>
      <c r="K909" s="20">
        <v>44984.05</v>
      </c>
      <c r="L909" s="20">
        <v>436.48</v>
      </c>
      <c r="M909" s="7">
        <v>156.34</v>
      </c>
      <c r="N909" s="20">
        <f>Table15[[#This Row],[Processing Fee]]-Table15[[#This Row],[Discount Applied]]</f>
        <v>280.14</v>
      </c>
      <c r="O909" s="7" t="str">
        <f>IF(Table15[[#This Row],[Revenue]]&gt;35000,"Achieved","Not Achieved")</f>
        <v>Achieved</v>
      </c>
      <c r="P909" s="8">
        <v>2</v>
      </c>
      <c r="Q909" s="7" t="str">
        <f>IF(AND(Table15[[#This Row],[CSAT Score]]&lt;=3,Table15[[#This Row],[Revenue]]&gt;=20000),"High-Risk","Stable")</f>
        <v>High-Risk</v>
      </c>
      <c r="R909" s="8" t="str" cm="1">
        <f t="array" ref="R909">_xlfn.IFS(Table15[[#This Row],[Revenue]]&gt;=35000,"Platinum",Table15[[#This Row],[Revenue]]&gt;=15000,"Gold",TRUE,"Standard")</f>
        <v>Platinum</v>
      </c>
      <c r="S909" s="8" t="str">
        <f>IF(OR(Table15[[#This Row],[Product]]="Wealth Management",Table15[[#This Row],[Revenue]]&gt;=40000),"Yes","No")</f>
        <v>Yes</v>
      </c>
    </row>
    <row r="910" spans="1:19" x14ac:dyDescent="0.3">
      <c r="A910" s="5" t="s">
        <v>968</v>
      </c>
      <c r="B910" s="6">
        <v>45917</v>
      </c>
      <c r="C910" s="7" t="s">
        <v>19</v>
      </c>
      <c r="D910" s="7" t="s">
        <v>77</v>
      </c>
      <c r="E910" s="7" t="s">
        <v>46</v>
      </c>
      <c r="F910" s="7" t="s">
        <v>29</v>
      </c>
      <c r="G910" s="7" t="s">
        <v>30</v>
      </c>
      <c r="H910" s="7" t="s">
        <v>53</v>
      </c>
      <c r="I910" s="7">
        <v>63</v>
      </c>
      <c r="J910" s="7">
        <v>117</v>
      </c>
      <c r="K910" s="20">
        <v>23097.19</v>
      </c>
      <c r="L910" s="20">
        <v>332.99</v>
      </c>
      <c r="M910" s="7">
        <v>151.80000000000001</v>
      </c>
      <c r="N910" s="20">
        <f>Table15[[#This Row],[Processing Fee]]-Table15[[#This Row],[Discount Applied]]</f>
        <v>181.19</v>
      </c>
      <c r="O910" s="7" t="str">
        <f>IF(Table15[[#This Row],[Revenue]]&gt;35000,"Achieved","Not Achieved")</f>
        <v>Not Achieved</v>
      </c>
      <c r="P910" s="8">
        <v>4</v>
      </c>
      <c r="Q910" s="7" t="str">
        <f>IF(AND(Table15[[#This Row],[CSAT Score]]&lt;=3,Table15[[#This Row],[Revenue]]&gt;=20000),"High-Risk","Stable")</f>
        <v>Stable</v>
      </c>
      <c r="R910" s="8" t="str" cm="1">
        <f t="array" ref="R910">_xlfn.IFS(Table15[[#This Row],[Revenue]]&gt;=35000,"Platinum",Table15[[#This Row],[Revenue]]&gt;=15000,"Gold",TRUE,"Standard")</f>
        <v>Gold</v>
      </c>
      <c r="S910" s="8" t="str">
        <f>IF(OR(Table15[[#This Row],[Product]]="Wealth Management",Table15[[#This Row],[Revenue]]&gt;=40000),"Yes","No")</f>
        <v>No</v>
      </c>
    </row>
    <row r="911" spans="1:19" x14ac:dyDescent="0.3">
      <c r="A911" s="5" t="s">
        <v>969</v>
      </c>
      <c r="B911" s="6">
        <v>45989</v>
      </c>
      <c r="C911" s="7" t="s">
        <v>75</v>
      </c>
      <c r="D911" s="7" t="s">
        <v>48</v>
      </c>
      <c r="E911" s="7" t="s">
        <v>46</v>
      </c>
      <c r="F911" s="7" t="s">
        <v>22</v>
      </c>
      <c r="G911" s="7" t="s">
        <v>36</v>
      </c>
      <c r="H911" s="7" t="s">
        <v>24</v>
      </c>
      <c r="I911" s="7">
        <v>45</v>
      </c>
      <c r="J911" s="7">
        <v>118</v>
      </c>
      <c r="K911" s="20">
        <v>7897.09</v>
      </c>
      <c r="L911" s="20">
        <v>393.28</v>
      </c>
      <c r="M911" s="7">
        <v>95.73</v>
      </c>
      <c r="N911" s="20">
        <f>Table15[[#This Row],[Processing Fee]]-Table15[[#This Row],[Discount Applied]]</f>
        <v>297.54999999999995</v>
      </c>
      <c r="O911" s="7" t="str">
        <f>IF(Table15[[#This Row],[Revenue]]&gt;35000,"Achieved","Not Achieved")</f>
        <v>Not Achieved</v>
      </c>
      <c r="P911" s="8">
        <v>1</v>
      </c>
      <c r="Q911" s="7" t="str">
        <f>IF(AND(Table15[[#This Row],[CSAT Score]]&lt;=3,Table15[[#This Row],[Revenue]]&gt;=20000),"High-Risk","Stable")</f>
        <v>Stable</v>
      </c>
      <c r="R911" s="8" t="str" cm="1">
        <f t="array" ref="R911">_xlfn.IFS(Table15[[#This Row],[Revenue]]&gt;=35000,"Platinum",Table15[[#This Row],[Revenue]]&gt;=15000,"Gold",TRUE,"Standard")</f>
        <v>Standard</v>
      </c>
      <c r="S911" s="8" t="str">
        <f>IF(OR(Table15[[#This Row],[Product]]="Wealth Management",Table15[[#This Row],[Revenue]]&gt;=40000),"Yes","No")</f>
        <v>Yes</v>
      </c>
    </row>
    <row r="912" spans="1:19" x14ac:dyDescent="0.3">
      <c r="A912" s="5" t="s">
        <v>970</v>
      </c>
      <c r="B912" s="6">
        <v>46119</v>
      </c>
      <c r="C912" s="7" t="s">
        <v>42</v>
      </c>
      <c r="D912" s="7" t="s">
        <v>27</v>
      </c>
      <c r="E912" s="7" t="s">
        <v>28</v>
      </c>
      <c r="F912" s="7" t="s">
        <v>35</v>
      </c>
      <c r="G912" s="7" t="s">
        <v>65</v>
      </c>
      <c r="H912" s="7" t="s">
        <v>24</v>
      </c>
      <c r="I912" s="7">
        <v>38</v>
      </c>
      <c r="J912" s="7">
        <v>7</v>
      </c>
      <c r="K912" s="20">
        <v>46531.81</v>
      </c>
      <c r="L912" s="20">
        <v>394.37</v>
      </c>
      <c r="M912" s="7">
        <v>8.93</v>
      </c>
      <c r="N912" s="20">
        <f>Table15[[#This Row],[Processing Fee]]-Table15[[#This Row],[Discount Applied]]</f>
        <v>385.44</v>
      </c>
      <c r="O912" s="7" t="str">
        <f>IF(Table15[[#This Row],[Revenue]]&gt;35000,"Achieved","Not Achieved")</f>
        <v>Achieved</v>
      </c>
      <c r="P912" s="8">
        <v>2</v>
      </c>
      <c r="Q912" s="7" t="str">
        <f>IF(AND(Table15[[#This Row],[CSAT Score]]&lt;=3,Table15[[#This Row],[Revenue]]&gt;=20000),"High-Risk","Stable")</f>
        <v>High-Risk</v>
      </c>
      <c r="R912" s="8" t="str" cm="1">
        <f t="array" ref="R912">_xlfn.IFS(Table15[[#This Row],[Revenue]]&gt;=35000,"Platinum",Table15[[#This Row],[Revenue]]&gt;=15000,"Gold",TRUE,"Standard")</f>
        <v>Platinum</v>
      </c>
      <c r="S912" s="8" t="str">
        <f>IF(OR(Table15[[#This Row],[Product]]="Wealth Management",Table15[[#This Row],[Revenue]]&gt;=40000),"Yes","No")</f>
        <v>Yes</v>
      </c>
    </row>
    <row r="913" spans="1:19" x14ac:dyDescent="0.3">
      <c r="A913" s="5" t="s">
        <v>971</v>
      </c>
      <c r="B913" s="6">
        <v>46005</v>
      </c>
      <c r="C913" s="7" t="s">
        <v>33</v>
      </c>
      <c r="D913" s="7" t="s">
        <v>48</v>
      </c>
      <c r="E913" s="7" t="s">
        <v>39</v>
      </c>
      <c r="F913" s="7" t="s">
        <v>29</v>
      </c>
      <c r="G913" s="7" t="s">
        <v>65</v>
      </c>
      <c r="H913" s="7" t="s">
        <v>53</v>
      </c>
      <c r="I913" s="7">
        <v>33</v>
      </c>
      <c r="J913" s="7">
        <v>46</v>
      </c>
      <c r="K913" s="20">
        <v>23205.9</v>
      </c>
      <c r="L913" s="20">
        <v>210.32</v>
      </c>
      <c r="M913" s="7">
        <v>61.91</v>
      </c>
      <c r="N913" s="20">
        <f>Table15[[#This Row],[Processing Fee]]-Table15[[#This Row],[Discount Applied]]</f>
        <v>148.41</v>
      </c>
      <c r="O913" s="7" t="str">
        <f>IF(Table15[[#This Row],[Revenue]]&gt;35000,"Achieved","Not Achieved")</f>
        <v>Not Achieved</v>
      </c>
      <c r="P913" s="8">
        <v>4</v>
      </c>
      <c r="Q913" s="7" t="str">
        <f>IF(AND(Table15[[#This Row],[CSAT Score]]&lt;=3,Table15[[#This Row],[Revenue]]&gt;=20000),"High-Risk","Stable")</f>
        <v>Stable</v>
      </c>
      <c r="R913" s="8" t="str" cm="1">
        <f t="array" ref="R913">_xlfn.IFS(Table15[[#This Row],[Revenue]]&gt;=35000,"Platinum",Table15[[#This Row],[Revenue]]&gt;=15000,"Gold",TRUE,"Standard")</f>
        <v>Gold</v>
      </c>
      <c r="S913" s="8" t="str">
        <f>IF(OR(Table15[[#This Row],[Product]]="Wealth Management",Table15[[#This Row],[Revenue]]&gt;=40000),"Yes","No")</f>
        <v>No</v>
      </c>
    </row>
    <row r="914" spans="1:19" x14ac:dyDescent="0.3">
      <c r="A914" s="5" t="s">
        <v>972</v>
      </c>
      <c r="B914" s="6">
        <v>46113</v>
      </c>
      <c r="C914" s="7" t="s">
        <v>33</v>
      </c>
      <c r="D914" s="7" t="s">
        <v>63</v>
      </c>
      <c r="E914" s="7" t="s">
        <v>46</v>
      </c>
      <c r="F914" s="7" t="s">
        <v>69</v>
      </c>
      <c r="G914" s="7" t="s">
        <v>65</v>
      </c>
      <c r="H914" s="7" t="s">
        <v>24</v>
      </c>
      <c r="I914" s="7">
        <v>63</v>
      </c>
      <c r="J914" s="7">
        <v>46</v>
      </c>
      <c r="K914" s="20">
        <v>9490.76</v>
      </c>
      <c r="L914" s="20">
        <v>173.34</v>
      </c>
      <c r="M914" s="7">
        <v>58.46</v>
      </c>
      <c r="N914" s="20">
        <f>Table15[[#This Row],[Processing Fee]]-Table15[[#This Row],[Discount Applied]]</f>
        <v>114.88</v>
      </c>
      <c r="O914" s="7" t="str">
        <f>IF(Table15[[#This Row],[Revenue]]&gt;35000,"Achieved","Not Achieved")</f>
        <v>Not Achieved</v>
      </c>
      <c r="P914" s="8">
        <v>4</v>
      </c>
      <c r="Q914" s="7" t="str">
        <f>IF(AND(Table15[[#This Row],[CSAT Score]]&lt;=3,Table15[[#This Row],[Revenue]]&gt;=20000),"High-Risk","Stable")</f>
        <v>Stable</v>
      </c>
      <c r="R914" s="8" t="str" cm="1">
        <f t="array" ref="R914">_xlfn.IFS(Table15[[#This Row],[Revenue]]&gt;=35000,"Platinum",Table15[[#This Row],[Revenue]]&gt;=15000,"Gold",TRUE,"Standard")</f>
        <v>Standard</v>
      </c>
      <c r="S914" s="8" t="str">
        <f>IF(OR(Table15[[#This Row],[Product]]="Wealth Management",Table15[[#This Row],[Revenue]]&gt;=40000),"Yes","No")</f>
        <v>No</v>
      </c>
    </row>
    <row r="915" spans="1:19" x14ac:dyDescent="0.3">
      <c r="A915" s="5" t="s">
        <v>973</v>
      </c>
      <c r="B915" s="6">
        <v>45872</v>
      </c>
      <c r="C915" s="7" t="s">
        <v>55</v>
      </c>
      <c r="D915" s="7" t="s">
        <v>63</v>
      </c>
      <c r="E915" s="7" t="s">
        <v>39</v>
      </c>
      <c r="F915" s="7" t="s">
        <v>40</v>
      </c>
      <c r="G915" s="7" t="s">
        <v>65</v>
      </c>
      <c r="H915" s="7" t="s">
        <v>31</v>
      </c>
      <c r="I915" s="7">
        <v>34</v>
      </c>
      <c r="J915" s="7">
        <v>100</v>
      </c>
      <c r="K915" s="20">
        <v>15468.59</v>
      </c>
      <c r="L915" s="20">
        <v>410.52</v>
      </c>
      <c r="M915" s="7">
        <v>243.33</v>
      </c>
      <c r="N915" s="20">
        <f>Table15[[#This Row],[Processing Fee]]-Table15[[#This Row],[Discount Applied]]</f>
        <v>167.18999999999997</v>
      </c>
      <c r="O915" s="7" t="str">
        <f>IF(Table15[[#This Row],[Revenue]]&gt;35000,"Achieved","Not Achieved")</f>
        <v>Not Achieved</v>
      </c>
      <c r="P915" s="8">
        <v>4</v>
      </c>
      <c r="Q915" s="7" t="str">
        <f>IF(AND(Table15[[#This Row],[CSAT Score]]&lt;=3,Table15[[#This Row],[Revenue]]&gt;=20000),"High-Risk","Stable")</f>
        <v>Stable</v>
      </c>
      <c r="R915" s="8" t="str" cm="1">
        <f t="array" ref="R915">_xlfn.IFS(Table15[[#This Row],[Revenue]]&gt;=35000,"Platinum",Table15[[#This Row],[Revenue]]&gt;=15000,"Gold",TRUE,"Standard")</f>
        <v>Gold</v>
      </c>
      <c r="S915" s="8" t="str">
        <f>IF(OR(Table15[[#This Row],[Product]]="Wealth Management",Table15[[#This Row],[Revenue]]&gt;=40000),"Yes","No")</f>
        <v>No</v>
      </c>
    </row>
    <row r="916" spans="1:19" x14ac:dyDescent="0.3">
      <c r="A916" s="5" t="s">
        <v>974</v>
      </c>
      <c r="B916" s="6">
        <v>46235</v>
      </c>
      <c r="C916" s="7" t="s">
        <v>26</v>
      </c>
      <c r="D916" s="7" t="s">
        <v>48</v>
      </c>
      <c r="E916" s="7" t="s">
        <v>21</v>
      </c>
      <c r="F916" s="7" t="s">
        <v>69</v>
      </c>
      <c r="G916" s="7" t="s">
        <v>56</v>
      </c>
      <c r="H916" s="7" t="s">
        <v>53</v>
      </c>
      <c r="I916" s="7">
        <v>48</v>
      </c>
      <c r="J916" s="7">
        <v>16</v>
      </c>
      <c r="K916" s="20">
        <v>3014.73</v>
      </c>
      <c r="L916" s="20">
        <v>219.73</v>
      </c>
      <c r="M916" s="7">
        <v>17.52</v>
      </c>
      <c r="N916" s="20">
        <f>Table15[[#This Row],[Processing Fee]]-Table15[[#This Row],[Discount Applied]]</f>
        <v>202.20999999999998</v>
      </c>
      <c r="O916" s="7" t="str">
        <f>IF(Table15[[#This Row],[Revenue]]&gt;35000,"Achieved","Not Achieved")</f>
        <v>Not Achieved</v>
      </c>
      <c r="P916" s="8">
        <v>3</v>
      </c>
      <c r="Q916" s="7" t="str">
        <f>IF(AND(Table15[[#This Row],[CSAT Score]]&lt;=3,Table15[[#This Row],[Revenue]]&gt;=20000),"High-Risk","Stable")</f>
        <v>Stable</v>
      </c>
      <c r="R916" s="8" t="str" cm="1">
        <f t="array" ref="R916">_xlfn.IFS(Table15[[#This Row],[Revenue]]&gt;=35000,"Platinum",Table15[[#This Row],[Revenue]]&gt;=15000,"Gold",TRUE,"Standard")</f>
        <v>Standard</v>
      </c>
      <c r="S916" s="8" t="str">
        <f>IF(OR(Table15[[#This Row],[Product]]="Wealth Management",Table15[[#This Row],[Revenue]]&gt;=40000),"Yes","No")</f>
        <v>No</v>
      </c>
    </row>
    <row r="917" spans="1:19" x14ac:dyDescent="0.3">
      <c r="A917" s="5" t="s">
        <v>975</v>
      </c>
      <c r="B917" s="6">
        <v>46129</v>
      </c>
      <c r="C917" s="7" t="s">
        <v>75</v>
      </c>
      <c r="D917" s="7" t="s">
        <v>83</v>
      </c>
      <c r="E917" s="7" t="s">
        <v>21</v>
      </c>
      <c r="F917" s="7" t="s">
        <v>40</v>
      </c>
      <c r="G917" s="7" t="s">
        <v>65</v>
      </c>
      <c r="H917" s="7" t="s">
        <v>31</v>
      </c>
      <c r="I917" s="7">
        <v>38</v>
      </c>
      <c r="J917" s="7">
        <v>24</v>
      </c>
      <c r="K917" s="20">
        <v>23680.880000000001</v>
      </c>
      <c r="L917" s="20">
        <v>456.5</v>
      </c>
      <c r="M917" s="7">
        <v>241.71</v>
      </c>
      <c r="N917" s="20">
        <f>Table15[[#This Row],[Processing Fee]]-Table15[[#This Row],[Discount Applied]]</f>
        <v>214.79</v>
      </c>
      <c r="O917" s="7" t="str">
        <f>IF(Table15[[#This Row],[Revenue]]&gt;35000,"Achieved","Not Achieved")</f>
        <v>Not Achieved</v>
      </c>
      <c r="P917" s="8">
        <v>3</v>
      </c>
      <c r="Q917" s="7" t="str">
        <f>IF(AND(Table15[[#This Row],[CSAT Score]]&lt;=3,Table15[[#This Row],[Revenue]]&gt;=20000),"High-Risk","Stable")</f>
        <v>High-Risk</v>
      </c>
      <c r="R917" s="8" t="str" cm="1">
        <f t="array" ref="R917">_xlfn.IFS(Table15[[#This Row],[Revenue]]&gt;=35000,"Platinum",Table15[[#This Row],[Revenue]]&gt;=15000,"Gold",TRUE,"Standard")</f>
        <v>Gold</v>
      </c>
      <c r="S917" s="8" t="str">
        <f>IF(OR(Table15[[#This Row],[Product]]="Wealth Management",Table15[[#This Row],[Revenue]]&gt;=40000),"Yes","No")</f>
        <v>No</v>
      </c>
    </row>
    <row r="918" spans="1:19" x14ac:dyDescent="0.3">
      <c r="A918" s="5" t="s">
        <v>976</v>
      </c>
      <c r="B918" s="6">
        <v>45886</v>
      </c>
      <c r="C918" s="7" t="s">
        <v>55</v>
      </c>
      <c r="D918" s="7" t="s">
        <v>34</v>
      </c>
      <c r="E918" s="7" t="s">
        <v>46</v>
      </c>
      <c r="F918" s="7" t="s">
        <v>40</v>
      </c>
      <c r="G918" s="7" t="s">
        <v>56</v>
      </c>
      <c r="H918" s="7" t="s">
        <v>57</v>
      </c>
      <c r="I918" s="7">
        <v>48</v>
      </c>
      <c r="J918" s="7">
        <v>61</v>
      </c>
      <c r="K918" s="20">
        <v>42729.84</v>
      </c>
      <c r="L918" s="20">
        <v>81.36</v>
      </c>
      <c r="M918" s="7">
        <v>133.84</v>
      </c>
      <c r="N918" s="20">
        <f>Table15[[#This Row],[Processing Fee]]-Table15[[#This Row],[Discount Applied]]</f>
        <v>-52.480000000000004</v>
      </c>
      <c r="O918" s="7" t="str">
        <f>IF(Table15[[#This Row],[Revenue]]&gt;35000,"Achieved","Not Achieved")</f>
        <v>Achieved</v>
      </c>
      <c r="P918" s="8">
        <v>4</v>
      </c>
      <c r="Q918" s="7" t="str">
        <f>IF(AND(Table15[[#This Row],[CSAT Score]]&lt;=3,Table15[[#This Row],[Revenue]]&gt;=20000),"High-Risk","Stable")</f>
        <v>Stable</v>
      </c>
      <c r="R918" s="8" t="str" cm="1">
        <f t="array" ref="R918">_xlfn.IFS(Table15[[#This Row],[Revenue]]&gt;=35000,"Platinum",Table15[[#This Row],[Revenue]]&gt;=15000,"Gold",TRUE,"Standard")</f>
        <v>Platinum</v>
      </c>
      <c r="S918" s="8" t="str">
        <f>IF(OR(Table15[[#This Row],[Product]]="Wealth Management",Table15[[#This Row],[Revenue]]&gt;=40000),"Yes","No")</f>
        <v>Yes</v>
      </c>
    </row>
    <row r="919" spans="1:19" x14ac:dyDescent="0.3">
      <c r="A919" s="5" t="s">
        <v>977</v>
      </c>
      <c r="B919" s="6">
        <v>45871</v>
      </c>
      <c r="C919" s="7" t="s">
        <v>26</v>
      </c>
      <c r="D919" s="7" t="s">
        <v>61</v>
      </c>
      <c r="E919" s="7" t="s">
        <v>39</v>
      </c>
      <c r="F919" s="7" t="s">
        <v>29</v>
      </c>
      <c r="G919" s="7" t="s">
        <v>56</v>
      </c>
      <c r="H919" s="7" t="s">
        <v>24</v>
      </c>
      <c r="I919" s="7">
        <v>71</v>
      </c>
      <c r="J919" s="7">
        <v>54</v>
      </c>
      <c r="K919" s="20">
        <v>46712.23</v>
      </c>
      <c r="L919" s="20">
        <v>76.2</v>
      </c>
      <c r="M919" s="7">
        <v>146.49</v>
      </c>
      <c r="N919" s="20">
        <f>Table15[[#This Row],[Processing Fee]]-Table15[[#This Row],[Discount Applied]]</f>
        <v>-70.290000000000006</v>
      </c>
      <c r="O919" s="7" t="str">
        <f>IF(Table15[[#This Row],[Revenue]]&gt;35000,"Achieved","Not Achieved")</f>
        <v>Achieved</v>
      </c>
      <c r="P919" s="8">
        <v>5</v>
      </c>
      <c r="Q919" s="7" t="str">
        <f>IF(AND(Table15[[#This Row],[CSAT Score]]&lt;=3,Table15[[#This Row],[Revenue]]&gt;=20000),"High-Risk","Stable")</f>
        <v>Stable</v>
      </c>
      <c r="R919" s="8" t="str" cm="1">
        <f t="array" ref="R919">_xlfn.IFS(Table15[[#This Row],[Revenue]]&gt;=35000,"Platinum",Table15[[#This Row],[Revenue]]&gt;=15000,"Gold",TRUE,"Standard")</f>
        <v>Platinum</v>
      </c>
      <c r="S919" s="8" t="str">
        <f>IF(OR(Table15[[#This Row],[Product]]="Wealth Management",Table15[[#This Row],[Revenue]]&gt;=40000),"Yes","No")</f>
        <v>Yes</v>
      </c>
    </row>
    <row r="920" spans="1:19" x14ac:dyDescent="0.3">
      <c r="A920" s="5" t="s">
        <v>978</v>
      </c>
      <c r="B920" s="6">
        <v>45957</v>
      </c>
      <c r="C920" s="7" t="s">
        <v>26</v>
      </c>
      <c r="D920" s="7" t="s">
        <v>83</v>
      </c>
      <c r="E920" s="7" t="s">
        <v>39</v>
      </c>
      <c r="F920" s="7" t="s">
        <v>29</v>
      </c>
      <c r="G920" s="7" t="s">
        <v>65</v>
      </c>
      <c r="H920" s="7" t="s">
        <v>57</v>
      </c>
      <c r="I920" s="7">
        <v>47</v>
      </c>
      <c r="J920" s="7">
        <v>62</v>
      </c>
      <c r="K920" s="20">
        <v>46663.81</v>
      </c>
      <c r="L920" s="20">
        <v>467.15</v>
      </c>
      <c r="M920" s="7">
        <v>86.44</v>
      </c>
      <c r="N920" s="20">
        <f>Table15[[#This Row],[Processing Fee]]-Table15[[#This Row],[Discount Applied]]</f>
        <v>380.71</v>
      </c>
      <c r="O920" s="7" t="str">
        <f>IF(Table15[[#This Row],[Revenue]]&gt;35000,"Achieved","Not Achieved")</f>
        <v>Achieved</v>
      </c>
      <c r="P920" s="8">
        <v>3</v>
      </c>
      <c r="Q920" s="7" t="str">
        <f>IF(AND(Table15[[#This Row],[CSAT Score]]&lt;=3,Table15[[#This Row],[Revenue]]&gt;=20000),"High-Risk","Stable")</f>
        <v>High-Risk</v>
      </c>
      <c r="R920" s="8" t="str" cm="1">
        <f t="array" ref="R920">_xlfn.IFS(Table15[[#This Row],[Revenue]]&gt;=35000,"Platinum",Table15[[#This Row],[Revenue]]&gt;=15000,"Gold",TRUE,"Standard")</f>
        <v>Platinum</v>
      </c>
      <c r="S920" s="8" t="str">
        <f>IF(OR(Table15[[#This Row],[Product]]="Wealth Management",Table15[[#This Row],[Revenue]]&gt;=40000),"Yes","No")</f>
        <v>Yes</v>
      </c>
    </row>
    <row r="921" spans="1:19" x14ac:dyDescent="0.3">
      <c r="A921" s="5" t="s">
        <v>979</v>
      </c>
      <c r="B921" s="6">
        <v>46005</v>
      </c>
      <c r="C921" s="7" t="s">
        <v>44</v>
      </c>
      <c r="D921" s="7" t="s">
        <v>50</v>
      </c>
      <c r="E921" s="7" t="s">
        <v>39</v>
      </c>
      <c r="F921" s="7" t="s">
        <v>69</v>
      </c>
      <c r="G921" s="7" t="s">
        <v>30</v>
      </c>
      <c r="H921" s="7" t="s">
        <v>57</v>
      </c>
      <c r="I921" s="7">
        <v>52</v>
      </c>
      <c r="J921" s="7">
        <v>1</v>
      </c>
      <c r="K921" s="20">
        <v>6698.89</v>
      </c>
      <c r="L921" s="20">
        <v>341.8</v>
      </c>
      <c r="M921" s="7">
        <v>135.94999999999999</v>
      </c>
      <c r="N921" s="20">
        <f>Table15[[#This Row],[Processing Fee]]-Table15[[#This Row],[Discount Applied]]</f>
        <v>205.85000000000002</v>
      </c>
      <c r="O921" s="7" t="str">
        <f>IF(Table15[[#This Row],[Revenue]]&gt;35000,"Achieved","Not Achieved")</f>
        <v>Not Achieved</v>
      </c>
      <c r="P921" s="8">
        <v>2</v>
      </c>
      <c r="Q921" s="7" t="str">
        <f>IF(AND(Table15[[#This Row],[CSAT Score]]&lt;=3,Table15[[#This Row],[Revenue]]&gt;=20000),"High-Risk","Stable")</f>
        <v>Stable</v>
      </c>
      <c r="R921" s="8" t="str" cm="1">
        <f t="array" ref="R921">_xlfn.IFS(Table15[[#This Row],[Revenue]]&gt;=35000,"Platinum",Table15[[#This Row],[Revenue]]&gt;=15000,"Gold",TRUE,"Standard")</f>
        <v>Standard</v>
      </c>
      <c r="S921" s="8" t="str">
        <f>IF(OR(Table15[[#This Row],[Product]]="Wealth Management",Table15[[#This Row],[Revenue]]&gt;=40000),"Yes","No")</f>
        <v>No</v>
      </c>
    </row>
    <row r="922" spans="1:19" x14ac:dyDescent="0.3">
      <c r="A922" s="5" t="s">
        <v>980</v>
      </c>
      <c r="B922" s="6">
        <v>46229</v>
      </c>
      <c r="C922" s="7" t="s">
        <v>33</v>
      </c>
      <c r="D922" s="7" t="s">
        <v>83</v>
      </c>
      <c r="E922" s="7" t="s">
        <v>28</v>
      </c>
      <c r="F922" s="7" t="s">
        <v>40</v>
      </c>
      <c r="G922" s="7" t="s">
        <v>65</v>
      </c>
      <c r="H922" s="7" t="s">
        <v>24</v>
      </c>
      <c r="I922" s="7">
        <v>67</v>
      </c>
      <c r="J922" s="7">
        <v>49</v>
      </c>
      <c r="K922" s="20">
        <v>19411.669999999998</v>
      </c>
      <c r="L922" s="20">
        <v>220.82</v>
      </c>
      <c r="M922" s="7">
        <v>121.81</v>
      </c>
      <c r="N922" s="20">
        <f>Table15[[#This Row],[Processing Fee]]-Table15[[#This Row],[Discount Applied]]</f>
        <v>99.009999999999991</v>
      </c>
      <c r="O922" s="7" t="str">
        <f>IF(Table15[[#This Row],[Revenue]]&gt;35000,"Achieved","Not Achieved")</f>
        <v>Not Achieved</v>
      </c>
      <c r="P922" s="8">
        <v>3</v>
      </c>
      <c r="Q922" s="7" t="str">
        <f>IF(AND(Table15[[#This Row],[CSAT Score]]&lt;=3,Table15[[#This Row],[Revenue]]&gt;=20000),"High-Risk","Stable")</f>
        <v>Stable</v>
      </c>
      <c r="R922" s="8" t="str" cm="1">
        <f t="array" ref="R922">_xlfn.IFS(Table15[[#This Row],[Revenue]]&gt;=35000,"Platinum",Table15[[#This Row],[Revenue]]&gt;=15000,"Gold",TRUE,"Standard")</f>
        <v>Gold</v>
      </c>
      <c r="S922" s="8" t="str">
        <f>IF(OR(Table15[[#This Row],[Product]]="Wealth Management",Table15[[#This Row],[Revenue]]&gt;=40000),"Yes","No")</f>
        <v>No</v>
      </c>
    </row>
    <row r="923" spans="1:19" x14ac:dyDescent="0.3">
      <c r="A923" s="5" t="s">
        <v>981</v>
      </c>
      <c r="B923" s="6">
        <v>46087</v>
      </c>
      <c r="C923" s="7" t="s">
        <v>19</v>
      </c>
      <c r="D923" s="7" t="s">
        <v>68</v>
      </c>
      <c r="E923" s="7" t="s">
        <v>21</v>
      </c>
      <c r="F923" s="7" t="s">
        <v>69</v>
      </c>
      <c r="G923" s="7" t="s">
        <v>65</v>
      </c>
      <c r="H923" s="7" t="s">
        <v>53</v>
      </c>
      <c r="I923" s="7">
        <v>29</v>
      </c>
      <c r="J923" s="7">
        <v>25</v>
      </c>
      <c r="K923" s="20">
        <v>1897.32</v>
      </c>
      <c r="L923" s="20">
        <v>389.78</v>
      </c>
      <c r="M923" s="7">
        <v>153.80000000000001</v>
      </c>
      <c r="N923" s="20">
        <f>Table15[[#This Row],[Processing Fee]]-Table15[[#This Row],[Discount Applied]]</f>
        <v>235.97999999999996</v>
      </c>
      <c r="O923" s="7" t="str">
        <f>IF(Table15[[#This Row],[Revenue]]&gt;35000,"Achieved","Not Achieved")</f>
        <v>Not Achieved</v>
      </c>
      <c r="P923" s="8">
        <v>5</v>
      </c>
      <c r="Q923" s="7" t="str">
        <f>IF(AND(Table15[[#This Row],[CSAT Score]]&lt;=3,Table15[[#This Row],[Revenue]]&gt;=20000),"High-Risk","Stable")</f>
        <v>Stable</v>
      </c>
      <c r="R923" s="8" t="str" cm="1">
        <f t="array" ref="R923">_xlfn.IFS(Table15[[#This Row],[Revenue]]&gt;=35000,"Platinum",Table15[[#This Row],[Revenue]]&gt;=15000,"Gold",TRUE,"Standard")</f>
        <v>Standard</v>
      </c>
      <c r="S923" s="8" t="str">
        <f>IF(OR(Table15[[#This Row],[Product]]="Wealth Management",Table15[[#This Row],[Revenue]]&gt;=40000),"Yes","No")</f>
        <v>No</v>
      </c>
    </row>
    <row r="924" spans="1:19" x14ac:dyDescent="0.3">
      <c r="A924" s="5" t="s">
        <v>982</v>
      </c>
      <c r="B924" s="6">
        <v>46224</v>
      </c>
      <c r="C924" s="7" t="s">
        <v>91</v>
      </c>
      <c r="D924" s="7" t="s">
        <v>38</v>
      </c>
      <c r="E924" s="7" t="s">
        <v>39</v>
      </c>
      <c r="F924" s="7" t="s">
        <v>35</v>
      </c>
      <c r="G924" s="7" t="s">
        <v>65</v>
      </c>
      <c r="H924" s="7" t="s">
        <v>24</v>
      </c>
      <c r="I924" s="7">
        <v>60</v>
      </c>
      <c r="J924" s="7">
        <v>10</v>
      </c>
      <c r="K924" s="20">
        <v>42830.68</v>
      </c>
      <c r="L924" s="20">
        <v>352.55</v>
      </c>
      <c r="M924" s="7">
        <v>89.35</v>
      </c>
      <c r="N924" s="20">
        <f>Table15[[#This Row],[Processing Fee]]-Table15[[#This Row],[Discount Applied]]</f>
        <v>263.20000000000005</v>
      </c>
      <c r="O924" s="7" t="str">
        <f>IF(Table15[[#This Row],[Revenue]]&gt;35000,"Achieved","Not Achieved")</f>
        <v>Achieved</v>
      </c>
      <c r="P924" s="8">
        <v>1</v>
      </c>
      <c r="Q924" s="7" t="str">
        <f>IF(AND(Table15[[#This Row],[CSAT Score]]&lt;=3,Table15[[#This Row],[Revenue]]&gt;=20000),"High-Risk","Stable")</f>
        <v>High-Risk</v>
      </c>
      <c r="R924" s="8" t="str" cm="1">
        <f t="array" ref="R924">_xlfn.IFS(Table15[[#This Row],[Revenue]]&gt;=35000,"Platinum",Table15[[#This Row],[Revenue]]&gt;=15000,"Gold",TRUE,"Standard")</f>
        <v>Platinum</v>
      </c>
      <c r="S924" s="8" t="str">
        <f>IF(OR(Table15[[#This Row],[Product]]="Wealth Management",Table15[[#This Row],[Revenue]]&gt;=40000),"Yes","No")</f>
        <v>Yes</v>
      </c>
    </row>
    <row r="925" spans="1:19" x14ac:dyDescent="0.3">
      <c r="A925" s="5" t="s">
        <v>983</v>
      </c>
      <c r="B925" s="6">
        <v>46164</v>
      </c>
      <c r="C925" s="7" t="s">
        <v>19</v>
      </c>
      <c r="D925" s="7" t="s">
        <v>77</v>
      </c>
      <c r="E925" s="7" t="s">
        <v>39</v>
      </c>
      <c r="F925" s="7" t="s">
        <v>69</v>
      </c>
      <c r="G925" s="7" t="s">
        <v>30</v>
      </c>
      <c r="H925" s="7" t="s">
        <v>57</v>
      </c>
      <c r="I925" s="7">
        <v>52</v>
      </c>
      <c r="J925" s="7">
        <v>118</v>
      </c>
      <c r="K925" s="20">
        <v>18258.41</v>
      </c>
      <c r="L925" s="20">
        <v>289.04000000000002</v>
      </c>
      <c r="M925" s="7">
        <v>94.57</v>
      </c>
      <c r="N925" s="20">
        <f>Table15[[#This Row],[Processing Fee]]-Table15[[#This Row],[Discount Applied]]</f>
        <v>194.47000000000003</v>
      </c>
      <c r="O925" s="7" t="str">
        <f>IF(Table15[[#This Row],[Revenue]]&gt;35000,"Achieved","Not Achieved")</f>
        <v>Not Achieved</v>
      </c>
      <c r="P925" s="8">
        <v>3</v>
      </c>
      <c r="Q925" s="7" t="str">
        <f>IF(AND(Table15[[#This Row],[CSAT Score]]&lt;=3,Table15[[#This Row],[Revenue]]&gt;=20000),"High-Risk","Stable")</f>
        <v>Stable</v>
      </c>
      <c r="R925" s="8" t="str" cm="1">
        <f t="array" ref="R925">_xlfn.IFS(Table15[[#This Row],[Revenue]]&gt;=35000,"Platinum",Table15[[#This Row],[Revenue]]&gt;=15000,"Gold",TRUE,"Standard")</f>
        <v>Gold</v>
      </c>
      <c r="S925" s="8" t="str">
        <f>IF(OR(Table15[[#This Row],[Product]]="Wealth Management",Table15[[#This Row],[Revenue]]&gt;=40000),"Yes","No")</f>
        <v>No</v>
      </c>
    </row>
    <row r="926" spans="1:19" x14ac:dyDescent="0.3">
      <c r="A926" s="5" t="s">
        <v>984</v>
      </c>
      <c r="B926" s="6">
        <v>46053</v>
      </c>
      <c r="C926" s="7" t="s">
        <v>91</v>
      </c>
      <c r="D926" s="7" t="s">
        <v>68</v>
      </c>
      <c r="E926" s="7" t="s">
        <v>28</v>
      </c>
      <c r="F926" s="7" t="s">
        <v>22</v>
      </c>
      <c r="G926" s="7" t="s">
        <v>23</v>
      </c>
      <c r="H926" s="7" t="s">
        <v>57</v>
      </c>
      <c r="I926" s="7">
        <v>40</v>
      </c>
      <c r="J926" s="7">
        <v>80</v>
      </c>
      <c r="K926" s="20">
        <v>31740.29</v>
      </c>
      <c r="L926" s="20">
        <v>94.49</v>
      </c>
      <c r="M926" s="7">
        <v>128.72</v>
      </c>
      <c r="N926" s="20">
        <f>Table15[[#This Row],[Processing Fee]]-Table15[[#This Row],[Discount Applied]]</f>
        <v>-34.230000000000004</v>
      </c>
      <c r="O926" s="7" t="str">
        <f>IF(Table15[[#This Row],[Revenue]]&gt;35000,"Achieved","Not Achieved")</f>
        <v>Not Achieved</v>
      </c>
      <c r="P926" s="8">
        <v>4</v>
      </c>
      <c r="Q926" s="7" t="str">
        <f>IF(AND(Table15[[#This Row],[CSAT Score]]&lt;=3,Table15[[#This Row],[Revenue]]&gt;=20000),"High-Risk","Stable")</f>
        <v>Stable</v>
      </c>
      <c r="R926" s="8" t="str" cm="1">
        <f t="array" ref="R926">_xlfn.IFS(Table15[[#This Row],[Revenue]]&gt;=35000,"Platinum",Table15[[#This Row],[Revenue]]&gt;=15000,"Gold",TRUE,"Standard")</f>
        <v>Gold</v>
      </c>
      <c r="S926" s="8" t="str">
        <f>IF(OR(Table15[[#This Row],[Product]]="Wealth Management",Table15[[#This Row],[Revenue]]&gt;=40000),"Yes","No")</f>
        <v>Yes</v>
      </c>
    </row>
    <row r="927" spans="1:19" x14ac:dyDescent="0.3">
      <c r="A927" s="5" t="s">
        <v>985</v>
      </c>
      <c r="B927" s="6">
        <v>46017</v>
      </c>
      <c r="C927" s="7" t="s">
        <v>42</v>
      </c>
      <c r="D927" s="7" t="s">
        <v>45</v>
      </c>
      <c r="E927" s="7" t="s">
        <v>28</v>
      </c>
      <c r="F927" s="7" t="s">
        <v>69</v>
      </c>
      <c r="G927" s="7" t="s">
        <v>23</v>
      </c>
      <c r="H927" s="7" t="s">
        <v>53</v>
      </c>
      <c r="I927" s="7">
        <v>48</v>
      </c>
      <c r="J927" s="7">
        <v>16</v>
      </c>
      <c r="K927" s="20">
        <v>35887.47</v>
      </c>
      <c r="L927" s="20">
        <v>415.48</v>
      </c>
      <c r="M927" s="7">
        <v>21.62</v>
      </c>
      <c r="N927" s="20">
        <f>Table15[[#This Row],[Processing Fee]]-Table15[[#This Row],[Discount Applied]]</f>
        <v>393.86</v>
      </c>
      <c r="O927" s="7" t="str">
        <f>IF(Table15[[#This Row],[Revenue]]&gt;35000,"Achieved","Not Achieved")</f>
        <v>Achieved</v>
      </c>
      <c r="P927" s="8">
        <v>4</v>
      </c>
      <c r="Q927" s="7" t="str">
        <f>IF(AND(Table15[[#This Row],[CSAT Score]]&lt;=3,Table15[[#This Row],[Revenue]]&gt;=20000),"High-Risk","Stable")</f>
        <v>Stable</v>
      </c>
      <c r="R927" s="8" t="str" cm="1">
        <f t="array" ref="R927">_xlfn.IFS(Table15[[#This Row],[Revenue]]&gt;=35000,"Platinum",Table15[[#This Row],[Revenue]]&gt;=15000,"Gold",TRUE,"Standard")</f>
        <v>Platinum</v>
      </c>
      <c r="S927" s="8" t="str">
        <f>IF(OR(Table15[[#This Row],[Product]]="Wealth Management",Table15[[#This Row],[Revenue]]&gt;=40000),"Yes","No")</f>
        <v>No</v>
      </c>
    </row>
    <row r="928" spans="1:19" x14ac:dyDescent="0.3">
      <c r="A928" s="5" t="s">
        <v>986</v>
      </c>
      <c r="B928" s="6">
        <v>46235</v>
      </c>
      <c r="C928" s="7" t="s">
        <v>33</v>
      </c>
      <c r="D928" s="7" t="s">
        <v>38</v>
      </c>
      <c r="E928" s="7" t="s">
        <v>39</v>
      </c>
      <c r="F928" s="7" t="s">
        <v>22</v>
      </c>
      <c r="G928" s="7" t="s">
        <v>56</v>
      </c>
      <c r="H928" s="7" t="s">
        <v>24</v>
      </c>
      <c r="I928" s="7">
        <v>53</v>
      </c>
      <c r="J928" s="7">
        <v>58</v>
      </c>
      <c r="K928" s="20">
        <v>21777.31</v>
      </c>
      <c r="L928" s="20">
        <v>439.71</v>
      </c>
      <c r="M928" s="7">
        <v>87.25</v>
      </c>
      <c r="N928" s="20">
        <f>Table15[[#This Row],[Processing Fee]]-Table15[[#This Row],[Discount Applied]]</f>
        <v>352.46</v>
      </c>
      <c r="O928" s="7" t="str">
        <f>IF(Table15[[#This Row],[Revenue]]&gt;35000,"Achieved","Not Achieved")</f>
        <v>Not Achieved</v>
      </c>
      <c r="P928" s="8">
        <v>4</v>
      </c>
      <c r="Q928" s="7" t="str">
        <f>IF(AND(Table15[[#This Row],[CSAT Score]]&lt;=3,Table15[[#This Row],[Revenue]]&gt;=20000),"High-Risk","Stable")</f>
        <v>Stable</v>
      </c>
      <c r="R928" s="8" t="str" cm="1">
        <f t="array" ref="R928">_xlfn.IFS(Table15[[#This Row],[Revenue]]&gt;=35000,"Platinum",Table15[[#This Row],[Revenue]]&gt;=15000,"Gold",TRUE,"Standard")</f>
        <v>Gold</v>
      </c>
      <c r="S928" s="8" t="str">
        <f>IF(OR(Table15[[#This Row],[Product]]="Wealth Management",Table15[[#This Row],[Revenue]]&gt;=40000),"Yes","No")</f>
        <v>Yes</v>
      </c>
    </row>
    <row r="929" spans="1:19" x14ac:dyDescent="0.3">
      <c r="A929" s="5" t="s">
        <v>987</v>
      </c>
      <c r="B929" s="6">
        <v>45891</v>
      </c>
      <c r="C929" s="7" t="s">
        <v>26</v>
      </c>
      <c r="D929" s="7" t="s">
        <v>38</v>
      </c>
      <c r="E929" s="7" t="s">
        <v>59</v>
      </c>
      <c r="F929" s="7" t="s">
        <v>22</v>
      </c>
      <c r="G929" s="7" t="s">
        <v>56</v>
      </c>
      <c r="H929" s="7" t="s">
        <v>57</v>
      </c>
      <c r="I929" s="7">
        <v>24</v>
      </c>
      <c r="J929" s="7">
        <v>72</v>
      </c>
      <c r="K929" s="20">
        <v>15668.9</v>
      </c>
      <c r="L929" s="20">
        <v>127.48</v>
      </c>
      <c r="M929" s="7">
        <v>194.39</v>
      </c>
      <c r="N929" s="20">
        <f>Table15[[#This Row],[Processing Fee]]-Table15[[#This Row],[Discount Applied]]</f>
        <v>-66.909999999999982</v>
      </c>
      <c r="O929" s="7" t="str">
        <f>IF(Table15[[#This Row],[Revenue]]&gt;35000,"Achieved","Not Achieved")</f>
        <v>Not Achieved</v>
      </c>
      <c r="P929" s="8">
        <v>1</v>
      </c>
      <c r="Q929" s="7" t="str">
        <f>IF(AND(Table15[[#This Row],[CSAT Score]]&lt;=3,Table15[[#This Row],[Revenue]]&gt;=20000),"High-Risk","Stable")</f>
        <v>Stable</v>
      </c>
      <c r="R929" s="8" t="str" cm="1">
        <f t="array" ref="R929">_xlfn.IFS(Table15[[#This Row],[Revenue]]&gt;=35000,"Platinum",Table15[[#This Row],[Revenue]]&gt;=15000,"Gold",TRUE,"Standard")</f>
        <v>Gold</v>
      </c>
      <c r="S929" s="8" t="str">
        <f>IF(OR(Table15[[#This Row],[Product]]="Wealth Management",Table15[[#This Row],[Revenue]]&gt;=40000),"Yes","No")</f>
        <v>Yes</v>
      </c>
    </row>
    <row r="930" spans="1:19" x14ac:dyDescent="0.3">
      <c r="A930" s="5" t="s">
        <v>988</v>
      </c>
      <c r="B930" s="6">
        <v>45915</v>
      </c>
      <c r="C930" s="7" t="s">
        <v>75</v>
      </c>
      <c r="D930" s="7" t="s">
        <v>79</v>
      </c>
      <c r="E930" s="7" t="s">
        <v>39</v>
      </c>
      <c r="F930" s="7" t="s">
        <v>22</v>
      </c>
      <c r="G930" s="7" t="s">
        <v>30</v>
      </c>
      <c r="H930" s="7" t="s">
        <v>31</v>
      </c>
      <c r="I930" s="7">
        <v>66</v>
      </c>
      <c r="J930" s="7">
        <v>29</v>
      </c>
      <c r="K930" s="20">
        <v>48129.54</v>
      </c>
      <c r="L930" s="20">
        <v>432.73</v>
      </c>
      <c r="M930" s="7">
        <v>11.26</v>
      </c>
      <c r="N930" s="20">
        <f>Table15[[#This Row],[Processing Fee]]-Table15[[#This Row],[Discount Applied]]</f>
        <v>421.47</v>
      </c>
      <c r="O930" s="7" t="str">
        <f>IF(Table15[[#This Row],[Revenue]]&gt;35000,"Achieved","Not Achieved")</f>
        <v>Achieved</v>
      </c>
      <c r="P930" s="8">
        <v>5</v>
      </c>
      <c r="Q930" s="7" t="str">
        <f>IF(AND(Table15[[#This Row],[CSAT Score]]&lt;=3,Table15[[#This Row],[Revenue]]&gt;=20000),"High-Risk","Stable")</f>
        <v>Stable</v>
      </c>
      <c r="R930" s="8" t="str" cm="1">
        <f t="array" ref="R930">_xlfn.IFS(Table15[[#This Row],[Revenue]]&gt;=35000,"Platinum",Table15[[#This Row],[Revenue]]&gt;=15000,"Gold",TRUE,"Standard")</f>
        <v>Platinum</v>
      </c>
      <c r="S930" s="8" t="str">
        <f>IF(OR(Table15[[#This Row],[Product]]="Wealth Management",Table15[[#This Row],[Revenue]]&gt;=40000),"Yes","No")</f>
        <v>Yes</v>
      </c>
    </row>
    <row r="931" spans="1:19" x14ac:dyDescent="0.3">
      <c r="A931" s="5" t="s">
        <v>989</v>
      </c>
      <c r="B931" s="6">
        <v>45940</v>
      </c>
      <c r="C931" s="7" t="s">
        <v>91</v>
      </c>
      <c r="D931" s="7" t="s">
        <v>34</v>
      </c>
      <c r="E931" s="7" t="s">
        <v>39</v>
      </c>
      <c r="F931" s="7" t="s">
        <v>35</v>
      </c>
      <c r="G931" s="7" t="s">
        <v>36</v>
      </c>
      <c r="H931" s="7" t="s">
        <v>57</v>
      </c>
      <c r="I931" s="7">
        <v>54</v>
      </c>
      <c r="J931" s="7">
        <v>103</v>
      </c>
      <c r="K931" s="20">
        <v>48242.17</v>
      </c>
      <c r="L931" s="20">
        <v>445.03</v>
      </c>
      <c r="M931" s="7">
        <v>63.2</v>
      </c>
      <c r="N931" s="20">
        <f>Table15[[#This Row],[Processing Fee]]-Table15[[#This Row],[Discount Applied]]</f>
        <v>381.83</v>
      </c>
      <c r="O931" s="7" t="str">
        <f>IF(Table15[[#This Row],[Revenue]]&gt;35000,"Achieved","Not Achieved")</f>
        <v>Achieved</v>
      </c>
      <c r="P931" s="8">
        <v>2</v>
      </c>
      <c r="Q931" s="7" t="str">
        <f>IF(AND(Table15[[#This Row],[CSAT Score]]&lt;=3,Table15[[#This Row],[Revenue]]&gt;=20000),"High-Risk","Stable")</f>
        <v>High-Risk</v>
      </c>
      <c r="R931" s="8" t="str" cm="1">
        <f t="array" ref="R931">_xlfn.IFS(Table15[[#This Row],[Revenue]]&gt;=35000,"Platinum",Table15[[#This Row],[Revenue]]&gt;=15000,"Gold",TRUE,"Standard")</f>
        <v>Platinum</v>
      </c>
      <c r="S931" s="8" t="str">
        <f>IF(OR(Table15[[#This Row],[Product]]="Wealth Management",Table15[[#This Row],[Revenue]]&gt;=40000),"Yes","No")</f>
        <v>Yes</v>
      </c>
    </row>
    <row r="932" spans="1:19" x14ac:dyDescent="0.3">
      <c r="A932" s="5" t="s">
        <v>990</v>
      </c>
      <c r="B932" s="6">
        <v>46138</v>
      </c>
      <c r="C932" s="7" t="s">
        <v>19</v>
      </c>
      <c r="D932" s="7" t="s">
        <v>34</v>
      </c>
      <c r="E932" s="7" t="s">
        <v>28</v>
      </c>
      <c r="F932" s="7" t="s">
        <v>69</v>
      </c>
      <c r="G932" s="7" t="s">
        <v>23</v>
      </c>
      <c r="H932" s="7" t="s">
        <v>57</v>
      </c>
      <c r="I932" s="7">
        <v>68</v>
      </c>
      <c r="J932" s="7">
        <v>92</v>
      </c>
      <c r="K932" s="20">
        <v>14827.1</v>
      </c>
      <c r="L932" s="20">
        <v>297.24</v>
      </c>
      <c r="M932" s="7">
        <v>62.82</v>
      </c>
      <c r="N932" s="20">
        <f>Table15[[#This Row],[Processing Fee]]-Table15[[#This Row],[Discount Applied]]</f>
        <v>234.42000000000002</v>
      </c>
      <c r="O932" s="7" t="str">
        <f>IF(Table15[[#This Row],[Revenue]]&gt;35000,"Achieved","Not Achieved")</f>
        <v>Not Achieved</v>
      </c>
      <c r="P932" s="8">
        <v>5</v>
      </c>
      <c r="Q932" s="7" t="str">
        <f>IF(AND(Table15[[#This Row],[CSAT Score]]&lt;=3,Table15[[#This Row],[Revenue]]&gt;=20000),"High-Risk","Stable")</f>
        <v>Stable</v>
      </c>
      <c r="R932" s="8" t="str" cm="1">
        <f t="array" ref="R932">_xlfn.IFS(Table15[[#This Row],[Revenue]]&gt;=35000,"Platinum",Table15[[#This Row],[Revenue]]&gt;=15000,"Gold",TRUE,"Standard")</f>
        <v>Standard</v>
      </c>
      <c r="S932" s="8" t="str">
        <f>IF(OR(Table15[[#This Row],[Product]]="Wealth Management",Table15[[#This Row],[Revenue]]&gt;=40000),"Yes","No")</f>
        <v>No</v>
      </c>
    </row>
    <row r="933" spans="1:19" x14ac:dyDescent="0.3">
      <c r="A933" s="5" t="s">
        <v>991</v>
      </c>
      <c r="B933" s="6">
        <v>46185</v>
      </c>
      <c r="C933" s="7" t="s">
        <v>26</v>
      </c>
      <c r="D933" s="7" t="s">
        <v>38</v>
      </c>
      <c r="E933" s="7" t="s">
        <v>28</v>
      </c>
      <c r="F933" s="7" t="s">
        <v>69</v>
      </c>
      <c r="G933" s="7" t="s">
        <v>56</v>
      </c>
      <c r="H933" s="7" t="s">
        <v>53</v>
      </c>
      <c r="I933" s="7">
        <v>23</v>
      </c>
      <c r="J933" s="7">
        <v>6</v>
      </c>
      <c r="K933" s="20">
        <v>24241.439999999999</v>
      </c>
      <c r="L933" s="20">
        <v>345.28</v>
      </c>
      <c r="M933" s="7">
        <v>126.69</v>
      </c>
      <c r="N933" s="20">
        <f>Table15[[#This Row],[Processing Fee]]-Table15[[#This Row],[Discount Applied]]</f>
        <v>218.58999999999997</v>
      </c>
      <c r="O933" s="7" t="str">
        <f>IF(Table15[[#This Row],[Revenue]]&gt;35000,"Achieved","Not Achieved")</f>
        <v>Not Achieved</v>
      </c>
      <c r="P933" s="8">
        <v>1</v>
      </c>
      <c r="Q933" s="7" t="str">
        <f>IF(AND(Table15[[#This Row],[CSAT Score]]&lt;=3,Table15[[#This Row],[Revenue]]&gt;=20000),"High-Risk","Stable")</f>
        <v>High-Risk</v>
      </c>
      <c r="R933" s="8" t="str" cm="1">
        <f t="array" ref="R933">_xlfn.IFS(Table15[[#This Row],[Revenue]]&gt;=35000,"Platinum",Table15[[#This Row],[Revenue]]&gt;=15000,"Gold",TRUE,"Standard")</f>
        <v>Gold</v>
      </c>
      <c r="S933" s="8" t="str">
        <f>IF(OR(Table15[[#This Row],[Product]]="Wealth Management",Table15[[#This Row],[Revenue]]&gt;=40000),"Yes","No")</f>
        <v>No</v>
      </c>
    </row>
    <row r="934" spans="1:19" x14ac:dyDescent="0.3">
      <c r="A934" s="5" t="s">
        <v>992</v>
      </c>
      <c r="B934" s="6">
        <v>45914</v>
      </c>
      <c r="C934" s="7" t="s">
        <v>91</v>
      </c>
      <c r="D934" s="7" t="s">
        <v>50</v>
      </c>
      <c r="E934" s="7" t="s">
        <v>39</v>
      </c>
      <c r="F934" s="7" t="s">
        <v>35</v>
      </c>
      <c r="G934" s="7" t="s">
        <v>23</v>
      </c>
      <c r="H934" s="7" t="s">
        <v>31</v>
      </c>
      <c r="I934" s="7">
        <v>46</v>
      </c>
      <c r="J934" s="7">
        <v>16</v>
      </c>
      <c r="K934" s="20">
        <v>48655.79</v>
      </c>
      <c r="L934" s="20">
        <v>222.01</v>
      </c>
      <c r="M934" s="7">
        <v>31.74</v>
      </c>
      <c r="N934" s="20">
        <f>Table15[[#This Row],[Processing Fee]]-Table15[[#This Row],[Discount Applied]]</f>
        <v>190.26999999999998</v>
      </c>
      <c r="O934" s="7" t="str">
        <f>IF(Table15[[#This Row],[Revenue]]&gt;35000,"Achieved","Not Achieved")</f>
        <v>Achieved</v>
      </c>
      <c r="P934" s="8">
        <v>4</v>
      </c>
      <c r="Q934" s="7" t="str">
        <f>IF(AND(Table15[[#This Row],[CSAT Score]]&lt;=3,Table15[[#This Row],[Revenue]]&gt;=20000),"High-Risk","Stable")</f>
        <v>Stable</v>
      </c>
      <c r="R934" s="8" t="str" cm="1">
        <f t="array" ref="R934">_xlfn.IFS(Table15[[#This Row],[Revenue]]&gt;=35000,"Platinum",Table15[[#This Row],[Revenue]]&gt;=15000,"Gold",TRUE,"Standard")</f>
        <v>Platinum</v>
      </c>
      <c r="S934" s="8" t="str">
        <f>IF(OR(Table15[[#This Row],[Product]]="Wealth Management",Table15[[#This Row],[Revenue]]&gt;=40000),"Yes","No")</f>
        <v>Yes</v>
      </c>
    </row>
    <row r="935" spans="1:19" x14ac:dyDescent="0.3">
      <c r="A935" s="5" t="s">
        <v>993</v>
      </c>
      <c r="B935" s="6">
        <v>45992</v>
      </c>
      <c r="C935" s="7" t="s">
        <v>91</v>
      </c>
      <c r="D935" s="7" t="s">
        <v>83</v>
      </c>
      <c r="E935" s="7" t="s">
        <v>39</v>
      </c>
      <c r="F935" s="7" t="s">
        <v>40</v>
      </c>
      <c r="G935" s="7" t="s">
        <v>30</v>
      </c>
      <c r="H935" s="7" t="s">
        <v>57</v>
      </c>
      <c r="I935" s="7">
        <v>28</v>
      </c>
      <c r="J935" s="7">
        <v>20</v>
      </c>
      <c r="K935" s="20">
        <v>740.99</v>
      </c>
      <c r="L935" s="20">
        <v>176.81</v>
      </c>
      <c r="M935" s="7">
        <v>125.71</v>
      </c>
      <c r="N935" s="20">
        <f>Table15[[#This Row],[Processing Fee]]-Table15[[#This Row],[Discount Applied]]</f>
        <v>51.100000000000009</v>
      </c>
      <c r="O935" s="7" t="str">
        <f>IF(Table15[[#This Row],[Revenue]]&gt;35000,"Achieved","Not Achieved")</f>
        <v>Not Achieved</v>
      </c>
      <c r="P935" s="8">
        <v>5</v>
      </c>
      <c r="Q935" s="7" t="str">
        <f>IF(AND(Table15[[#This Row],[CSAT Score]]&lt;=3,Table15[[#This Row],[Revenue]]&gt;=20000),"High-Risk","Stable")</f>
        <v>Stable</v>
      </c>
      <c r="R935" s="8" t="str" cm="1">
        <f t="array" ref="R935">_xlfn.IFS(Table15[[#This Row],[Revenue]]&gt;=35000,"Platinum",Table15[[#This Row],[Revenue]]&gt;=15000,"Gold",TRUE,"Standard")</f>
        <v>Standard</v>
      </c>
      <c r="S935" s="8" t="str">
        <f>IF(OR(Table15[[#This Row],[Product]]="Wealth Management",Table15[[#This Row],[Revenue]]&gt;=40000),"Yes","No")</f>
        <v>No</v>
      </c>
    </row>
    <row r="936" spans="1:19" x14ac:dyDescent="0.3">
      <c r="A936" s="5" t="s">
        <v>994</v>
      </c>
      <c r="B936" s="6">
        <v>46002</v>
      </c>
      <c r="C936" s="7" t="s">
        <v>44</v>
      </c>
      <c r="D936" s="7" t="s">
        <v>79</v>
      </c>
      <c r="E936" s="7" t="s">
        <v>39</v>
      </c>
      <c r="F936" s="7" t="s">
        <v>29</v>
      </c>
      <c r="G936" s="7" t="s">
        <v>30</v>
      </c>
      <c r="H936" s="7" t="s">
        <v>57</v>
      </c>
      <c r="I936" s="7">
        <v>26</v>
      </c>
      <c r="J936" s="7">
        <v>80</v>
      </c>
      <c r="K936" s="20">
        <v>20927.57</v>
      </c>
      <c r="L936" s="20">
        <v>374.89</v>
      </c>
      <c r="M936" s="7">
        <v>19.010000000000002</v>
      </c>
      <c r="N936" s="20">
        <f>Table15[[#This Row],[Processing Fee]]-Table15[[#This Row],[Discount Applied]]</f>
        <v>355.88</v>
      </c>
      <c r="O936" s="7" t="str">
        <f>IF(Table15[[#This Row],[Revenue]]&gt;35000,"Achieved","Not Achieved")</f>
        <v>Not Achieved</v>
      </c>
      <c r="P936" s="8">
        <v>2</v>
      </c>
      <c r="Q936" s="7" t="str">
        <f>IF(AND(Table15[[#This Row],[CSAT Score]]&lt;=3,Table15[[#This Row],[Revenue]]&gt;=20000),"High-Risk","Stable")</f>
        <v>High-Risk</v>
      </c>
      <c r="R936" s="8" t="str" cm="1">
        <f t="array" ref="R936">_xlfn.IFS(Table15[[#This Row],[Revenue]]&gt;=35000,"Platinum",Table15[[#This Row],[Revenue]]&gt;=15000,"Gold",TRUE,"Standard")</f>
        <v>Gold</v>
      </c>
      <c r="S936" s="8" t="str">
        <f>IF(OR(Table15[[#This Row],[Product]]="Wealth Management",Table15[[#This Row],[Revenue]]&gt;=40000),"Yes","No")</f>
        <v>No</v>
      </c>
    </row>
    <row r="937" spans="1:19" x14ac:dyDescent="0.3">
      <c r="A937" s="5" t="s">
        <v>995</v>
      </c>
      <c r="B937" s="6">
        <v>46065</v>
      </c>
      <c r="C937" s="7" t="s">
        <v>91</v>
      </c>
      <c r="D937" s="7" t="s">
        <v>77</v>
      </c>
      <c r="E937" s="7" t="s">
        <v>28</v>
      </c>
      <c r="F937" s="7" t="s">
        <v>69</v>
      </c>
      <c r="G937" s="7" t="s">
        <v>36</v>
      </c>
      <c r="H937" s="7" t="s">
        <v>31</v>
      </c>
      <c r="I937" s="7">
        <v>36</v>
      </c>
      <c r="J937" s="7">
        <v>71</v>
      </c>
      <c r="K937" s="20">
        <v>5472.65</v>
      </c>
      <c r="L937" s="20">
        <v>437.84</v>
      </c>
      <c r="M937" s="7">
        <v>28.48</v>
      </c>
      <c r="N937" s="20">
        <f>Table15[[#This Row],[Processing Fee]]-Table15[[#This Row],[Discount Applied]]</f>
        <v>409.35999999999996</v>
      </c>
      <c r="O937" s="7" t="str">
        <f>IF(Table15[[#This Row],[Revenue]]&gt;35000,"Achieved","Not Achieved")</f>
        <v>Not Achieved</v>
      </c>
      <c r="P937" s="8">
        <v>4</v>
      </c>
      <c r="Q937" s="7" t="str">
        <f>IF(AND(Table15[[#This Row],[CSAT Score]]&lt;=3,Table15[[#This Row],[Revenue]]&gt;=20000),"High-Risk","Stable")</f>
        <v>Stable</v>
      </c>
      <c r="R937" s="8" t="str" cm="1">
        <f t="array" ref="R937">_xlfn.IFS(Table15[[#This Row],[Revenue]]&gt;=35000,"Platinum",Table15[[#This Row],[Revenue]]&gt;=15000,"Gold",TRUE,"Standard")</f>
        <v>Standard</v>
      </c>
      <c r="S937" s="8" t="str">
        <f>IF(OR(Table15[[#This Row],[Product]]="Wealth Management",Table15[[#This Row],[Revenue]]&gt;=40000),"Yes","No")</f>
        <v>No</v>
      </c>
    </row>
    <row r="938" spans="1:19" x14ac:dyDescent="0.3">
      <c r="A938" s="5" t="s">
        <v>996</v>
      </c>
      <c r="B938" s="6">
        <v>46216</v>
      </c>
      <c r="C938" s="7" t="s">
        <v>75</v>
      </c>
      <c r="D938" s="7" t="s">
        <v>38</v>
      </c>
      <c r="E938" s="7" t="s">
        <v>39</v>
      </c>
      <c r="F938" s="7" t="s">
        <v>29</v>
      </c>
      <c r="G938" s="7" t="s">
        <v>36</v>
      </c>
      <c r="H938" s="7" t="s">
        <v>24</v>
      </c>
      <c r="I938" s="7">
        <v>44</v>
      </c>
      <c r="J938" s="7">
        <v>105</v>
      </c>
      <c r="K938" s="20">
        <v>25703.32</v>
      </c>
      <c r="L938" s="20">
        <v>344.33</v>
      </c>
      <c r="M938" s="7">
        <v>145.63999999999999</v>
      </c>
      <c r="N938" s="20">
        <f>Table15[[#This Row],[Processing Fee]]-Table15[[#This Row],[Discount Applied]]</f>
        <v>198.69</v>
      </c>
      <c r="O938" s="7" t="str">
        <f>IF(Table15[[#This Row],[Revenue]]&gt;35000,"Achieved","Not Achieved")</f>
        <v>Not Achieved</v>
      </c>
      <c r="P938" s="8">
        <v>2</v>
      </c>
      <c r="Q938" s="7" t="str">
        <f>IF(AND(Table15[[#This Row],[CSAT Score]]&lt;=3,Table15[[#This Row],[Revenue]]&gt;=20000),"High-Risk","Stable")</f>
        <v>High-Risk</v>
      </c>
      <c r="R938" s="8" t="str" cm="1">
        <f t="array" ref="R938">_xlfn.IFS(Table15[[#This Row],[Revenue]]&gt;=35000,"Platinum",Table15[[#This Row],[Revenue]]&gt;=15000,"Gold",TRUE,"Standard")</f>
        <v>Gold</v>
      </c>
      <c r="S938" s="8" t="str">
        <f>IF(OR(Table15[[#This Row],[Product]]="Wealth Management",Table15[[#This Row],[Revenue]]&gt;=40000),"Yes","No")</f>
        <v>No</v>
      </c>
    </row>
    <row r="939" spans="1:19" x14ac:dyDescent="0.3">
      <c r="A939" s="5" t="s">
        <v>997</v>
      </c>
      <c r="B939" s="6">
        <v>46111</v>
      </c>
      <c r="C939" s="7" t="s">
        <v>33</v>
      </c>
      <c r="D939" s="7" t="s">
        <v>87</v>
      </c>
      <c r="E939" s="7" t="s">
        <v>39</v>
      </c>
      <c r="F939" s="7" t="s">
        <v>35</v>
      </c>
      <c r="G939" s="7" t="s">
        <v>30</v>
      </c>
      <c r="H939" s="7" t="s">
        <v>24</v>
      </c>
      <c r="I939" s="7">
        <v>68</v>
      </c>
      <c r="J939" s="7">
        <v>78</v>
      </c>
      <c r="K939" s="20">
        <v>1721.16</v>
      </c>
      <c r="L939" s="20">
        <v>280.22000000000003</v>
      </c>
      <c r="M939" s="7">
        <v>64.83</v>
      </c>
      <c r="N939" s="20">
        <f>Table15[[#This Row],[Processing Fee]]-Table15[[#This Row],[Discount Applied]]</f>
        <v>215.39000000000004</v>
      </c>
      <c r="O939" s="7" t="str">
        <f>IF(Table15[[#This Row],[Revenue]]&gt;35000,"Achieved","Not Achieved")</f>
        <v>Not Achieved</v>
      </c>
      <c r="P939" s="8">
        <v>3</v>
      </c>
      <c r="Q939" s="7" t="str">
        <f>IF(AND(Table15[[#This Row],[CSAT Score]]&lt;=3,Table15[[#This Row],[Revenue]]&gt;=20000),"High-Risk","Stable")</f>
        <v>Stable</v>
      </c>
      <c r="R939" s="8" t="str" cm="1">
        <f t="array" ref="R939">_xlfn.IFS(Table15[[#This Row],[Revenue]]&gt;=35000,"Platinum",Table15[[#This Row],[Revenue]]&gt;=15000,"Gold",TRUE,"Standard")</f>
        <v>Standard</v>
      </c>
      <c r="S939" s="8" t="str">
        <f>IF(OR(Table15[[#This Row],[Product]]="Wealth Management",Table15[[#This Row],[Revenue]]&gt;=40000),"Yes","No")</f>
        <v>No</v>
      </c>
    </row>
    <row r="940" spans="1:19" x14ac:dyDescent="0.3">
      <c r="A940" s="5" t="s">
        <v>998</v>
      </c>
      <c r="B940" s="6">
        <v>45903</v>
      </c>
      <c r="C940" s="7" t="s">
        <v>75</v>
      </c>
      <c r="D940" s="7" t="s">
        <v>63</v>
      </c>
      <c r="E940" s="7" t="s">
        <v>46</v>
      </c>
      <c r="F940" s="7" t="s">
        <v>40</v>
      </c>
      <c r="G940" s="7" t="s">
        <v>56</v>
      </c>
      <c r="H940" s="7" t="s">
        <v>57</v>
      </c>
      <c r="I940" s="7">
        <v>59</v>
      </c>
      <c r="J940" s="7">
        <v>43</v>
      </c>
      <c r="K940" s="20">
        <v>20641.47</v>
      </c>
      <c r="L940" s="20">
        <v>121.52</v>
      </c>
      <c r="M940" s="7">
        <v>195.48</v>
      </c>
      <c r="N940" s="20">
        <f>Table15[[#This Row],[Processing Fee]]-Table15[[#This Row],[Discount Applied]]</f>
        <v>-73.959999999999994</v>
      </c>
      <c r="O940" s="7" t="str">
        <f>IF(Table15[[#This Row],[Revenue]]&gt;35000,"Achieved","Not Achieved")</f>
        <v>Not Achieved</v>
      </c>
      <c r="P940" s="8">
        <v>2</v>
      </c>
      <c r="Q940" s="7" t="str">
        <f>IF(AND(Table15[[#This Row],[CSAT Score]]&lt;=3,Table15[[#This Row],[Revenue]]&gt;=20000),"High-Risk","Stable")</f>
        <v>High-Risk</v>
      </c>
      <c r="R940" s="8" t="str" cm="1">
        <f t="array" ref="R940">_xlfn.IFS(Table15[[#This Row],[Revenue]]&gt;=35000,"Platinum",Table15[[#This Row],[Revenue]]&gt;=15000,"Gold",TRUE,"Standard")</f>
        <v>Gold</v>
      </c>
      <c r="S940" s="8" t="str">
        <f>IF(OR(Table15[[#This Row],[Product]]="Wealth Management",Table15[[#This Row],[Revenue]]&gt;=40000),"Yes","No")</f>
        <v>No</v>
      </c>
    </row>
    <row r="941" spans="1:19" x14ac:dyDescent="0.3">
      <c r="A941" s="5" t="s">
        <v>999</v>
      </c>
      <c r="B941" s="6">
        <v>46212</v>
      </c>
      <c r="C941" s="7" t="s">
        <v>55</v>
      </c>
      <c r="D941" s="7" t="s">
        <v>63</v>
      </c>
      <c r="E941" s="7" t="s">
        <v>59</v>
      </c>
      <c r="F941" s="7" t="s">
        <v>40</v>
      </c>
      <c r="G941" s="7" t="s">
        <v>23</v>
      </c>
      <c r="H941" s="7" t="s">
        <v>57</v>
      </c>
      <c r="I941" s="7">
        <v>50</v>
      </c>
      <c r="J941" s="7">
        <v>26</v>
      </c>
      <c r="K941" s="20">
        <v>11424.6</v>
      </c>
      <c r="L941" s="20">
        <v>74.06</v>
      </c>
      <c r="M941" s="7">
        <v>7.47</v>
      </c>
      <c r="N941" s="20">
        <f>Table15[[#This Row],[Processing Fee]]-Table15[[#This Row],[Discount Applied]]</f>
        <v>66.59</v>
      </c>
      <c r="O941" s="7" t="str">
        <f>IF(Table15[[#This Row],[Revenue]]&gt;35000,"Achieved","Not Achieved")</f>
        <v>Not Achieved</v>
      </c>
      <c r="P941" s="8">
        <v>4</v>
      </c>
      <c r="Q941" s="7" t="str">
        <f>IF(AND(Table15[[#This Row],[CSAT Score]]&lt;=3,Table15[[#This Row],[Revenue]]&gt;=20000),"High-Risk","Stable")</f>
        <v>Stable</v>
      </c>
      <c r="R941" s="8" t="str" cm="1">
        <f t="array" ref="R941">_xlfn.IFS(Table15[[#This Row],[Revenue]]&gt;=35000,"Platinum",Table15[[#This Row],[Revenue]]&gt;=15000,"Gold",TRUE,"Standard")</f>
        <v>Standard</v>
      </c>
      <c r="S941" s="8" t="str">
        <f>IF(OR(Table15[[#This Row],[Product]]="Wealth Management",Table15[[#This Row],[Revenue]]&gt;=40000),"Yes","No")</f>
        <v>No</v>
      </c>
    </row>
    <row r="942" spans="1:19" x14ac:dyDescent="0.3">
      <c r="A942" s="5" t="s">
        <v>1000</v>
      </c>
      <c r="B942" s="6">
        <v>46208</v>
      </c>
      <c r="C942" s="7" t="s">
        <v>26</v>
      </c>
      <c r="D942" s="7" t="s">
        <v>68</v>
      </c>
      <c r="E942" s="7" t="s">
        <v>21</v>
      </c>
      <c r="F942" s="7" t="s">
        <v>40</v>
      </c>
      <c r="G942" s="7" t="s">
        <v>65</v>
      </c>
      <c r="H942" s="7" t="s">
        <v>24</v>
      </c>
      <c r="I942" s="7">
        <v>65</v>
      </c>
      <c r="J942" s="7">
        <v>90</v>
      </c>
      <c r="K942" s="20">
        <v>26898.76</v>
      </c>
      <c r="L942" s="20">
        <v>250.56</v>
      </c>
      <c r="M942" s="7">
        <v>89.02</v>
      </c>
      <c r="N942" s="20">
        <f>Table15[[#This Row],[Processing Fee]]-Table15[[#This Row],[Discount Applied]]</f>
        <v>161.54000000000002</v>
      </c>
      <c r="O942" s="7" t="str">
        <f>IF(Table15[[#This Row],[Revenue]]&gt;35000,"Achieved","Not Achieved")</f>
        <v>Not Achieved</v>
      </c>
      <c r="P942" s="8">
        <v>3</v>
      </c>
      <c r="Q942" s="7" t="str">
        <f>IF(AND(Table15[[#This Row],[CSAT Score]]&lt;=3,Table15[[#This Row],[Revenue]]&gt;=20000),"High-Risk","Stable")</f>
        <v>High-Risk</v>
      </c>
      <c r="R942" s="8" t="str" cm="1">
        <f t="array" ref="R942">_xlfn.IFS(Table15[[#This Row],[Revenue]]&gt;=35000,"Platinum",Table15[[#This Row],[Revenue]]&gt;=15000,"Gold",TRUE,"Standard")</f>
        <v>Gold</v>
      </c>
      <c r="S942" s="8" t="str">
        <f>IF(OR(Table15[[#This Row],[Product]]="Wealth Management",Table15[[#This Row],[Revenue]]&gt;=40000),"Yes","No")</f>
        <v>No</v>
      </c>
    </row>
    <row r="943" spans="1:19" x14ac:dyDescent="0.3">
      <c r="A943" s="5" t="s">
        <v>1001</v>
      </c>
      <c r="B943" s="6">
        <v>45939</v>
      </c>
      <c r="C943" s="7" t="s">
        <v>33</v>
      </c>
      <c r="D943" s="7" t="s">
        <v>45</v>
      </c>
      <c r="E943" s="7" t="s">
        <v>59</v>
      </c>
      <c r="F943" s="7" t="s">
        <v>35</v>
      </c>
      <c r="G943" s="7" t="s">
        <v>36</v>
      </c>
      <c r="H943" s="7" t="s">
        <v>53</v>
      </c>
      <c r="I943" s="7">
        <v>33</v>
      </c>
      <c r="J943" s="7">
        <v>78</v>
      </c>
      <c r="K943" s="20">
        <v>49801.69</v>
      </c>
      <c r="L943" s="20">
        <v>72.209999999999994</v>
      </c>
      <c r="M943" s="7">
        <v>22.63</v>
      </c>
      <c r="N943" s="20">
        <f>Table15[[#This Row],[Processing Fee]]-Table15[[#This Row],[Discount Applied]]</f>
        <v>49.58</v>
      </c>
      <c r="O943" s="7" t="str">
        <f>IF(Table15[[#This Row],[Revenue]]&gt;35000,"Achieved","Not Achieved")</f>
        <v>Achieved</v>
      </c>
      <c r="P943" s="8">
        <v>4</v>
      </c>
      <c r="Q943" s="7" t="str">
        <f>IF(AND(Table15[[#This Row],[CSAT Score]]&lt;=3,Table15[[#This Row],[Revenue]]&gt;=20000),"High-Risk","Stable")</f>
        <v>Stable</v>
      </c>
      <c r="R943" s="8" t="str" cm="1">
        <f t="array" ref="R943">_xlfn.IFS(Table15[[#This Row],[Revenue]]&gt;=35000,"Platinum",Table15[[#This Row],[Revenue]]&gt;=15000,"Gold",TRUE,"Standard")</f>
        <v>Platinum</v>
      </c>
      <c r="S943" s="8" t="str">
        <f>IF(OR(Table15[[#This Row],[Product]]="Wealth Management",Table15[[#This Row],[Revenue]]&gt;=40000),"Yes","No")</f>
        <v>Yes</v>
      </c>
    </row>
    <row r="944" spans="1:19" x14ac:dyDescent="0.3">
      <c r="A944" s="5" t="s">
        <v>1002</v>
      </c>
      <c r="B944" s="6">
        <v>46081</v>
      </c>
      <c r="C944" s="7" t="s">
        <v>44</v>
      </c>
      <c r="D944" s="7" t="s">
        <v>52</v>
      </c>
      <c r="E944" s="7" t="s">
        <v>46</v>
      </c>
      <c r="F944" s="7" t="s">
        <v>22</v>
      </c>
      <c r="G944" s="7" t="s">
        <v>65</v>
      </c>
      <c r="H944" s="7" t="s">
        <v>31</v>
      </c>
      <c r="I944" s="7">
        <v>25</v>
      </c>
      <c r="J944" s="7">
        <v>71</v>
      </c>
      <c r="K944" s="20">
        <v>40126.54</v>
      </c>
      <c r="L944" s="20">
        <v>306.2</v>
      </c>
      <c r="M944" s="7">
        <v>105.42</v>
      </c>
      <c r="N944" s="20">
        <f>Table15[[#This Row],[Processing Fee]]-Table15[[#This Row],[Discount Applied]]</f>
        <v>200.77999999999997</v>
      </c>
      <c r="O944" s="7" t="str">
        <f>IF(Table15[[#This Row],[Revenue]]&gt;35000,"Achieved","Not Achieved")</f>
        <v>Achieved</v>
      </c>
      <c r="P944" s="8">
        <v>4</v>
      </c>
      <c r="Q944" s="7" t="str">
        <f>IF(AND(Table15[[#This Row],[CSAT Score]]&lt;=3,Table15[[#This Row],[Revenue]]&gt;=20000),"High-Risk","Stable")</f>
        <v>Stable</v>
      </c>
      <c r="R944" s="8" t="str" cm="1">
        <f t="array" ref="R944">_xlfn.IFS(Table15[[#This Row],[Revenue]]&gt;=35000,"Platinum",Table15[[#This Row],[Revenue]]&gt;=15000,"Gold",TRUE,"Standard")</f>
        <v>Platinum</v>
      </c>
      <c r="S944" s="8" t="str">
        <f>IF(OR(Table15[[#This Row],[Product]]="Wealth Management",Table15[[#This Row],[Revenue]]&gt;=40000),"Yes","No")</f>
        <v>Yes</v>
      </c>
    </row>
    <row r="945" spans="1:19" x14ac:dyDescent="0.3">
      <c r="A945" s="5" t="s">
        <v>1003</v>
      </c>
      <c r="B945" s="6">
        <v>46191</v>
      </c>
      <c r="C945" s="7" t="s">
        <v>33</v>
      </c>
      <c r="D945" s="7" t="s">
        <v>52</v>
      </c>
      <c r="E945" s="7" t="s">
        <v>21</v>
      </c>
      <c r="F945" s="7" t="s">
        <v>22</v>
      </c>
      <c r="G945" s="7" t="s">
        <v>56</v>
      </c>
      <c r="H945" s="7" t="s">
        <v>31</v>
      </c>
      <c r="I945" s="7">
        <v>45</v>
      </c>
      <c r="J945" s="7">
        <v>33</v>
      </c>
      <c r="K945" s="20">
        <v>42359.28</v>
      </c>
      <c r="L945" s="20">
        <v>222.23</v>
      </c>
      <c r="M945" s="7">
        <v>299.45999999999998</v>
      </c>
      <c r="N945" s="20">
        <f>Table15[[#This Row],[Processing Fee]]-Table15[[#This Row],[Discount Applied]]</f>
        <v>-77.22999999999999</v>
      </c>
      <c r="O945" s="7" t="str">
        <f>IF(Table15[[#This Row],[Revenue]]&gt;35000,"Achieved","Not Achieved")</f>
        <v>Achieved</v>
      </c>
      <c r="P945" s="8">
        <v>3</v>
      </c>
      <c r="Q945" s="7" t="str">
        <f>IF(AND(Table15[[#This Row],[CSAT Score]]&lt;=3,Table15[[#This Row],[Revenue]]&gt;=20000),"High-Risk","Stable")</f>
        <v>High-Risk</v>
      </c>
      <c r="R945" s="8" t="str" cm="1">
        <f t="array" ref="R945">_xlfn.IFS(Table15[[#This Row],[Revenue]]&gt;=35000,"Platinum",Table15[[#This Row],[Revenue]]&gt;=15000,"Gold",TRUE,"Standard")</f>
        <v>Platinum</v>
      </c>
      <c r="S945" s="8" t="str">
        <f>IF(OR(Table15[[#This Row],[Product]]="Wealth Management",Table15[[#This Row],[Revenue]]&gt;=40000),"Yes","No")</f>
        <v>Yes</v>
      </c>
    </row>
    <row r="946" spans="1:19" x14ac:dyDescent="0.3">
      <c r="A946" s="5" t="s">
        <v>1004</v>
      </c>
      <c r="B946" s="6">
        <v>46203</v>
      </c>
      <c r="C946" s="7" t="s">
        <v>33</v>
      </c>
      <c r="D946" s="7" t="s">
        <v>63</v>
      </c>
      <c r="E946" s="7" t="s">
        <v>39</v>
      </c>
      <c r="F946" s="7" t="s">
        <v>29</v>
      </c>
      <c r="G946" s="7" t="s">
        <v>36</v>
      </c>
      <c r="H946" s="7" t="s">
        <v>53</v>
      </c>
      <c r="I946" s="7">
        <v>40</v>
      </c>
      <c r="J946" s="7">
        <v>26</v>
      </c>
      <c r="K946" s="20">
        <v>31945.62</v>
      </c>
      <c r="L946" s="20">
        <v>390.74</v>
      </c>
      <c r="M946" s="7">
        <v>177.77</v>
      </c>
      <c r="N946" s="20">
        <f>Table15[[#This Row],[Processing Fee]]-Table15[[#This Row],[Discount Applied]]</f>
        <v>212.97</v>
      </c>
      <c r="O946" s="7" t="str">
        <f>IF(Table15[[#This Row],[Revenue]]&gt;35000,"Achieved","Not Achieved")</f>
        <v>Not Achieved</v>
      </c>
      <c r="P946" s="8">
        <v>2</v>
      </c>
      <c r="Q946" s="7" t="str">
        <f>IF(AND(Table15[[#This Row],[CSAT Score]]&lt;=3,Table15[[#This Row],[Revenue]]&gt;=20000),"High-Risk","Stable")</f>
        <v>High-Risk</v>
      </c>
      <c r="R946" s="8" t="str" cm="1">
        <f t="array" ref="R946">_xlfn.IFS(Table15[[#This Row],[Revenue]]&gt;=35000,"Platinum",Table15[[#This Row],[Revenue]]&gt;=15000,"Gold",TRUE,"Standard")</f>
        <v>Gold</v>
      </c>
      <c r="S946" s="8" t="str">
        <f>IF(OR(Table15[[#This Row],[Product]]="Wealth Management",Table15[[#This Row],[Revenue]]&gt;=40000),"Yes","No")</f>
        <v>No</v>
      </c>
    </row>
    <row r="947" spans="1:19" x14ac:dyDescent="0.3">
      <c r="A947" s="5" t="s">
        <v>1005</v>
      </c>
      <c r="B947" s="6">
        <v>45920</v>
      </c>
      <c r="C947" s="7" t="s">
        <v>19</v>
      </c>
      <c r="D947" s="7" t="s">
        <v>61</v>
      </c>
      <c r="E947" s="7" t="s">
        <v>46</v>
      </c>
      <c r="F947" s="7" t="s">
        <v>22</v>
      </c>
      <c r="G947" s="7" t="s">
        <v>65</v>
      </c>
      <c r="H947" s="7" t="s">
        <v>53</v>
      </c>
      <c r="I947" s="7">
        <v>74</v>
      </c>
      <c r="J947" s="7">
        <v>45</v>
      </c>
      <c r="K947" s="20">
        <v>2557.21</v>
      </c>
      <c r="L947" s="20">
        <v>187.54</v>
      </c>
      <c r="M947" s="7">
        <v>9.66</v>
      </c>
      <c r="N947" s="20">
        <f>Table15[[#This Row],[Processing Fee]]-Table15[[#This Row],[Discount Applied]]</f>
        <v>177.88</v>
      </c>
      <c r="O947" s="7" t="str">
        <f>IF(Table15[[#This Row],[Revenue]]&gt;35000,"Achieved","Not Achieved")</f>
        <v>Not Achieved</v>
      </c>
      <c r="P947" s="8">
        <v>1</v>
      </c>
      <c r="Q947" s="7" t="str">
        <f>IF(AND(Table15[[#This Row],[CSAT Score]]&lt;=3,Table15[[#This Row],[Revenue]]&gt;=20000),"High-Risk","Stable")</f>
        <v>Stable</v>
      </c>
      <c r="R947" s="8" t="str" cm="1">
        <f t="array" ref="R947">_xlfn.IFS(Table15[[#This Row],[Revenue]]&gt;=35000,"Platinum",Table15[[#This Row],[Revenue]]&gt;=15000,"Gold",TRUE,"Standard")</f>
        <v>Standard</v>
      </c>
      <c r="S947" s="8" t="str">
        <f>IF(OR(Table15[[#This Row],[Product]]="Wealth Management",Table15[[#This Row],[Revenue]]&gt;=40000),"Yes","No")</f>
        <v>Yes</v>
      </c>
    </row>
    <row r="948" spans="1:19" x14ac:dyDescent="0.3">
      <c r="A948" s="5" t="s">
        <v>1006</v>
      </c>
      <c r="B948" s="6">
        <v>46148</v>
      </c>
      <c r="C948" s="7" t="s">
        <v>33</v>
      </c>
      <c r="D948" s="7" t="s">
        <v>20</v>
      </c>
      <c r="E948" s="7" t="s">
        <v>39</v>
      </c>
      <c r="F948" s="7" t="s">
        <v>22</v>
      </c>
      <c r="G948" s="7" t="s">
        <v>56</v>
      </c>
      <c r="H948" s="7" t="s">
        <v>53</v>
      </c>
      <c r="I948" s="7">
        <v>38</v>
      </c>
      <c r="J948" s="7">
        <v>84</v>
      </c>
      <c r="K948" s="20">
        <v>10736.48</v>
      </c>
      <c r="L948" s="20">
        <v>316.83999999999997</v>
      </c>
      <c r="M948" s="7">
        <v>112.65</v>
      </c>
      <c r="N948" s="20">
        <f>Table15[[#This Row],[Processing Fee]]-Table15[[#This Row],[Discount Applied]]</f>
        <v>204.18999999999997</v>
      </c>
      <c r="O948" s="7" t="str">
        <f>IF(Table15[[#This Row],[Revenue]]&gt;35000,"Achieved","Not Achieved")</f>
        <v>Not Achieved</v>
      </c>
      <c r="P948" s="8">
        <v>1</v>
      </c>
      <c r="Q948" s="7" t="str">
        <f>IF(AND(Table15[[#This Row],[CSAT Score]]&lt;=3,Table15[[#This Row],[Revenue]]&gt;=20000),"High-Risk","Stable")</f>
        <v>Stable</v>
      </c>
      <c r="R948" s="8" t="str" cm="1">
        <f t="array" ref="R948">_xlfn.IFS(Table15[[#This Row],[Revenue]]&gt;=35000,"Platinum",Table15[[#This Row],[Revenue]]&gt;=15000,"Gold",TRUE,"Standard")</f>
        <v>Standard</v>
      </c>
      <c r="S948" s="8" t="str">
        <f>IF(OR(Table15[[#This Row],[Product]]="Wealth Management",Table15[[#This Row],[Revenue]]&gt;=40000),"Yes","No")</f>
        <v>Yes</v>
      </c>
    </row>
    <row r="949" spans="1:19" x14ac:dyDescent="0.3">
      <c r="A949" s="5" t="s">
        <v>1007</v>
      </c>
      <c r="B949" s="6">
        <v>46163</v>
      </c>
      <c r="C949" s="7" t="s">
        <v>44</v>
      </c>
      <c r="D949" s="7" t="s">
        <v>68</v>
      </c>
      <c r="E949" s="7" t="s">
        <v>28</v>
      </c>
      <c r="F949" s="7" t="s">
        <v>40</v>
      </c>
      <c r="G949" s="7" t="s">
        <v>23</v>
      </c>
      <c r="H949" s="7" t="s">
        <v>53</v>
      </c>
      <c r="I949" s="7">
        <v>67</v>
      </c>
      <c r="J949" s="7">
        <v>63</v>
      </c>
      <c r="K949" s="20">
        <v>46290.7</v>
      </c>
      <c r="L949" s="20">
        <v>291.95999999999998</v>
      </c>
      <c r="M949" s="7">
        <v>129.56</v>
      </c>
      <c r="N949" s="20">
        <f>Table15[[#This Row],[Processing Fee]]-Table15[[#This Row],[Discount Applied]]</f>
        <v>162.39999999999998</v>
      </c>
      <c r="O949" s="7" t="str">
        <f>IF(Table15[[#This Row],[Revenue]]&gt;35000,"Achieved","Not Achieved")</f>
        <v>Achieved</v>
      </c>
      <c r="P949" s="8">
        <v>1</v>
      </c>
      <c r="Q949" s="7" t="str">
        <f>IF(AND(Table15[[#This Row],[CSAT Score]]&lt;=3,Table15[[#This Row],[Revenue]]&gt;=20000),"High-Risk","Stable")</f>
        <v>High-Risk</v>
      </c>
      <c r="R949" s="8" t="str" cm="1">
        <f t="array" ref="R949">_xlfn.IFS(Table15[[#This Row],[Revenue]]&gt;=35000,"Platinum",Table15[[#This Row],[Revenue]]&gt;=15000,"Gold",TRUE,"Standard")</f>
        <v>Platinum</v>
      </c>
      <c r="S949" s="8" t="str">
        <f>IF(OR(Table15[[#This Row],[Product]]="Wealth Management",Table15[[#This Row],[Revenue]]&gt;=40000),"Yes","No")</f>
        <v>Yes</v>
      </c>
    </row>
    <row r="950" spans="1:19" x14ac:dyDescent="0.3">
      <c r="A950" s="5" t="s">
        <v>1008</v>
      </c>
      <c r="B950" s="6">
        <v>46122</v>
      </c>
      <c r="C950" s="7" t="s">
        <v>75</v>
      </c>
      <c r="D950" s="7" t="s">
        <v>52</v>
      </c>
      <c r="E950" s="7" t="s">
        <v>46</v>
      </c>
      <c r="F950" s="7" t="s">
        <v>40</v>
      </c>
      <c r="G950" s="7" t="s">
        <v>56</v>
      </c>
      <c r="H950" s="7" t="s">
        <v>53</v>
      </c>
      <c r="I950" s="7">
        <v>38</v>
      </c>
      <c r="J950" s="7">
        <v>67</v>
      </c>
      <c r="K950" s="20">
        <v>18622.599999999999</v>
      </c>
      <c r="L950" s="20">
        <v>52.12</v>
      </c>
      <c r="M950" s="7">
        <v>41.91</v>
      </c>
      <c r="N950" s="20">
        <f>Table15[[#This Row],[Processing Fee]]-Table15[[#This Row],[Discount Applied]]</f>
        <v>10.210000000000001</v>
      </c>
      <c r="O950" s="7" t="str">
        <f>IF(Table15[[#This Row],[Revenue]]&gt;35000,"Achieved","Not Achieved")</f>
        <v>Not Achieved</v>
      </c>
      <c r="P950" s="8">
        <v>1</v>
      </c>
      <c r="Q950" s="7" t="str">
        <f>IF(AND(Table15[[#This Row],[CSAT Score]]&lt;=3,Table15[[#This Row],[Revenue]]&gt;=20000),"High-Risk","Stable")</f>
        <v>Stable</v>
      </c>
      <c r="R950" s="8" t="str" cm="1">
        <f t="array" ref="R950">_xlfn.IFS(Table15[[#This Row],[Revenue]]&gt;=35000,"Platinum",Table15[[#This Row],[Revenue]]&gt;=15000,"Gold",TRUE,"Standard")</f>
        <v>Gold</v>
      </c>
      <c r="S950" s="8" t="str">
        <f>IF(OR(Table15[[#This Row],[Product]]="Wealth Management",Table15[[#This Row],[Revenue]]&gt;=40000),"Yes","No")</f>
        <v>No</v>
      </c>
    </row>
    <row r="951" spans="1:19" x14ac:dyDescent="0.3">
      <c r="A951" s="5" t="s">
        <v>1009</v>
      </c>
      <c r="B951" s="6">
        <v>46065</v>
      </c>
      <c r="C951" s="7" t="s">
        <v>33</v>
      </c>
      <c r="D951" s="7" t="s">
        <v>63</v>
      </c>
      <c r="E951" s="7" t="s">
        <v>28</v>
      </c>
      <c r="F951" s="7" t="s">
        <v>29</v>
      </c>
      <c r="G951" s="7" t="s">
        <v>36</v>
      </c>
      <c r="H951" s="7" t="s">
        <v>53</v>
      </c>
      <c r="I951" s="7">
        <v>22</v>
      </c>
      <c r="J951" s="7">
        <v>52</v>
      </c>
      <c r="K951" s="20">
        <v>5630.02</v>
      </c>
      <c r="L951" s="20">
        <v>82.58</v>
      </c>
      <c r="M951" s="7">
        <v>29.02</v>
      </c>
      <c r="N951" s="20">
        <f>Table15[[#This Row],[Processing Fee]]-Table15[[#This Row],[Discount Applied]]</f>
        <v>53.56</v>
      </c>
      <c r="O951" s="7" t="str">
        <f>IF(Table15[[#This Row],[Revenue]]&gt;35000,"Achieved","Not Achieved")</f>
        <v>Not Achieved</v>
      </c>
      <c r="P951" s="8">
        <v>5</v>
      </c>
      <c r="Q951" s="7" t="str">
        <f>IF(AND(Table15[[#This Row],[CSAT Score]]&lt;=3,Table15[[#This Row],[Revenue]]&gt;=20000),"High-Risk","Stable")</f>
        <v>Stable</v>
      </c>
      <c r="R951" s="8" t="str" cm="1">
        <f t="array" ref="R951">_xlfn.IFS(Table15[[#This Row],[Revenue]]&gt;=35000,"Platinum",Table15[[#This Row],[Revenue]]&gt;=15000,"Gold",TRUE,"Standard")</f>
        <v>Standard</v>
      </c>
      <c r="S951" s="8" t="str">
        <f>IF(OR(Table15[[#This Row],[Product]]="Wealth Management",Table15[[#This Row],[Revenue]]&gt;=40000),"Yes","No")</f>
        <v>No</v>
      </c>
    </row>
    <row r="952" spans="1:19" x14ac:dyDescent="0.3">
      <c r="A952" s="5" t="s">
        <v>1010</v>
      </c>
      <c r="B952" s="6">
        <v>45896</v>
      </c>
      <c r="C952" s="7" t="s">
        <v>42</v>
      </c>
      <c r="D952" s="7" t="s">
        <v>45</v>
      </c>
      <c r="E952" s="7" t="s">
        <v>46</v>
      </c>
      <c r="F952" s="7" t="s">
        <v>69</v>
      </c>
      <c r="G952" s="7" t="s">
        <v>30</v>
      </c>
      <c r="H952" s="7" t="s">
        <v>31</v>
      </c>
      <c r="I952" s="7">
        <v>30</v>
      </c>
      <c r="J952" s="7">
        <v>68</v>
      </c>
      <c r="K952" s="20">
        <v>35269.07</v>
      </c>
      <c r="L952" s="20">
        <v>180.67</v>
      </c>
      <c r="M952" s="7">
        <v>271.32</v>
      </c>
      <c r="N952" s="20">
        <f>Table15[[#This Row],[Processing Fee]]-Table15[[#This Row],[Discount Applied]]</f>
        <v>-90.65</v>
      </c>
      <c r="O952" s="7" t="str">
        <f>IF(Table15[[#This Row],[Revenue]]&gt;35000,"Achieved","Not Achieved")</f>
        <v>Achieved</v>
      </c>
      <c r="P952" s="8">
        <v>1</v>
      </c>
      <c r="Q952" s="7" t="str">
        <f>IF(AND(Table15[[#This Row],[CSAT Score]]&lt;=3,Table15[[#This Row],[Revenue]]&gt;=20000),"High-Risk","Stable")</f>
        <v>High-Risk</v>
      </c>
      <c r="R952" s="8" t="str" cm="1">
        <f t="array" ref="R952">_xlfn.IFS(Table15[[#This Row],[Revenue]]&gt;=35000,"Platinum",Table15[[#This Row],[Revenue]]&gt;=15000,"Gold",TRUE,"Standard")</f>
        <v>Platinum</v>
      </c>
      <c r="S952" s="8" t="str">
        <f>IF(OR(Table15[[#This Row],[Product]]="Wealth Management",Table15[[#This Row],[Revenue]]&gt;=40000),"Yes","No")</f>
        <v>No</v>
      </c>
    </row>
    <row r="953" spans="1:19" x14ac:dyDescent="0.3">
      <c r="A953" s="5" t="s">
        <v>1011</v>
      </c>
      <c r="B953" s="6">
        <v>46001</v>
      </c>
      <c r="C953" s="7" t="s">
        <v>26</v>
      </c>
      <c r="D953" s="7" t="s">
        <v>52</v>
      </c>
      <c r="E953" s="7" t="s">
        <v>46</v>
      </c>
      <c r="F953" s="7" t="s">
        <v>29</v>
      </c>
      <c r="G953" s="7" t="s">
        <v>23</v>
      </c>
      <c r="H953" s="7" t="s">
        <v>53</v>
      </c>
      <c r="I953" s="7">
        <v>65</v>
      </c>
      <c r="J953" s="7">
        <v>26</v>
      </c>
      <c r="K953" s="20">
        <v>15323.16</v>
      </c>
      <c r="L953" s="20">
        <v>447.01</v>
      </c>
      <c r="M953" s="7">
        <v>193.76</v>
      </c>
      <c r="N953" s="20">
        <f>Table15[[#This Row],[Processing Fee]]-Table15[[#This Row],[Discount Applied]]</f>
        <v>253.25</v>
      </c>
      <c r="O953" s="7" t="str">
        <f>IF(Table15[[#This Row],[Revenue]]&gt;35000,"Achieved","Not Achieved")</f>
        <v>Not Achieved</v>
      </c>
      <c r="P953" s="8">
        <v>3</v>
      </c>
      <c r="Q953" s="7" t="str">
        <f>IF(AND(Table15[[#This Row],[CSAT Score]]&lt;=3,Table15[[#This Row],[Revenue]]&gt;=20000),"High-Risk","Stable")</f>
        <v>Stable</v>
      </c>
      <c r="R953" s="8" t="str" cm="1">
        <f t="array" ref="R953">_xlfn.IFS(Table15[[#This Row],[Revenue]]&gt;=35000,"Platinum",Table15[[#This Row],[Revenue]]&gt;=15000,"Gold",TRUE,"Standard")</f>
        <v>Gold</v>
      </c>
      <c r="S953" s="8" t="str">
        <f>IF(OR(Table15[[#This Row],[Product]]="Wealth Management",Table15[[#This Row],[Revenue]]&gt;=40000),"Yes","No")</f>
        <v>No</v>
      </c>
    </row>
    <row r="954" spans="1:19" x14ac:dyDescent="0.3">
      <c r="A954" s="5" t="s">
        <v>1012</v>
      </c>
      <c r="B954" s="6">
        <v>46231</v>
      </c>
      <c r="C954" s="7" t="s">
        <v>33</v>
      </c>
      <c r="D954" s="7" t="s">
        <v>83</v>
      </c>
      <c r="E954" s="7" t="s">
        <v>28</v>
      </c>
      <c r="F954" s="7" t="s">
        <v>29</v>
      </c>
      <c r="G954" s="7" t="s">
        <v>65</v>
      </c>
      <c r="H954" s="7" t="s">
        <v>24</v>
      </c>
      <c r="I954" s="7">
        <v>70</v>
      </c>
      <c r="J954" s="7">
        <v>75</v>
      </c>
      <c r="K954" s="20">
        <v>13808.42</v>
      </c>
      <c r="L954" s="20">
        <v>116.16</v>
      </c>
      <c r="M954" s="7">
        <v>198.38</v>
      </c>
      <c r="N954" s="20">
        <f>Table15[[#This Row],[Processing Fee]]-Table15[[#This Row],[Discount Applied]]</f>
        <v>-82.22</v>
      </c>
      <c r="O954" s="7" t="str">
        <f>IF(Table15[[#This Row],[Revenue]]&gt;35000,"Achieved","Not Achieved")</f>
        <v>Not Achieved</v>
      </c>
      <c r="P954" s="8">
        <v>1</v>
      </c>
      <c r="Q954" s="7" t="str">
        <f>IF(AND(Table15[[#This Row],[CSAT Score]]&lt;=3,Table15[[#This Row],[Revenue]]&gt;=20000),"High-Risk","Stable")</f>
        <v>Stable</v>
      </c>
      <c r="R954" s="8" t="str" cm="1">
        <f t="array" ref="R954">_xlfn.IFS(Table15[[#This Row],[Revenue]]&gt;=35000,"Platinum",Table15[[#This Row],[Revenue]]&gt;=15000,"Gold",TRUE,"Standard")</f>
        <v>Standard</v>
      </c>
      <c r="S954" s="8" t="str">
        <f>IF(OR(Table15[[#This Row],[Product]]="Wealth Management",Table15[[#This Row],[Revenue]]&gt;=40000),"Yes","No")</f>
        <v>No</v>
      </c>
    </row>
    <row r="955" spans="1:19" x14ac:dyDescent="0.3">
      <c r="A955" s="5" t="s">
        <v>1013</v>
      </c>
      <c r="B955" s="6">
        <v>46206</v>
      </c>
      <c r="C955" s="7" t="s">
        <v>26</v>
      </c>
      <c r="D955" s="7" t="s">
        <v>83</v>
      </c>
      <c r="E955" s="7" t="s">
        <v>21</v>
      </c>
      <c r="F955" s="7" t="s">
        <v>35</v>
      </c>
      <c r="G955" s="7" t="s">
        <v>36</v>
      </c>
      <c r="H955" s="7" t="s">
        <v>53</v>
      </c>
      <c r="I955" s="7">
        <v>67</v>
      </c>
      <c r="J955" s="7">
        <v>2</v>
      </c>
      <c r="K955" s="20">
        <v>49899.88</v>
      </c>
      <c r="L955" s="20">
        <v>369.9</v>
      </c>
      <c r="M955" s="7">
        <v>157.94999999999999</v>
      </c>
      <c r="N955" s="20">
        <f>Table15[[#This Row],[Processing Fee]]-Table15[[#This Row],[Discount Applied]]</f>
        <v>211.95</v>
      </c>
      <c r="O955" s="7" t="str">
        <f>IF(Table15[[#This Row],[Revenue]]&gt;35000,"Achieved","Not Achieved")</f>
        <v>Achieved</v>
      </c>
      <c r="P955" s="8">
        <v>4</v>
      </c>
      <c r="Q955" s="7" t="str">
        <f>IF(AND(Table15[[#This Row],[CSAT Score]]&lt;=3,Table15[[#This Row],[Revenue]]&gt;=20000),"High-Risk","Stable")</f>
        <v>Stable</v>
      </c>
      <c r="R955" s="8" t="str" cm="1">
        <f t="array" ref="R955">_xlfn.IFS(Table15[[#This Row],[Revenue]]&gt;=35000,"Platinum",Table15[[#This Row],[Revenue]]&gt;=15000,"Gold",TRUE,"Standard")</f>
        <v>Platinum</v>
      </c>
      <c r="S955" s="8" t="str">
        <f>IF(OR(Table15[[#This Row],[Product]]="Wealth Management",Table15[[#This Row],[Revenue]]&gt;=40000),"Yes","No")</f>
        <v>Yes</v>
      </c>
    </row>
    <row r="956" spans="1:19" x14ac:dyDescent="0.3">
      <c r="A956" s="5" t="s">
        <v>1014</v>
      </c>
      <c r="B956" s="6">
        <v>46156</v>
      </c>
      <c r="C956" s="7" t="s">
        <v>42</v>
      </c>
      <c r="D956" s="7" t="s">
        <v>34</v>
      </c>
      <c r="E956" s="7" t="s">
        <v>59</v>
      </c>
      <c r="F956" s="7" t="s">
        <v>35</v>
      </c>
      <c r="G956" s="7" t="s">
        <v>30</v>
      </c>
      <c r="H956" s="7" t="s">
        <v>53</v>
      </c>
      <c r="I956" s="7">
        <v>32</v>
      </c>
      <c r="J956" s="7">
        <v>14</v>
      </c>
      <c r="K956" s="20">
        <v>42977.88</v>
      </c>
      <c r="L956" s="20">
        <v>488.01</v>
      </c>
      <c r="M956" s="7">
        <v>132.69999999999999</v>
      </c>
      <c r="N956" s="20">
        <f>Table15[[#This Row],[Processing Fee]]-Table15[[#This Row],[Discount Applied]]</f>
        <v>355.31</v>
      </c>
      <c r="O956" s="7" t="str">
        <f>IF(Table15[[#This Row],[Revenue]]&gt;35000,"Achieved","Not Achieved")</f>
        <v>Achieved</v>
      </c>
      <c r="P956" s="8">
        <v>1</v>
      </c>
      <c r="Q956" s="7" t="str">
        <f>IF(AND(Table15[[#This Row],[CSAT Score]]&lt;=3,Table15[[#This Row],[Revenue]]&gt;=20000),"High-Risk","Stable")</f>
        <v>High-Risk</v>
      </c>
      <c r="R956" s="8" t="str" cm="1">
        <f t="array" ref="R956">_xlfn.IFS(Table15[[#This Row],[Revenue]]&gt;=35000,"Platinum",Table15[[#This Row],[Revenue]]&gt;=15000,"Gold",TRUE,"Standard")</f>
        <v>Platinum</v>
      </c>
      <c r="S956" s="8" t="str">
        <f>IF(OR(Table15[[#This Row],[Product]]="Wealth Management",Table15[[#This Row],[Revenue]]&gt;=40000),"Yes","No")</f>
        <v>Yes</v>
      </c>
    </row>
    <row r="957" spans="1:19" x14ac:dyDescent="0.3">
      <c r="A957" s="5" t="s">
        <v>1015</v>
      </c>
      <c r="B957" s="6">
        <v>45895</v>
      </c>
      <c r="C957" s="7" t="s">
        <v>42</v>
      </c>
      <c r="D957" s="7" t="s">
        <v>50</v>
      </c>
      <c r="E957" s="7" t="s">
        <v>39</v>
      </c>
      <c r="F957" s="7" t="s">
        <v>29</v>
      </c>
      <c r="G957" s="7" t="s">
        <v>56</v>
      </c>
      <c r="H957" s="7" t="s">
        <v>31</v>
      </c>
      <c r="I957" s="7">
        <v>67</v>
      </c>
      <c r="J957" s="7">
        <v>108</v>
      </c>
      <c r="K957" s="20">
        <v>20692.919999999998</v>
      </c>
      <c r="L957" s="20">
        <v>405.76</v>
      </c>
      <c r="M957" s="7">
        <v>103.72</v>
      </c>
      <c r="N957" s="20">
        <f>Table15[[#This Row],[Processing Fee]]-Table15[[#This Row],[Discount Applied]]</f>
        <v>302.03999999999996</v>
      </c>
      <c r="O957" s="7" t="str">
        <f>IF(Table15[[#This Row],[Revenue]]&gt;35000,"Achieved","Not Achieved")</f>
        <v>Not Achieved</v>
      </c>
      <c r="P957" s="8">
        <v>2</v>
      </c>
      <c r="Q957" s="7" t="str">
        <f>IF(AND(Table15[[#This Row],[CSAT Score]]&lt;=3,Table15[[#This Row],[Revenue]]&gt;=20000),"High-Risk","Stable")</f>
        <v>High-Risk</v>
      </c>
      <c r="R957" s="8" t="str" cm="1">
        <f t="array" ref="R957">_xlfn.IFS(Table15[[#This Row],[Revenue]]&gt;=35000,"Platinum",Table15[[#This Row],[Revenue]]&gt;=15000,"Gold",TRUE,"Standard")</f>
        <v>Gold</v>
      </c>
      <c r="S957" s="8" t="str">
        <f>IF(OR(Table15[[#This Row],[Product]]="Wealth Management",Table15[[#This Row],[Revenue]]&gt;=40000),"Yes","No")</f>
        <v>No</v>
      </c>
    </row>
    <row r="958" spans="1:19" x14ac:dyDescent="0.3">
      <c r="A958" s="5" t="s">
        <v>1016</v>
      </c>
      <c r="B958" s="6">
        <v>45901</v>
      </c>
      <c r="C958" s="7" t="s">
        <v>26</v>
      </c>
      <c r="D958" s="7" t="s">
        <v>34</v>
      </c>
      <c r="E958" s="7" t="s">
        <v>46</v>
      </c>
      <c r="F958" s="7" t="s">
        <v>29</v>
      </c>
      <c r="G958" s="7" t="s">
        <v>30</v>
      </c>
      <c r="H958" s="7" t="s">
        <v>31</v>
      </c>
      <c r="I958" s="7">
        <v>33</v>
      </c>
      <c r="J958" s="7">
        <v>30</v>
      </c>
      <c r="K958" s="20">
        <v>49022.93</v>
      </c>
      <c r="L958" s="20">
        <v>159.33000000000001</v>
      </c>
      <c r="M958" s="7">
        <v>51.42</v>
      </c>
      <c r="N958" s="20">
        <f>Table15[[#This Row],[Processing Fee]]-Table15[[#This Row],[Discount Applied]]</f>
        <v>107.91000000000001</v>
      </c>
      <c r="O958" s="7" t="str">
        <f>IF(Table15[[#This Row],[Revenue]]&gt;35000,"Achieved","Not Achieved")</f>
        <v>Achieved</v>
      </c>
      <c r="P958" s="8">
        <v>3</v>
      </c>
      <c r="Q958" s="7" t="str">
        <f>IF(AND(Table15[[#This Row],[CSAT Score]]&lt;=3,Table15[[#This Row],[Revenue]]&gt;=20000),"High-Risk","Stable")</f>
        <v>High-Risk</v>
      </c>
      <c r="R958" s="8" t="str" cm="1">
        <f t="array" ref="R958">_xlfn.IFS(Table15[[#This Row],[Revenue]]&gt;=35000,"Platinum",Table15[[#This Row],[Revenue]]&gt;=15000,"Gold",TRUE,"Standard")</f>
        <v>Platinum</v>
      </c>
      <c r="S958" s="8" t="str">
        <f>IF(OR(Table15[[#This Row],[Product]]="Wealth Management",Table15[[#This Row],[Revenue]]&gt;=40000),"Yes","No")</f>
        <v>Yes</v>
      </c>
    </row>
    <row r="959" spans="1:19" x14ac:dyDescent="0.3">
      <c r="A959" s="5" t="s">
        <v>1017</v>
      </c>
      <c r="B959" s="6">
        <v>45887</v>
      </c>
      <c r="C959" s="7" t="s">
        <v>91</v>
      </c>
      <c r="D959" s="7" t="s">
        <v>77</v>
      </c>
      <c r="E959" s="7" t="s">
        <v>39</v>
      </c>
      <c r="F959" s="7" t="s">
        <v>29</v>
      </c>
      <c r="G959" s="7" t="s">
        <v>36</v>
      </c>
      <c r="H959" s="7" t="s">
        <v>53</v>
      </c>
      <c r="I959" s="7">
        <v>70</v>
      </c>
      <c r="J959" s="7">
        <v>49</v>
      </c>
      <c r="K959" s="20">
        <v>32680.6</v>
      </c>
      <c r="L959" s="20">
        <v>458.76</v>
      </c>
      <c r="M959" s="7">
        <v>15.8</v>
      </c>
      <c r="N959" s="20">
        <f>Table15[[#This Row],[Processing Fee]]-Table15[[#This Row],[Discount Applied]]</f>
        <v>442.96</v>
      </c>
      <c r="O959" s="7" t="str">
        <f>IF(Table15[[#This Row],[Revenue]]&gt;35000,"Achieved","Not Achieved")</f>
        <v>Not Achieved</v>
      </c>
      <c r="P959" s="8">
        <v>3</v>
      </c>
      <c r="Q959" s="7" t="str">
        <f>IF(AND(Table15[[#This Row],[CSAT Score]]&lt;=3,Table15[[#This Row],[Revenue]]&gt;=20000),"High-Risk","Stable")</f>
        <v>High-Risk</v>
      </c>
      <c r="R959" s="8" t="str" cm="1">
        <f t="array" ref="R959">_xlfn.IFS(Table15[[#This Row],[Revenue]]&gt;=35000,"Platinum",Table15[[#This Row],[Revenue]]&gt;=15000,"Gold",TRUE,"Standard")</f>
        <v>Gold</v>
      </c>
      <c r="S959" s="8" t="str">
        <f>IF(OR(Table15[[#This Row],[Product]]="Wealth Management",Table15[[#This Row],[Revenue]]&gt;=40000),"Yes","No")</f>
        <v>No</v>
      </c>
    </row>
    <row r="960" spans="1:19" x14ac:dyDescent="0.3">
      <c r="A960" s="5" t="s">
        <v>1018</v>
      </c>
      <c r="B960" s="6">
        <v>46059</v>
      </c>
      <c r="C960" s="7" t="s">
        <v>55</v>
      </c>
      <c r="D960" s="7" t="s">
        <v>38</v>
      </c>
      <c r="E960" s="7" t="s">
        <v>28</v>
      </c>
      <c r="F960" s="7" t="s">
        <v>22</v>
      </c>
      <c r="G960" s="7" t="s">
        <v>36</v>
      </c>
      <c r="H960" s="7" t="s">
        <v>31</v>
      </c>
      <c r="I960" s="7">
        <v>67</v>
      </c>
      <c r="J960" s="7">
        <v>12</v>
      </c>
      <c r="K960" s="20">
        <v>37230.11</v>
      </c>
      <c r="L960" s="20">
        <v>91.9</v>
      </c>
      <c r="M960" s="7">
        <v>207.99</v>
      </c>
      <c r="N960" s="20">
        <f>Table15[[#This Row],[Processing Fee]]-Table15[[#This Row],[Discount Applied]]</f>
        <v>-116.09</v>
      </c>
      <c r="O960" s="7" t="str">
        <f>IF(Table15[[#This Row],[Revenue]]&gt;35000,"Achieved","Not Achieved")</f>
        <v>Achieved</v>
      </c>
      <c r="P960" s="8">
        <v>5</v>
      </c>
      <c r="Q960" s="7" t="str">
        <f>IF(AND(Table15[[#This Row],[CSAT Score]]&lt;=3,Table15[[#This Row],[Revenue]]&gt;=20000),"High-Risk","Stable")</f>
        <v>Stable</v>
      </c>
      <c r="R960" s="8" t="str" cm="1">
        <f t="array" ref="R960">_xlfn.IFS(Table15[[#This Row],[Revenue]]&gt;=35000,"Platinum",Table15[[#This Row],[Revenue]]&gt;=15000,"Gold",TRUE,"Standard")</f>
        <v>Platinum</v>
      </c>
      <c r="S960" s="8" t="str">
        <f>IF(OR(Table15[[#This Row],[Product]]="Wealth Management",Table15[[#This Row],[Revenue]]&gt;=40000),"Yes","No")</f>
        <v>Yes</v>
      </c>
    </row>
    <row r="961" spans="1:19" x14ac:dyDescent="0.3">
      <c r="A961" s="5" t="s">
        <v>1019</v>
      </c>
      <c r="B961" s="6">
        <v>46026</v>
      </c>
      <c r="C961" s="7" t="s">
        <v>19</v>
      </c>
      <c r="D961" s="7" t="s">
        <v>87</v>
      </c>
      <c r="E961" s="7" t="s">
        <v>39</v>
      </c>
      <c r="F961" s="7" t="s">
        <v>35</v>
      </c>
      <c r="G961" s="7" t="s">
        <v>30</v>
      </c>
      <c r="H961" s="7" t="s">
        <v>57</v>
      </c>
      <c r="I961" s="7">
        <v>31</v>
      </c>
      <c r="J961" s="7">
        <v>90</v>
      </c>
      <c r="K961" s="20">
        <v>2059.9</v>
      </c>
      <c r="L961" s="20">
        <v>260.66000000000003</v>
      </c>
      <c r="M961" s="7">
        <v>156.94</v>
      </c>
      <c r="N961" s="20">
        <f>Table15[[#This Row],[Processing Fee]]-Table15[[#This Row],[Discount Applied]]</f>
        <v>103.72000000000003</v>
      </c>
      <c r="O961" s="7" t="str">
        <f>IF(Table15[[#This Row],[Revenue]]&gt;35000,"Achieved","Not Achieved")</f>
        <v>Not Achieved</v>
      </c>
      <c r="P961" s="8">
        <v>4</v>
      </c>
      <c r="Q961" s="7" t="str">
        <f>IF(AND(Table15[[#This Row],[CSAT Score]]&lt;=3,Table15[[#This Row],[Revenue]]&gt;=20000),"High-Risk","Stable")</f>
        <v>Stable</v>
      </c>
      <c r="R961" s="8" t="str" cm="1">
        <f t="array" ref="R961">_xlfn.IFS(Table15[[#This Row],[Revenue]]&gt;=35000,"Platinum",Table15[[#This Row],[Revenue]]&gt;=15000,"Gold",TRUE,"Standard")</f>
        <v>Standard</v>
      </c>
      <c r="S961" s="8" t="str">
        <f>IF(OR(Table15[[#This Row],[Product]]="Wealth Management",Table15[[#This Row],[Revenue]]&gt;=40000),"Yes","No")</f>
        <v>No</v>
      </c>
    </row>
    <row r="962" spans="1:19" x14ac:dyDescent="0.3">
      <c r="A962" s="5" t="s">
        <v>1020</v>
      </c>
      <c r="B962" s="6">
        <v>45922</v>
      </c>
      <c r="C962" s="7" t="s">
        <v>91</v>
      </c>
      <c r="D962" s="7" t="s">
        <v>34</v>
      </c>
      <c r="E962" s="7" t="s">
        <v>28</v>
      </c>
      <c r="F962" s="7" t="s">
        <v>29</v>
      </c>
      <c r="G962" s="7" t="s">
        <v>56</v>
      </c>
      <c r="H962" s="7" t="s">
        <v>31</v>
      </c>
      <c r="I962" s="7">
        <v>39</v>
      </c>
      <c r="J962" s="7">
        <v>44</v>
      </c>
      <c r="K962" s="20">
        <v>6519.46</v>
      </c>
      <c r="L962" s="20">
        <v>449.39</v>
      </c>
      <c r="M962" s="7">
        <v>247.94</v>
      </c>
      <c r="N962" s="20">
        <f>Table15[[#This Row],[Processing Fee]]-Table15[[#This Row],[Discount Applied]]</f>
        <v>201.45</v>
      </c>
      <c r="O962" s="7" t="str">
        <f>IF(Table15[[#This Row],[Revenue]]&gt;35000,"Achieved","Not Achieved")</f>
        <v>Not Achieved</v>
      </c>
      <c r="P962" s="8">
        <v>3</v>
      </c>
      <c r="Q962" s="7" t="str">
        <f>IF(AND(Table15[[#This Row],[CSAT Score]]&lt;=3,Table15[[#This Row],[Revenue]]&gt;=20000),"High-Risk","Stable")</f>
        <v>Stable</v>
      </c>
      <c r="R962" s="8" t="str" cm="1">
        <f t="array" ref="R962">_xlfn.IFS(Table15[[#This Row],[Revenue]]&gt;=35000,"Platinum",Table15[[#This Row],[Revenue]]&gt;=15000,"Gold",TRUE,"Standard")</f>
        <v>Standard</v>
      </c>
      <c r="S962" s="8" t="str">
        <f>IF(OR(Table15[[#This Row],[Product]]="Wealth Management",Table15[[#This Row],[Revenue]]&gt;=40000),"Yes","No")</f>
        <v>No</v>
      </c>
    </row>
    <row r="963" spans="1:19" x14ac:dyDescent="0.3">
      <c r="A963" s="5" t="s">
        <v>1021</v>
      </c>
      <c r="B963" s="6">
        <v>46121</v>
      </c>
      <c r="C963" s="7" t="s">
        <v>91</v>
      </c>
      <c r="D963" s="7" t="s">
        <v>27</v>
      </c>
      <c r="E963" s="7" t="s">
        <v>39</v>
      </c>
      <c r="F963" s="7" t="s">
        <v>40</v>
      </c>
      <c r="G963" s="7" t="s">
        <v>30</v>
      </c>
      <c r="H963" s="7" t="s">
        <v>31</v>
      </c>
      <c r="I963" s="7">
        <v>55</v>
      </c>
      <c r="J963" s="7">
        <v>33</v>
      </c>
      <c r="K963" s="20">
        <v>31837.71</v>
      </c>
      <c r="L963" s="20">
        <v>338.57</v>
      </c>
      <c r="M963" s="7">
        <v>274.12</v>
      </c>
      <c r="N963" s="20">
        <f>Table15[[#This Row],[Processing Fee]]-Table15[[#This Row],[Discount Applied]]</f>
        <v>64.449999999999989</v>
      </c>
      <c r="O963" s="7" t="str">
        <f>IF(Table15[[#This Row],[Revenue]]&gt;35000,"Achieved","Not Achieved")</f>
        <v>Not Achieved</v>
      </c>
      <c r="P963" s="8">
        <v>2</v>
      </c>
      <c r="Q963" s="7" t="str">
        <f>IF(AND(Table15[[#This Row],[CSAT Score]]&lt;=3,Table15[[#This Row],[Revenue]]&gt;=20000),"High-Risk","Stable")</f>
        <v>High-Risk</v>
      </c>
      <c r="R963" s="8" t="str" cm="1">
        <f t="array" ref="R963">_xlfn.IFS(Table15[[#This Row],[Revenue]]&gt;=35000,"Platinum",Table15[[#This Row],[Revenue]]&gt;=15000,"Gold",TRUE,"Standard")</f>
        <v>Gold</v>
      </c>
      <c r="S963" s="8" t="str">
        <f>IF(OR(Table15[[#This Row],[Product]]="Wealth Management",Table15[[#This Row],[Revenue]]&gt;=40000),"Yes","No")</f>
        <v>No</v>
      </c>
    </row>
    <row r="964" spans="1:19" x14ac:dyDescent="0.3">
      <c r="A964" s="5" t="s">
        <v>1022</v>
      </c>
      <c r="B964" s="6">
        <v>46089</v>
      </c>
      <c r="C964" s="7" t="s">
        <v>75</v>
      </c>
      <c r="D964" s="7" t="s">
        <v>52</v>
      </c>
      <c r="E964" s="7" t="s">
        <v>59</v>
      </c>
      <c r="F964" s="7" t="s">
        <v>40</v>
      </c>
      <c r="G964" s="7" t="s">
        <v>36</v>
      </c>
      <c r="H964" s="7" t="s">
        <v>31</v>
      </c>
      <c r="I964" s="7">
        <v>59</v>
      </c>
      <c r="J964" s="7">
        <v>13</v>
      </c>
      <c r="K964" s="20">
        <v>45001.69</v>
      </c>
      <c r="L964" s="20">
        <v>236.14</v>
      </c>
      <c r="M964" s="7">
        <v>263.98</v>
      </c>
      <c r="N964" s="20">
        <f>Table15[[#This Row],[Processing Fee]]-Table15[[#This Row],[Discount Applied]]</f>
        <v>-27.840000000000032</v>
      </c>
      <c r="O964" s="7" t="str">
        <f>IF(Table15[[#This Row],[Revenue]]&gt;35000,"Achieved","Not Achieved")</f>
        <v>Achieved</v>
      </c>
      <c r="P964" s="8">
        <v>1</v>
      </c>
      <c r="Q964" s="7" t="str">
        <f>IF(AND(Table15[[#This Row],[CSAT Score]]&lt;=3,Table15[[#This Row],[Revenue]]&gt;=20000),"High-Risk","Stable")</f>
        <v>High-Risk</v>
      </c>
      <c r="R964" s="8" t="str" cm="1">
        <f t="array" ref="R964">_xlfn.IFS(Table15[[#This Row],[Revenue]]&gt;=35000,"Platinum",Table15[[#This Row],[Revenue]]&gt;=15000,"Gold",TRUE,"Standard")</f>
        <v>Platinum</v>
      </c>
      <c r="S964" s="8" t="str">
        <f>IF(OR(Table15[[#This Row],[Product]]="Wealth Management",Table15[[#This Row],[Revenue]]&gt;=40000),"Yes","No")</f>
        <v>Yes</v>
      </c>
    </row>
    <row r="965" spans="1:19" x14ac:dyDescent="0.3">
      <c r="A965" s="5" t="s">
        <v>1023</v>
      </c>
      <c r="B965" s="6">
        <v>46203</v>
      </c>
      <c r="C965" s="7" t="s">
        <v>19</v>
      </c>
      <c r="D965" s="7" t="s">
        <v>61</v>
      </c>
      <c r="E965" s="7" t="s">
        <v>59</v>
      </c>
      <c r="F965" s="7" t="s">
        <v>22</v>
      </c>
      <c r="G965" s="7" t="s">
        <v>36</v>
      </c>
      <c r="H965" s="7" t="s">
        <v>31</v>
      </c>
      <c r="I965" s="7">
        <v>73</v>
      </c>
      <c r="J965" s="7">
        <v>78</v>
      </c>
      <c r="K965" s="20">
        <v>31375.31</v>
      </c>
      <c r="L965" s="20">
        <v>181.77</v>
      </c>
      <c r="M965" s="7">
        <v>299.92</v>
      </c>
      <c r="N965" s="20">
        <f>Table15[[#This Row],[Processing Fee]]-Table15[[#This Row],[Discount Applied]]</f>
        <v>-118.15</v>
      </c>
      <c r="O965" s="7" t="str">
        <f>IF(Table15[[#This Row],[Revenue]]&gt;35000,"Achieved","Not Achieved")</f>
        <v>Not Achieved</v>
      </c>
      <c r="P965" s="8">
        <v>3</v>
      </c>
      <c r="Q965" s="7" t="str">
        <f>IF(AND(Table15[[#This Row],[CSAT Score]]&lt;=3,Table15[[#This Row],[Revenue]]&gt;=20000),"High-Risk","Stable")</f>
        <v>High-Risk</v>
      </c>
      <c r="R965" s="8" t="str" cm="1">
        <f t="array" ref="R965">_xlfn.IFS(Table15[[#This Row],[Revenue]]&gt;=35000,"Platinum",Table15[[#This Row],[Revenue]]&gt;=15000,"Gold",TRUE,"Standard")</f>
        <v>Gold</v>
      </c>
      <c r="S965" s="8" t="str">
        <f>IF(OR(Table15[[#This Row],[Product]]="Wealth Management",Table15[[#This Row],[Revenue]]&gt;=40000),"Yes","No")</f>
        <v>Yes</v>
      </c>
    </row>
    <row r="966" spans="1:19" x14ac:dyDescent="0.3">
      <c r="A966" s="5" t="s">
        <v>1024</v>
      </c>
      <c r="B966" s="6">
        <v>46064</v>
      </c>
      <c r="C966" s="7" t="s">
        <v>19</v>
      </c>
      <c r="D966" s="7" t="s">
        <v>79</v>
      </c>
      <c r="E966" s="7" t="s">
        <v>59</v>
      </c>
      <c r="F966" s="7" t="s">
        <v>22</v>
      </c>
      <c r="G966" s="7" t="s">
        <v>65</v>
      </c>
      <c r="H966" s="7" t="s">
        <v>24</v>
      </c>
      <c r="I966" s="7">
        <v>46</v>
      </c>
      <c r="J966" s="7">
        <v>88</v>
      </c>
      <c r="K966" s="20">
        <v>7134.23</v>
      </c>
      <c r="L966" s="20">
        <v>218.79</v>
      </c>
      <c r="M966" s="7">
        <v>48.81</v>
      </c>
      <c r="N966" s="20">
        <f>Table15[[#This Row],[Processing Fee]]-Table15[[#This Row],[Discount Applied]]</f>
        <v>169.98</v>
      </c>
      <c r="O966" s="7" t="str">
        <f>IF(Table15[[#This Row],[Revenue]]&gt;35000,"Achieved","Not Achieved")</f>
        <v>Not Achieved</v>
      </c>
      <c r="P966" s="8">
        <v>2</v>
      </c>
      <c r="Q966" s="7" t="str">
        <f>IF(AND(Table15[[#This Row],[CSAT Score]]&lt;=3,Table15[[#This Row],[Revenue]]&gt;=20000),"High-Risk","Stable")</f>
        <v>Stable</v>
      </c>
      <c r="R966" s="8" t="str" cm="1">
        <f t="array" ref="R966">_xlfn.IFS(Table15[[#This Row],[Revenue]]&gt;=35000,"Platinum",Table15[[#This Row],[Revenue]]&gt;=15000,"Gold",TRUE,"Standard")</f>
        <v>Standard</v>
      </c>
      <c r="S966" s="8" t="str">
        <f>IF(OR(Table15[[#This Row],[Product]]="Wealth Management",Table15[[#This Row],[Revenue]]&gt;=40000),"Yes","No")</f>
        <v>Yes</v>
      </c>
    </row>
    <row r="967" spans="1:19" x14ac:dyDescent="0.3">
      <c r="A967" s="5" t="s">
        <v>1025</v>
      </c>
      <c r="B967" s="6">
        <v>45876</v>
      </c>
      <c r="C967" s="7" t="s">
        <v>91</v>
      </c>
      <c r="D967" s="7" t="s">
        <v>63</v>
      </c>
      <c r="E967" s="7" t="s">
        <v>59</v>
      </c>
      <c r="F967" s="7" t="s">
        <v>69</v>
      </c>
      <c r="G967" s="7" t="s">
        <v>65</v>
      </c>
      <c r="H967" s="7" t="s">
        <v>24</v>
      </c>
      <c r="I967" s="7">
        <v>66</v>
      </c>
      <c r="J967" s="7">
        <v>98</v>
      </c>
      <c r="K967" s="20">
        <v>6230.12</v>
      </c>
      <c r="L967" s="20">
        <v>279.02</v>
      </c>
      <c r="M967" s="7">
        <v>152.66</v>
      </c>
      <c r="N967" s="20">
        <f>Table15[[#This Row],[Processing Fee]]-Table15[[#This Row],[Discount Applied]]</f>
        <v>126.35999999999999</v>
      </c>
      <c r="O967" s="7" t="str">
        <f>IF(Table15[[#This Row],[Revenue]]&gt;35000,"Achieved","Not Achieved")</f>
        <v>Not Achieved</v>
      </c>
      <c r="P967" s="8">
        <v>1</v>
      </c>
      <c r="Q967" s="7" t="str">
        <f>IF(AND(Table15[[#This Row],[CSAT Score]]&lt;=3,Table15[[#This Row],[Revenue]]&gt;=20000),"High-Risk","Stable")</f>
        <v>Stable</v>
      </c>
      <c r="R967" s="8" t="str" cm="1">
        <f t="array" ref="R967">_xlfn.IFS(Table15[[#This Row],[Revenue]]&gt;=35000,"Platinum",Table15[[#This Row],[Revenue]]&gt;=15000,"Gold",TRUE,"Standard")</f>
        <v>Standard</v>
      </c>
      <c r="S967" s="8" t="str">
        <f>IF(OR(Table15[[#This Row],[Product]]="Wealth Management",Table15[[#This Row],[Revenue]]&gt;=40000),"Yes","No")</f>
        <v>No</v>
      </c>
    </row>
    <row r="968" spans="1:19" x14ac:dyDescent="0.3">
      <c r="A968" s="5" t="s">
        <v>1026</v>
      </c>
      <c r="B968" s="6">
        <v>46076</v>
      </c>
      <c r="C968" s="7" t="s">
        <v>33</v>
      </c>
      <c r="D968" s="7" t="s">
        <v>79</v>
      </c>
      <c r="E968" s="7" t="s">
        <v>59</v>
      </c>
      <c r="F968" s="7" t="s">
        <v>69</v>
      </c>
      <c r="G968" s="7" t="s">
        <v>23</v>
      </c>
      <c r="H968" s="7" t="s">
        <v>24</v>
      </c>
      <c r="I968" s="7">
        <v>34</v>
      </c>
      <c r="J968" s="7">
        <v>108</v>
      </c>
      <c r="K968" s="20">
        <v>42287.199999999997</v>
      </c>
      <c r="L968" s="20">
        <v>193.57</v>
      </c>
      <c r="M968" s="7">
        <v>117.29</v>
      </c>
      <c r="N968" s="20">
        <f>Table15[[#This Row],[Processing Fee]]-Table15[[#This Row],[Discount Applied]]</f>
        <v>76.279999999999987</v>
      </c>
      <c r="O968" s="7" t="str">
        <f>IF(Table15[[#This Row],[Revenue]]&gt;35000,"Achieved","Not Achieved")</f>
        <v>Achieved</v>
      </c>
      <c r="P968" s="8">
        <v>5</v>
      </c>
      <c r="Q968" s="7" t="str">
        <f>IF(AND(Table15[[#This Row],[CSAT Score]]&lt;=3,Table15[[#This Row],[Revenue]]&gt;=20000),"High-Risk","Stable")</f>
        <v>Stable</v>
      </c>
      <c r="R968" s="8" t="str" cm="1">
        <f t="array" ref="R968">_xlfn.IFS(Table15[[#This Row],[Revenue]]&gt;=35000,"Platinum",Table15[[#This Row],[Revenue]]&gt;=15000,"Gold",TRUE,"Standard")</f>
        <v>Platinum</v>
      </c>
      <c r="S968" s="8" t="str">
        <f>IF(OR(Table15[[#This Row],[Product]]="Wealth Management",Table15[[#This Row],[Revenue]]&gt;=40000),"Yes","No")</f>
        <v>Yes</v>
      </c>
    </row>
    <row r="969" spans="1:19" x14ac:dyDescent="0.3">
      <c r="A969" s="5" t="s">
        <v>1027</v>
      </c>
      <c r="B969" s="6">
        <v>46138</v>
      </c>
      <c r="C969" s="7" t="s">
        <v>75</v>
      </c>
      <c r="D969" s="7" t="s">
        <v>27</v>
      </c>
      <c r="E969" s="7" t="s">
        <v>59</v>
      </c>
      <c r="F969" s="7" t="s">
        <v>69</v>
      </c>
      <c r="G969" s="7" t="s">
        <v>36</v>
      </c>
      <c r="H969" s="7" t="s">
        <v>53</v>
      </c>
      <c r="I969" s="7">
        <v>74</v>
      </c>
      <c r="J969" s="7">
        <v>26</v>
      </c>
      <c r="K969" s="20">
        <v>7395.47</v>
      </c>
      <c r="L969" s="20">
        <v>486.04</v>
      </c>
      <c r="M969" s="7">
        <v>52.25</v>
      </c>
      <c r="N969" s="20">
        <f>Table15[[#This Row],[Processing Fee]]-Table15[[#This Row],[Discount Applied]]</f>
        <v>433.79</v>
      </c>
      <c r="O969" s="7" t="str">
        <f>IF(Table15[[#This Row],[Revenue]]&gt;35000,"Achieved","Not Achieved")</f>
        <v>Not Achieved</v>
      </c>
      <c r="P969" s="8">
        <v>3</v>
      </c>
      <c r="Q969" s="7" t="str">
        <f>IF(AND(Table15[[#This Row],[CSAT Score]]&lt;=3,Table15[[#This Row],[Revenue]]&gt;=20000),"High-Risk","Stable")</f>
        <v>Stable</v>
      </c>
      <c r="R969" s="8" t="str" cm="1">
        <f t="array" ref="R969">_xlfn.IFS(Table15[[#This Row],[Revenue]]&gt;=35000,"Platinum",Table15[[#This Row],[Revenue]]&gt;=15000,"Gold",TRUE,"Standard")</f>
        <v>Standard</v>
      </c>
      <c r="S969" s="8" t="str">
        <f>IF(OR(Table15[[#This Row],[Product]]="Wealth Management",Table15[[#This Row],[Revenue]]&gt;=40000),"Yes","No")</f>
        <v>No</v>
      </c>
    </row>
    <row r="970" spans="1:19" x14ac:dyDescent="0.3">
      <c r="A970" s="5" t="s">
        <v>1028</v>
      </c>
      <c r="B970" s="6">
        <v>45889</v>
      </c>
      <c r="C970" s="7" t="s">
        <v>75</v>
      </c>
      <c r="D970" s="7" t="s">
        <v>45</v>
      </c>
      <c r="E970" s="7" t="s">
        <v>28</v>
      </c>
      <c r="F970" s="7" t="s">
        <v>22</v>
      </c>
      <c r="G970" s="7" t="s">
        <v>65</v>
      </c>
      <c r="H970" s="7" t="s">
        <v>53</v>
      </c>
      <c r="I970" s="7">
        <v>65</v>
      </c>
      <c r="J970" s="7">
        <v>21</v>
      </c>
      <c r="K970" s="20">
        <v>26251.48</v>
      </c>
      <c r="L970" s="20">
        <v>469.88</v>
      </c>
      <c r="M970" s="7">
        <v>196.38</v>
      </c>
      <c r="N970" s="20">
        <f>Table15[[#This Row],[Processing Fee]]-Table15[[#This Row],[Discount Applied]]</f>
        <v>273.5</v>
      </c>
      <c r="O970" s="7" t="str">
        <f>IF(Table15[[#This Row],[Revenue]]&gt;35000,"Achieved","Not Achieved")</f>
        <v>Not Achieved</v>
      </c>
      <c r="P970" s="8">
        <v>3</v>
      </c>
      <c r="Q970" s="7" t="str">
        <f>IF(AND(Table15[[#This Row],[CSAT Score]]&lt;=3,Table15[[#This Row],[Revenue]]&gt;=20000),"High-Risk","Stable")</f>
        <v>High-Risk</v>
      </c>
      <c r="R970" s="8" t="str" cm="1">
        <f t="array" ref="R970">_xlfn.IFS(Table15[[#This Row],[Revenue]]&gt;=35000,"Platinum",Table15[[#This Row],[Revenue]]&gt;=15000,"Gold",TRUE,"Standard")</f>
        <v>Gold</v>
      </c>
      <c r="S970" s="8" t="str">
        <f>IF(OR(Table15[[#This Row],[Product]]="Wealth Management",Table15[[#This Row],[Revenue]]&gt;=40000),"Yes","No")</f>
        <v>Yes</v>
      </c>
    </row>
    <row r="971" spans="1:19" x14ac:dyDescent="0.3">
      <c r="A971" s="5" t="s">
        <v>1029</v>
      </c>
      <c r="B971" s="6">
        <v>46112</v>
      </c>
      <c r="C971" s="7" t="s">
        <v>42</v>
      </c>
      <c r="D971" s="7" t="s">
        <v>34</v>
      </c>
      <c r="E971" s="7" t="s">
        <v>46</v>
      </c>
      <c r="F971" s="7" t="s">
        <v>22</v>
      </c>
      <c r="G971" s="7" t="s">
        <v>30</v>
      </c>
      <c r="H971" s="7" t="s">
        <v>57</v>
      </c>
      <c r="I971" s="7">
        <v>64</v>
      </c>
      <c r="J971" s="7">
        <v>28</v>
      </c>
      <c r="K971" s="20">
        <v>2337.11</v>
      </c>
      <c r="L971" s="20">
        <v>441.8</v>
      </c>
      <c r="M971" s="7">
        <v>179.58</v>
      </c>
      <c r="N971" s="20">
        <f>Table15[[#This Row],[Processing Fee]]-Table15[[#This Row],[Discount Applied]]</f>
        <v>262.22000000000003</v>
      </c>
      <c r="O971" s="7" t="str">
        <f>IF(Table15[[#This Row],[Revenue]]&gt;35000,"Achieved","Not Achieved")</f>
        <v>Not Achieved</v>
      </c>
      <c r="P971" s="8">
        <v>2</v>
      </c>
      <c r="Q971" s="7" t="str">
        <f>IF(AND(Table15[[#This Row],[CSAT Score]]&lt;=3,Table15[[#This Row],[Revenue]]&gt;=20000),"High-Risk","Stable")</f>
        <v>Stable</v>
      </c>
      <c r="R971" s="8" t="str" cm="1">
        <f t="array" ref="R971">_xlfn.IFS(Table15[[#This Row],[Revenue]]&gt;=35000,"Platinum",Table15[[#This Row],[Revenue]]&gt;=15000,"Gold",TRUE,"Standard")</f>
        <v>Standard</v>
      </c>
      <c r="S971" s="8" t="str">
        <f>IF(OR(Table15[[#This Row],[Product]]="Wealth Management",Table15[[#This Row],[Revenue]]&gt;=40000),"Yes","No")</f>
        <v>Yes</v>
      </c>
    </row>
    <row r="972" spans="1:19" x14ac:dyDescent="0.3">
      <c r="A972" s="5" t="s">
        <v>1030</v>
      </c>
      <c r="B972" s="6">
        <v>45913</v>
      </c>
      <c r="C972" s="7" t="s">
        <v>44</v>
      </c>
      <c r="D972" s="7" t="s">
        <v>87</v>
      </c>
      <c r="E972" s="7" t="s">
        <v>39</v>
      </c>
      <c r="F972" s="7" t="s">
        <v>22</v>
      </c>
      <c r="G972" s="7" t="s">
        <v>56</v>
      </c>
      <c r="H972" s="7" t="s">
        <v>24</v>
      </c>
      <c r="I972" s="7">
        <v>44</v>
      </c>
      <c r="J972" s="7">
        <v>48</v>
      </c>
      <c r="K972" s="20">
        <v>4493.1499999999996</v>
      </c>
      <c r="L972" s="20">
        <v>239.82</v>
      </c>
      <c r="M972" s="7">
        <v>25.7</v>
      </c>
      <c r="N972" s="20">
        <f>Table15[[#This Row],[Processing Fee]]-Table15[[#This Row],[Discount Applied]]</f>
        <v>214.12</v>
      </c>
      <c r="O972" s="7" t="str">
        <f>IF(Table15[[#This Row],[Revenue]]&gt;35000,"Achieved","Not Achieved")</f>
        <v>Not Achieved</v>
      </c>
      <c r="P972" s="8">
        <v>4</v>
      </c>
      <c r="Q972" s="7" t="str">
        <f>IF(AND(Table15[[#This Row],[CSAT Score]]&lt;=3,Table15[[#This Row],[Revenue]]&gt;=20000),"High-Risk","Stable")</f>
        <v>Stable</v>
      </c>
      <c r="R972" s="8" t="str" cm="1">
        <f t="array" ref="R972">_xlfn.IFS(Table15[[#This Row],[Revenue]]&gt;=35000,"Platinum",Table15[[#This Row],[Revenue]]&gt;=15000,"Gold",TRUE,"Standard")</f>
        <v>Standard</v>
      </c>
      <c r="S972" s="8" t="str">
        <f>IF(OR(Table15[[#This Row],[Product]]="Wealth Management",Table15[[#This Row],[Revenue]]&gt;=40000),"Yes","No")</f>
        <v>Yes</v>
      </c>
    </row>
    <row r="973" spans="1:19" x14ac:dyDescent="0.3">
      <c r="A973" s="5" t="s">
        <v>1031</v>
      </c>
      <c r="B973" s="6">
        <v>46096</v>
      </c>
      <c r="C973" s="7" t="s">
        <v>19</v>
      </c>
      <c r="D973" s="7" t="s">
        <v>45</v>
      </c>
      <c r="E973" s="7" t="s">
        <v>59</v>
      </c>
      <c r="F973" s="7" t="s">
        <v>40</v>
      </c>
      <c r="G973" s="7" t="s">
        <v>30</v>
      </c>
      <c r="H973" s="7" t="s">
        <v>53</v>
      </c>
      <c r="I973" s="7">
        <v>61</v>
      </c>
      <c r="J973" s="7">
        <v>100</v>
      </c>
      <c r="K973" s="20">
        <v>33781.24</v>
      </c>
      <c r="L973" s="20">
        <v>361.09</v>
      </c>
      <c r="M973" s="7">
        <v>5.23</v>
      </c>
      <c r="N973" s="20">
        <f>Table15[[#This Row],[Processing Fee]]-Table15[[#This Row],[Discount Applied]]</f>
        <v>355.85999999999996</v>
      </c>
      <c r="O973" s="7" t="str">
        <f>IF(Table15[[#This Row],[Revenue]]&gt;35000,"Achieved","Not Achieved")</f>
        <v>Not Achieved</v>
      </c>
      <c r="P973" s="8">
        <v>5</v>
      </c>
      <c r="Q973" s="7" t="str">
        <f>IF(AND(Table15[[#This Row],[CSAT Score]]&lt;=3,Table15[[#This Row],[Revenue]]&gt;=20000),"High-Risk","Stable")</f>
        <v>Stable</v>
      </c>
      <c r="R973" s="8" t="str" cm="1">
        <f t="array" ref="R973">_xlfn.IFS(Table15[[#This Row],[Revenue]]&gt;=35000,"Platinum",Table15[[#This Row],[Revenue]]&gt;=15000,"Gold",TRUE,"Standard")</f>
        <v>Gold</v>
      </c>
      <c r="S973" s="8" t="str">
        <f>IF(OR(Table15[[#This Row],[Product]]="Wealth Management",Table15[[#This Row],[Revenue]]&gt;=40000),"Yes","No")</f>
        <v>No</v>
      </c>
    </row>
    <row r="974" spans="1:19" x14ac:dyDescent="0.3">
      <c r="A974" s="5" t="s">
        <v>1032</v>
      </c>
      <c r="B974" s="6">
        <v>46223</v>
      </c>
      <c r="C974" s="7" t="s">
        <v>91</v>
      </c>
      <c r="D974" s="7" t="s">
        <v>20</v>
      </c>
      <c r="E974" s="7" t="s">
        <v>28</v>
      </c>
      <c r="F974" s="7" t="s">
        <v>22</v>
      </c>
      <c r="G974" s="7" t="s">
        <v>56</v>
      </c>
      <c r="H974" s="7" t="s">
        <v>31</v>
      </c>
      <c r="I974" s="7">
        <v>21</v>
      </c>
      <c r="J974" s="7">
        <v>40</v>
      </c>
      <c r="K974" s="20">
        <v>34614.480000000003</v>
      </c>
      <c r="L974" s="20">
        <v>456.27</v>
      </c>
      <c r="M974" s="7">
        <v>206.5</v>
      </c>
      <c r="N974" s="20">
        <f>Table15[[#This Row],[Processing Fee]]-Table15[[#This Row],[Discount Applied]]</f>
        <v>249.76999999999998</v>
      </c>
      <c r="O974" s="7" t="str">
        <f>IF(Table15[[#This Row],[Revenue]]&gt;35000,"Achieved","Not Achieved")</f>
        <v>Not Achieved</v>
      </c>
      <c r="P974" s="8">
        <v>4</v>
      </c>
      <c r="Q974" s="7" t="str">
        <f>IF(AND(Table15[[#This Row],[CSAT Score]]&lt;=3,Table15[[#This Row],[Revenue]]&gt;=20000),"High-Risk","Stable")</f>
        <v>Stable</v>
      </c>
      <c r="R974" s="8" t="str" cm="1">
        <f t="array" ref="R974">_xlfn.IFS(Table15[[#This Row],[Revenue]]&gt;=35000,"Platinum",Table15[[#This Row],[Revenue]]&gt;=15000,"Gold",TRUE,"Standard")</f>
        <v>Gold</v>
      </c>
      <c r="S974" s="8" t="str">
        <f>IF(OR(Table15[[#This Row],[Product]]="Wealth Management",Table15[[#This Row],[Revenue]]&gt;=40000),"Yes","No")</f>
        <v>Yes</v>
      </c>
    </row>
    <row r="975" spans="1:19" x14ac:dyDescent="0.3">
      <c r="A975" s="5" t="s">
        <v>1033</v>
      </c>
      <c r="B975" s="6">
        <v>46228</v>
      </c>
      <c r="C975" s="7" t="s">
        <v>42</v>
      </c>
      <c r="D975" s="7" t="s">
        <v>20</v>
      </c>
      <c r="E975" s="7" t="s">
        <v>28</v>
      </c>
      <c r="F975" s="7" t="s">
        <v>40</v>
      </c>
      <c r="G975" s="7" t="s">
        <v>65</v>
      </c>
      <c r="H975" s="7" t="s">
        <v>31</v>
      </c>
      <c r="I975" s="7">
        <v>71</v>
      </c>
      <c r="J975" s="7">
        <v>66</v>
      </c>
      <c r="K975" s="20">
        <v>17402.740000000002</v>
      </c>
      <c r="L975" s="20">
        <v>432.69</v>
      </c>
      <c r="M975" s="7">
        <v>181.24</v>
      </c>
      <c r="N975" s="20">
        <f>Table15[[#This Row],[Processing Fee]]-Table15[[#This Row],[Discount Applied]]</f>
        <v>251.45</v>
      </c>
      <c r="O975" s="7" t="str">
        <f>IF(Table15[[#This Row],[Revenue]]&gt;35000,"Achieved","Not Achieved")</f>
        <v>Not Achieved</v>
      </c>
      <c r="P975" s="8">
        <v>3</v>
      </c>
      <c r="Q975" s="7" t="str">
        <f>IF(AND(Table15[[#This Row],[CSAT Score]]&lt;=3,Table15[[#This Row],[Revenue]]&gt;=20000),"High-Risk","Stable")</f>
        <v>Stable</v>
      </c>
      <c r="R975" s="8" t="str" cm="1">
        <f t="array" ref="R975">_xlfn.IFS(Table15[[#This Row],[Revenue]]&gt;=35000,"Platinum",Table15[[#This Row],[Revenue]]&gt;=15000,"Gold",TRUE,"Standard")</f>
        <v>Gold</v>
      </c>
      <c r="S975" s="8" t="str">
        <f>IF(OR(Table15[[#This Row],[Product]]="Wealth Management",Table15[[#This Row],[Revenue]]&gt;=40000),"Yes","No")</f>
        <v>No</v>
      </c>
    </row>
    <row r="976" spans="1:19" x14ac:dyDescent="0.3">
      <c r="A976" s="5" t="s">
        <v>1034</v>
      </c>
      <c r="B976" s="6">
        <v>46147</v>
      </c>
      <c r="C976" s="7" t="s">
        <v>26</v>
      </c>
      <c r="D976" s="7" t="s">
        <v>79</v>
      </c>
      <c r="E976" s="7" t="s">
        <v>28</v>
      </c>
      <c r="F976" s="7" t="s">
        <v>69</v>
      </c>
      <c r="G976" s="7" t="s">
        <v>23</v>
      </c>
      <c r="H976" s="7" t="s">
        <v>24</v>
      </c>
      <c r="I976" s="7">
        <v>63</v>
      </c>
      <c r="J976" s="7">
        <v>106</v>
      </c>
      <c r="K976" s="20">
        <v>11172.68</v>
      </c>
      <c r="L976" s="20">
        <v>236.45</v>
      </c>
      <c r="M976" s="7">
        <v>187.16</v>
      </c>
      <c r="N976" s="20">
        <f>Table15[[#This Row],[Processing Fee]]-Table15[[#This Row],[Discount Applied]]</f>
        <v>49.289999999999992</v>
      </c>
      <c r="O976" s="7" t="str">
        <f>IF(Table15[[#This Row],[Revenue]]&gt;35000,"Achieved","Not Achieved")</f>
        <v>Not Achieved</v>
      </c>
      <c r="P976" s="8">
        <v>4</v>
      </c>
      <c r="Q976" s="7" t="str">
        <f>IF(AND(Table15[[#This Row],[CSAT Score]]&lt;=3,Table15[[#This Row],[Revenue]]&gt;=20000),"High-Risk","Stable")</f>
        <v>Stable</v>
      </c>
      <c r="R976" s="8" t="str" cm="1">
        <f t="array" ref="R976">_xlfn.IFS(Table15[[#This Row],[Revenue]]&gt;=35000,"Platinum",Table15[[#This Row],[Revenue]]&gt;=15000,"Gold",TRUE,"Standard")</f>
        <v>Standard</v>
      </c>
      <c r="S976" s="8" t="str">
        <f>IF(OR(Table15[[#This Row],[Product]]="Wealth Management",Table15[[#This Row],[Revenue]]&gt;=40000),"Yes","No")</f>
        <v>No</v>
      </c>
    </row>
    <row r="977" spans="1:19" x14ac:dyDescent="0.3">
      <c r="A977" s="5" t="s">
        <v>1035</v>
      </c>
      <c r="B977" s="6">
        <v>46105</v>
      </c>
      <c r="C977" s="7" t="s">
        <v>55</v>
      </c>
      <c r="D977" s="7" t="s">
        <v>38</v>
      </c>
      <c r="E977" s="7" t="s">
        <v>46</v>
      </c>
      <c r="F977" s="7" t="s">
        <v>69</v>
      </c>
      <c r="G977" s="7" t="s">
        <v>30</v>
      </c>
      <c r="H977" s="7" t="s">
        <v>57</v>
      </c>
      <c r="I977" s="7">
        <v>42</v>
      </c>
      <c r="J977" s="7">
        <v>73</v>
      </c>
      <c r="K977" s="20">
        <v>40778.660000000003</v>
      </c>
      <c r="L977" s="20">
        <v>100.57</v>
      </c>
      <c r="M977" s="7">
        <v>46.8</v>
      </c>
      <c r="N977" s="20">
        <f>Table15[[#This Row],[Processing Fee]]-Table15[[#This Row],[Discount Applied]]</f>
        <v>53.769999999999996</v>
      </c>
      <c r="O977" s="7" t="str">
        <f>IF(Table15[[#This Row],[Revenue]]&gt;35000,"Achieved","Not Achieved")</f>
        <v>Achieved</v>
      </c>
      <c r="P977" s="8">
        <v>1</v>
      </c>
      <c r="Q977" s="7" t="str">
        <f>IF(AND(Table15[[#This Row],[CSAT Score]]&lt;=3,Table15[[#This Row],[Revenue]]&gt;=20000),"High-Risk","Stable")</f>
        <v>High-Risk</v>
      </c>
      <c r="R977" s="8" t="str" cm="1">
        <f t="array" ref="R977">_xlfn.IFS(Table15[[#This Row],[Revenue]]&gt;=35000,"Platinum",Table15[[#This Row],[Revenue]]&gt;=15000,"Gold",TRUE,"Standard")</f>
        <v>Platinum</v>
      </c>
      <c r="S977" s="8" t="str">
        <f>IF(OR(Table15[[#This Row],[Product]]="Wealth Management",Table15[[#This Row],[Revenue]]&gt;=40000),"Yes","No")</f>
        <v>Yes</v>
      </c>
    </row>
    <row r="978" spans="1:19" x14ac:dyDescent="0.3">
      <c r="A978" s="5" t="s">
        <v>1036</v>
      </c>
      <c r="B978" s="6">
        <v>46219</v>
      </c>
      <c r="C978" s="7" t="s">
        <v>44</v>
      </c>
      <c r="D978" s="7" t="s">
        <v>68</v>
      </c>
      <c r="E978" s="7" t="s">
        <v>39</v>
      </c>
      <c r="F978" s="7" t="s">
        <v>69</v>
      </c>
      <c r="G978" s="7" t="s">
        <v>30</v>
      </c>
      <c r="H978" s="7" t="s">
        <v>57</v>
      </c>
      <c r="I978" s="7">
        <v>43</v>
      </c>
      <c r="J978" s="7">
        <v>87</v>
      </c>
      <c r="K978" s="20">
        <v>11246.61</v>
      </c>
      <c r="L978" s="20">
        <v>84.03</v>
      </c>
      <c r="M978" s="7">
        <v>16.88</v>
      </c>
      <c r="N978" s="20">
        <f>Table15[[#This Row],[Processing Fee]]-Table15[[#This Row],[Discount Applied]]</f>
        <v>67.150000000000006</v>
      </c>
      <c r="O978" s="7" t="str">
        <f>IF(Table15[[#This Row],[Revenue]]&gt;35000,"Achieved","Not Achieved")</f>
        <v>Not Achieved</v>
      </c>
      <c r="P978" s="8">
        <v>5</v>
      </c>
      <c r="Q978" s="7" t="str">
        <f>IF(AND(Table15[[#This Row],[CSAT Score]]&lt;=3,Table15[[#This Row],[Revenue]]&gt;=20000),"High-Risk","Stable")</f>
        <v>Stable</v>
      </c>
      <c r="R978" s="8" t="str" cm="1">
        <f t="array" ref="R978">_xlfn.IFS(Table15[[#This Row],[Revenue]]&gt;=35000,"Platinum",Table15[[#This Row],[Revenue]]&gt;=15000,"Gold",TRUE,"Standard")</f>
        <v>Standard</v>
      </c>
      <c r="S978" s="8" t="str">
        <f>IF(OR(Table15[[#This Row],[Product]]="Wealth Management",Table15[[#This Row],[Revenue]]&gt;=40000),"Yes","No")</f>
        <v>No</v>
      </c>
    </row>
    <row r="979" spans="1:19" x14ac:dyDescent="0.3">
      <c r="A979" s="5" t="s">
        <v>1037</v>
      </c>
      <c r="B979" s="6">
        <v>46003</v>
      </c>
      <c r="C979" s="7" t="s">
        <v>44</v>
      </c>
      <c r="D979" s="7" t="s">
        <v>38</v>
      </c>
      <c r="E979" s="7" t="s">
        <v>46</v>
      </c>
      <c r="F979" s="7" t="s">
        <v>29</v>
      </c>
      <c r="G979" s="7" t="s">
        <v>30</v>
      </c>
      <c r="H979" s="7" t="s">
        <v>31</v>
      </c>
      <c r="I979" s="7">
        <v>74</v>
      </c>
      <c r="J979" s="7">
        <v>79</v>
      </c>
      <c r="K979" s="20">
        <v>27330.34</v>
      </c>
      <c r="L979" s="20">
        <v>309.68</v>
      </c>
      <c r="M979" s="7">
        <v>77.760000000000005</v>
      </c>
      <c r="N979" s="20">
        <f>Table15[[#This Row],[Processing Fee]]-Table15[[#This Row],[Discount Applied]]</f>
        <v>231.92000000000002</v>
      </c>
      <c r="O979" s="7" t="str">
        <f>IF(Table15[[#This Row],[Revenue]]&gt;35000,"Achieved","Not Achieved")</f>
        <v>Not Achieved</v>
      </c>
      <c r="P979" s="8">
        <v>4</v>
      </c>
      <c r="Q979" s="7" t="str">
        <f>IF(AND(Table15[[#This Row],[CSAT Score]]&lt;=3,Table15[[#This Row],[Revenue]]&gt;=20000),"High-Risk","Stable")</f>
        <v>Stable</v>
      </c>
      <c r="R979" s="8" t="str" cm="1">
        <f t="array" ref="R979">_xlfn.IFS(Table15[[#This Row],[Revenue]]&gt;=35000,"Platinum",Table15[[#This Row],[Revenue]]&gt;=15000,"Gold",TRUE,"Standard")</f>
        <v>Gold</v>
      </c>
      <c r="S979" s="8" t="str">
        <f>IF(OR(Table15[[#This Row],[Product]]="Wealth Management",Table15[[#This Row],[Revenue]]&gt;=40000),"Yes","No")</f>
        <v>No</v>
      </c>
    </row>
    <row r="980" spans="1:19" x14ac:dyDescent="0.3">
      <c r="A980" s="5" t="s">
        <v>1038</v>
      </c>
      <c r="B980" s="6">
        <v>46092</v>
      </c>
      <c r="C980" s="7" t="s">
        <v>44</v>
      </c>
      <c r="D980" s="7" t="s">
        <v>52</v>
      </c>
      <c r="E980" s="7" t="s">
        <v>21</v>
      </c>
      <c r="F980" s="7" t="s">
        <v>29</v>
      </c>
      <c r="G980" s="7" t="s">
        <v>56</v>
      </c>
      <c r="H980" s="7" t="s">
        <v>57</v>
      </c>
      <c r="I980" s="7">
        <v>39</v>
      </c>
      <c r="J980" s="7">
        <v>77</v>
      </c>
      <c r="K980" s="20">
        <v>48426.34</v>
      </c>
      <c r="L980" s="20">
        <v>339.18</v>
      </c>
      <c r="M980" s="7">
        <v>3.79</v>
      </c>
      <c r="N980" s="20">
        <f>Table15[[#This Row],[Processing Fee]]-Table15[[#This Row],[Discount Applied]]</f>
        <v>335.39</v>
      </c>
      <c r="O980" s="7" t="str">
        <f>IF(Table15[[#This Row],[Revenue]]&gt;35000,"Achieved","Not Achieved")</f>
        <v>Achieved</v>
      </c>
      <c r="P980" s="8">
        <v>1</v>
      </c>
      <c r="Q980" s="7" t="str">
        <f>IF(AND(Table15[[#This Row],[CSAT Score]]&lt;=3,Table15[[#This Row],[Revenue]]&gt;=20000),"High-Risk","Stable")</f>
        <v>High-Risk</v>
      </c>
      <c r="R980" s="8" t="str" cm="1">
        <f t="array" ref="R980">_xlfn.IFS(Table15[[#This Row],[Revenue]]&gt;=35000,"Platinum",Table15[[#This Row],[Revenue]]&gt;=15000,"Gold",TRUE,"Standard")</f>
        <v>Platinum</v>
      </c>
      <c r="S980" s="8" t="str">
        <f>IF(OR(Table15[[#This Row],[Product]]="Wealth Management",Table15[[#This Row],[Revenue]]&gt;=40000),"Yes","No")</f>
        <v>Yes</v>
      </c>
    </row>
    <row r="981" spans="1:19" x14ac:dyDescent="0.3">
      <c r="A981" s="5" t="s">
        <v>1039</v>
      </c>
      <c r="B981" s="6">
        <v>45973</v>
      </c>
      <c r="C981" s="7" t="s">
        <v>75</v>
      </c>
      <c r="D981" s="7" t="s">
        <v>27</v>
      </c>
      <c r="E981" s="7" t="s">
        <v>28</v>
      </c>
      <c r="F981" s="7" t="s">
        <v>35</v>
      </c>
      <c r="G981" s="7" t="s">
        <v>65</v>
      </c>
      <c r="H981" s="7" t="s">
        <v>24</v>
      </c>
      <c r="I981" s="7">
        <v>38</v>
      </c>
      <c r="J981" s="7">
        <v>23</v>
      </c>
      <c r="K981" s="20">
        <v>7818.7</v>
      </c>
      <c r="L981" s="20">
        <v>432.43</v>
      </c>
      <c r="M981" s="7">
        <v>7.18</v>
      </c>
      <c r="N981" s="20">
        <f>Table15[[#This Row],[Processing Fee]]-Table15[[#This Row],[Discount Applied]]</f>
        <v>425.25</v>
      </c>
      <c r="O981" s="7" t="str">
        <f>IF(Table15[[#This Row],[Revenue]]&gt;35000,"Achieved","Not Achieved")</f>
        <v>Not Achieved</v>
      </c>
      <c r="P981" s="8">
        <v>2</v>
      </c>
      <c r="Q981" s="7" t="str">
        <f>IF(AND(Table15[[#This Row],[CSAT Score]]&lt;=3,Table15[[#This Row],[Revenue]]&gt;=20000),"High-Risk","Stable")</f>
        <v>Stable</v>
      </c>
      <c r="R981" s="8" t="str" cm="1">
        <f t="array" ref="R981">_xlfn.IFS(Table15[[#This Row],[Revenue]]&gt;=35000,"Platinum",Table15[[#This Row],[Revenue]]&gt;=15000,"Gold",TRUE,"Standard")</f>
        <v>Standard</v>
      </c>
      <c r="S981" s="8" t="str">
        <f>IF(OR(Table15[[#This Row],[Product]]="Wealth Management",Table15[[#This Row],[Revenue]]&gt;=40000),"Yes","No")</f>
        <v>No</v>
      </c>
    </row>
    <row r="982" spans="1:19" x14ac:dyDescent="0.3">
      <c r="A982" s="5" t="s">
        <v>1040</v>
      </c>
      <c r="B982" s="6">
        <v>45957</v>
      </c>
      <c r="C982" s="7" t="s">
        <v>26</v>
      </c>
      <c r="D982" s="7" t="s">
        <v>83</v>
      </c>
      <c r="E982" s="7" t="s">
        <v>21</v>
      </c>
      <c r="F982" s="7" t="s">
        <v>35</v>
      </c>
      <c r="G982" s="7" t="s">
        <v>30</v>
      </c>
      <c r="H982" s="7" t="s">
        <v>31</v>
      </c>
      <c r="I982" s="7">
        <v>32</v>
      </c>
      <c r="J982" s="7">
        <v>81</v>
      </c>
      <c r="K982" s="20">
        <v>47073.38</v>
      </c>
      <c r="L982" s="20">
        <v>181.63</v>
      </c>
      <c r="M982" s="7">
        <v>274.45999999999998</v>
      </c>
      <c r="N982" s="20">
        <f>Table15[[#This Row],[Processing Fee]]-Table15[[#This Row],[Discount Applied]]</f>
        <v>-92.829999999999984</v>
      </c>
      <c r="O982" s="7" t="str">
        <f>IF(Table15[[#This Row],[Revenue]]&gt;35000,"Achieved","Not Achieved")</f>
        <v>Achieved</v>
      </c>
      <c r="P982" s="8">
        <v>4</v>
      </c>
      <c r="Q982" s="7" t="str">
        <f>IF(AND(Table15[[#This Row],[CSAT Score]]&lt;=3,Table15[[#This Row],[Revenue]]&gt;=20000),"High-Risk","Stable")</f>
        <v>Stable</v>
      </c>
      <c r="R982" s="8" t="str" cm="1">
        <f t="array" ref="R982">_xlfn.IFS(Table15[[#This Row],[Revenue]]&gt;=35000,"Platinum",Table15[[#This Row],[Revenue]]&gt;=15000,"Gold",TRUE,"Standard")</f>
        <v>Platinum</v>
      </c>
      <c r="S982" s="8" t="str">
        <f>IF(OR(Table15[[#This Row],[Product]]="Wealth Management",Table15[[#This Row],[Revenue]]&gt;=40000),"Yes","No")</f>
        <v>Yes</v>
      </c>
    </row>
    <row r="983" spans="1:19" x14ac:dyDescent="0.3">
      <c r="A983" s="5" t="s">
        <v>1041</v>
      </c>
      <c r="B983" s="6">
        <v>46086</v>
      </c>
      <c r="C983" s="7" t="s">
        <v>44</v>
      </c>
      <c r="D983" s="7" t="s">
        <v>77</v>
      </c>
      <c r="E983" s="7" t="s">
        <v>59</v>
      </c>
      <c r="F983" s="7" t="s">
        <v>35</v>
      </c>
      <c r="G983" s="7" t="s">
        <v>30</v>
      </c>
      <c r="H983" s="7" t="s">
        <v>53</v>
      </c>
      <c r="I983" s="7">
        <v>48</v>
      </c>
      <c r="J983" s="7">
        <v>48</v>
      </c>
      <c r="K983" s="20">
        <v>9553.2099999999991</v>
      </c>
      <c r="L983" s="20">
        <v>125.36</v>
      </c>
      <c r="M983" s="7">
        <v>70.400000000000006</v>
      </c>
      <c r="N983" s="20">
        <f>Table15[[#This Row],[Processing Fee]]-Table15[[#This Row],[Discount Applied]]</f>
        <v>54.959999999999994</v>
      </c>
      <c r="O983" s="7" t="str">
        <f>IF(Table15[[#This Row],[Revenue]]&gt;35000,"Achieved","Not Achieved")</f>
        <v>Not Achieved</v>
      </c>
      <c r="P983" s="8">
        <v>5</v>
      </c>
      <c r="Q983" s="7" t="str">
        <f>IF(AND(Table15[[#This Row],[CSAT Score]]&lt;=3,Table15[[#This Row],[Revenue]]&gt;=20000),"High-Risk","Stable")</f>
        <v>Stable</v>
      </c>
      <c r="R983" s="8" t="str" cm="1">
        <f t="array" ref="R983">_xlfn.IFS(Table15[[#This Row],[Revenue]]&gt;=35000,"Platinum",Table15[[#This Row],[Revenue]]&gt;=15000,"Gold",TRUE,"Standard")</f>
        <v>Standard</v>
      </c>
      <c r="S983" s="8" t="str">
        <f>IF(OR(Table15[[#This Row],[Product]]="Wealth Management",Table15[[#This Row],[Revenue]]&gt;=40000),"Yes","No")</f>
        <v>No</v>
      </c>
    </row>
    <row r="984" spans="1:19" x14ac:dyDescent="0.3">
      <c r="A984" s="5" t="s">
        <v>1042</v>
      </c>
      <c r="B984" s="6">
        <v>45968</v>
      </c>
      <c r="C984" s="7" t="s">
        <v>26</v>
      </c>
      <c r="D984" s="7" t="s">
        <v>38</v>
      </c>
      <c r="E984" s="7" t="s">
        <v>59</v>
      </c>
      <c r="F984" s="7" t="s">
        <v>29</v>
      </c>
      <c r="G984" s="7" t="s">
        <v>23</v>
      </c>
      <c r="H984" s="7" t="s">
        <v>53</v>
      </c>
      <c r="I984" s="7">
        <v>48</v>
      </c>
      <c r="J984" s="7">
        <v>2</v>
      </c>
      <c r="K984" s="20">
        <v>28588.44</v>
      </c>
      <c r="L984" s="20">
        <v>220.55</v>
      </c>
      <c r="M984" s="7">
        <v>82.16</v>
      </c>
      <c r="N984" s="20">
        <f>Table15[[#This Row],[Processing Fee]]-Table15[[#This Row],[Discount Applied]]</f>
        <v>138.39000000000001</v>
      </c>
      <c r="O984" s="7" t="str">
        <f>IF(Table15[[#This Row],[Revenue]]&gt;35000,"Achieved","Not Achieved")</f>
        <v>Not Achieved</v>
      </c>
      <c r="P984" s="8">
        <v>1</v>
      </c>
      <c r="Q984" s="7" t="str">
        <f>IF(AND(Table15[[#This Row],[CSAT Score]]&lt;=3,Table15[[#This Row],[Revenue]]&gt;=20000),"High-Risk","Stable")</f>
        <v>High-Risk</v>
      </c>
      <c r="R984" s="8" t="str" cm="1">
        <f t="array" ref="R984">_xlfn.IFS(Table15[[#This Row],[Revenue]]&gt;=35000,"Platinum",Table15[[#This Row],[Revenue]]&gt;=15000,"Gold",TRUE,"Standard")</f>
        <v>Gold</v>
      </c>
      <c r="S984" s="8" t="str">
        <f>IF(OR(Table15[[#This Row],[Product]]="Wealth Management",Table15[[#This Row],[Revenue]]&gt;=40000),"Yes","No")</f>
        <v>No</v>
      </c>
    </row>
    <row r="985" spans="1:19" x14ac:dyDescent="0.3">
      <c r="A985" s="5" t="s">
        <v>1043</v>
      </c>
      <c r="B985" s="6">
        <v>46055</v>
      </c>
      <c r="C985" s="7" t="s">
        <v>33</v>
      </c>
      <c r="D985" s="7" t="s">
        <v>50</v>
      </c>
      <c r="E985" s="7" t="s">
        <v>46</v>
      </c>
      <c r="F985" s="7" t="s">
        <v>29</v>
      </c>
      <c r="G985" s="7" t="s">
        <v>23</v>
      </c>
      <c r="H985" s="7" t="s">
        <v>57</v>
      </c>
      <c r="I985" s="7">
        <v>53</v>
      </c>
      <c r="J985" s="7">
        <v>84</v>
      </c>
      <c r="K985" s="20">
        <v>19161.88</v>
      </c>
      <c r="L985" s="20">
        <v>209.11</v>
      </c>
      <c r="M985" s="7">
        <v>3.67</v>
      </c>
      <c r="N985" s="20">
        <f>Table15[[#This Row],[Processing Fee]]-Table15[[#This Row],[Discount Applied]]</f>
        <v>205.44000000000003</v>
      </c>
      <c r="O985" s="7" t="str">
        <f>IF(Table15[[#This Row],[Revenue]]&gt;35000,"Achieved","Not Achieved")</f>
        <v>Not Achieved</v>
      </c>
      <c r="P985" s="8">
        <v>4</v>
      </c>
      <c r="Q985" s="7" t="str">
        <f>IF(AND(Table15[[#This Row],[CSAT Score]]&lt;=3,Table15[[#This Row],[Revenue]]&gt;=20000),"High-Risk","Stable")</f>
        <v>Stable</v>
      </c>
      <c r="R985" s="8" t="str" cm="1">
        <f t="array" ref="R985">_xlfn.IFS(Table15[[#This Row],[Revenue]]&gt;=35000,"Platinum",Table15[[#This Row],[Revenue]]&gt;=15000,"Gold",TRUE,"Standard")</f>
        <v>Gold</v>
      </c>
      <c r="S985" s="8" t="str">
        <f>IF(OR(Table15[[#This Row],[Product]]="Wealth Management",Table15[[#This Row],[Revenue]]&gt;=40000),"Yes","No")</f>
        <v>No</v>
      </c>
    </row>
    <row r="986" spans="1:19" x14ac:dyDescent="0.3">
      <c r="A986" s="5" t="s">
        <v>1044</v>
      </c>
      <c r="B986" s="6">
        <v>46235</v>
      </c>
      <c r="C986" s="7" t="s">
        <v>44</v>
      </c>
      <c r="D986" s="7" t="s">
        <v>77</v>
      </c>
      <c r="E986" s="7" t="s">
        <v>39</v>
      </c>
      <c r="F986" s="7" t="s">
        <v>35</v>
      </c>
      <c r="G986" s="7" t="s">
        <v>65</v>
      </c>
      <c r="H986" s="7" t="s">
        <v>31</v>
      </c>
      <c r="I986" s="7">
        <v>39</v>
      </c>
      <c r="J986" s="7">
        <v>20</v>
      </c>
      <c r="K986" s="20">
        <v>48263.97</v>
      </c>
      <c r="L986" s="20">
        <v>109.61</v>
      </c>
      <c r="M986" s="7">
        <v>81.150000000000006</v>
      </c>
      <c r="N986" s="20">
        <f>Table15[[#This Row],[Processing Fee]]-Table15[[#This Row],[Discount Applied]]</f>
        <v>28.459999999999994</v>
      </c>
      <c r="O986" s="7" t="str">
        <f>IF(Table15[[#This Row],[Revenue]]&gt;35000,"Achieved","Not Achieved")</f>
        <v>Achieved</v>
      </c>
      <c r="P986" s="8">
        <v>2</v>
      </c>
      <c r="Q986" s="7" t="str">
        <f>IF(AND(Table15[[#This Row],[CSAT Score]]&lt;=3,Table15[[#This Row],[Revenue]]&gt;=20000),"High-Risk","Stable")</f>
        <v>High-Risk</v>
      </c>
      <c r="R986" s="8" t="str" cm="1">
        <f t="array" ref="R986">_xlfn.IFS(Table15[[#This Row],[Revenue]]&gt;=35000,"Platinum",Table15[[#This Row],[Revenue]]&gt;=15000,"Gold",TRUE,"Standard")</f>
        <v>Platinum</v>
      </c>
      <c r="S986" s="8" t="str">
        <f>IF(OR(Table15[[#This Row],[Product]]="Wealth Management",Table15[[#This Row],[Revenue]]&gt;=40000),"Yes","No")</f>
        <v>Yes</v>
      </c>
    </row>
    <row r="987" spans="1:19" x14ac:dyDescent="0.3">
      <c r="A987" s="5" t="s">
        <v>1045</v>
      </c>
      <c r="B987" s="6">
        <v>46187</v>
      </c>
      <c r="C987" s="7" t="s">
        <v>55</v>
      </c>
      <c r="D987" s="7" t="s">
        <v>27</v>
      </c>
      <c r="E987" s="7" t="s">
        <v>21</v>
      </c>
      <c r="F987" s="7" t="s">
        <v>35</v>
      </c>
      <c r="G987" s="7" t="s">
        <v>65</v>
      </c>
      <c r="H987" s="7" t="s">
        <v>31</v>
      </c>
      <c r="I987" s="7">
        <v>48</v>
      </c>
      <c r="J987" s="7">
        <v>59</v>
      </c>
      <c r="K987" s="20">
        <v>14040.33</v>
      </c>
      <c r="L987" s="20">
        <v>352.53</v>
      </c>
      <c r="M987" s="7">
        <v>241.42</v>
      </c>
      <c r="N987" s="20">
        <f>Table15[[#This Row],[Processing Fee]]-Table15[[#This Row],[Discount Applied]]</f>
        <v>111.10999999999999</v>
      </c>
      <c r="O987" s="7" t="str">
        <f>IF(Table15[[#This Row],[Revenue]]&gt;35000,"Achieved","Not Achieved")</f>
        <v>Not Achieved</v>
      </c>
      <c r="P987" s="8">
        <v>4</v>
      </c>
      <c r="Q987" s="7" t="str">
        <f>IF(AND(Table15[[#This Row],[CSAT Score]]&lt;=3,Table15[[#This Row],[Revenue]]&gt;=20000),"High-Risk","Stable")</f>
        <v>Stable</v>
      </c>
      <c r="R987" s="8" t="str" cm="1">
        <f t="array" ref="R987">_xlfn.IFS(Table15[[#This Row],[Revenue]]&gt;=35000,"Platinum",Table15[[#This Row],[Revenue]]&gt;=15000,"Gold",TRUE,"Standard")</f>
        <v>Standard</v>
      </c>
      <c r="S987" s="8" t="str">
        <f>IF(OR(Table15[[#This Row],[Product]]="Wealth Management",Table15[[#This Row],[Revenue]]&gt;=40000),"Yes","No")</f>
        <v>No</v>
      </c>
    </row>
    <row r="988" spans="1:19" x14ac:dyDescent="0.3">
      <c r="A988" s="5" t="s">
        <v>1046</v>
      </c>
      <c r="B988" s="6">
        <v>45926</v>
      </c>
      <c r="C988" s="7" t="s">
        <v>26</v>
      </c>
      <c r="D988" s="7" t="s">
        <v>77</v>
      </c>
      <c r="E988" s="7" t="s">
        <v>39</v>
      </c>
      <c r="F988" s="7" t="s">
        <v>22</v>
      </c>
      <c r="G988" s="7" t="s">
        <v>36</v>
      </c>
      <c r="H988" s="7" t="s">
        <v>53</v>
      </c>
      <c r="I988" s="7">
        <v>72</v>
      </c>
      <c r="J988" s="7">
        <v>46</v>
      </c>
      <c r="K988" s="20">
        <v>20283.07</v>
      </c>
      <c r="L988" s="20">
        <v>278.91000000000003</v>
      </c>
      <c r="M988" s="7">
        <v>123.1</v>
      </c>
      <c r="N988" s="20">
        <f>Table15[[#This Row],[Processing Fee]]-Table15[[#This Row],[Discount Applied]]</f>
        <v>155.81000000000003</v>
      </c>
      <c r="O988" s="7" t="str">
        <f>IF(Table15[[#This Row],[Revenue]]&gt;35000,"Achieved","Not Achieved")</f>
        <v>Not Achieved</v>
      </c>
      <c r="P988" s="8">
        <v>1</v>
      </c>
      <c r="Q988" s="7" t="str">
        <f>IF(AND(Table15[[#This Row],[CSAT Score]]&lt;=3,Table15[[#This Row],[Revenue]]&gt;=20000),"High-Risk","Stable")</f>
        <v>High-Risk</v>
      </c>
      <c r="R988" s="8" t="str" cm="1">
        <f t="array" ref="R988">_xlfn.IFS(Table15[[#This Row],[Revenue]]&gt;=35000,"Platinum",Table15[[#This Row],[Revenue]]&gt;=15000,"Gold",TRUE,"Standard")</f>
        <v>Gold</v>
      </c>
      <c r="S988" s="8" t="str">
        <f>IF(OR(Table15[[#This Row],[Product]]="Wealth Management",Table15[[#This Row],[Revenue]]&gt;=40000),"Yes","No")</f>
        <v>Yes</v>
      </c>
    </row>
    <row r="989" spans="1:19" x14ac:dyDescent="0.3">
      <c r="A989" s="5" t="s">
        <v>1047</v>
      </c>
      <c r="B989" s="6">
        <v>46097</v>
      </c>
      <c r="C989" s="7" t="s">
        <v>26</v>
      </c>
      <c r="D989" s="7" t="s">
        <v>87</v>
      </c>
      <c r="E989" s="7" t="s">
        <v>46</v>
      </c>
      <c r="F989" s="7" t="s">
        <v>35</v>
      </c>
      <c r="G989" s="7" t="s">
        <v>23</v>
      </c>
      <c r="H989" s="7" t="s">
        <v>31</v>
      </c>
      <c r="I989" s="7">
        <v>69</v>
      </c>
      <c r="J989" s="7">
        <v>3</v>
      </c>
      <c r="K989" s="20">
        <v>49151.58</v>
      </c>
      <c r="L989" s="20">
        <v>374.51</v>
      </c>
      <c r="M989" s="7">
        <v>226.14</v>
      </c>
      <c r="N989" s="20">
        <f>Table15[[#This Row],[Processing Fee]]-Table15[[#This Row],[Discount Applied]]</f>
        <v>148.37</v>
      </c>
      <c r="O989" s="7" t="str">
        <f>IF(Table15[[#This Row],[Revenue]]&gt;35000,"Achieved","Not Achieved")</f>
        <v>Achieved</v>
      </c>
      <c r="P989" s="8">
        <v>4</v>
      </c>
      <c r="Q989" s="7" t="str">
        <f>IF(AND(Table15[[#This Row],[CSAT Score]]&lt;=3,Table15[[#This Row],[Revenue]]&gt;=20000),"High-Risk","Stable")</f>
        <v>Stable</v>
      </c>
      <c r="R989" s="8" t="str" cm="1">
        <f t="array" ref="R989">_xlfn.IFS(Table15[[#This Row],[Revenue]]&gt;=35000,"Platinum",Table15[[#This Row],[Revenue]]&gt;=15000,"Gold",TRUE,"Standard")</f>
        <v>Platinum</v>
      </c>
      <c r="S989" s="8" t="str">
        <f>IF(OR(Table15[[#This Row],[Product]]="Wealth Management",Table15[[#This Row],[Revenue]]&gt;=40000),"Yes","No")</f>
        <v>Yes</v>
      </c>
    </row>
    <row r="990" spans="1:19" x14ac:dyDescent="0.3">
      <c r="A990" s="5" t="s">
        <v>1048</v>
      </c>
      <c r="B990" s="6">
        <v>46058</v>
      </c>
      <c r="C990" s="7" t="s">
        <v>55</v>
      </c>
      <c r="D990" s="7" t="s">
        <v>34</v>
      </c>
      <c r="E990" s="7" t="s">
        <v>59</v>
      </c>
      <c r="F990" s="7" t="s">
        <v>22</v>
      </c>
      <c r="G990" s="7" t="s">
        <v>36</v>
      </c>
      <c r="H990" s="7" t="s">
        <v>31</v>
      </c>
      <c r="I990" s="7">
        <v>57</v>
      </c>
      <c r="J990" s="7">
        <v>55</v>
      </c>
      <c r="K990" s="20">
        <v>27055.279999999999</v>
      </c>
      <c r="L990" s="20">
        <v>208.71</v>
      </c>
      <c r="M990" s="7">
        <v>134.16</v>
      </c>
      <c r="N990" s="20">
        <f>Table15[[#This Row],[Processing Fee]]-Table15[[#This Row],[Discount Applied]]</f>
        <v>74.550000000000011</v>
      </c>
      <c r="O990" s="7" t="str">
        <f>IF(Table15[[#This Row],[Revenue]]&gt;35000,"Achieved","Not Achieved")</f>
        <v>Not Achieved</v>
      </c>
      <c r="P990" s="8">
        <v>5</v>
      </c>
      <c r="Q990" s="7" t="str">
        <f>IF(AND(Table15[[#This Row],[CSAT Score]]&lt;=3,Table15[[#This Row],[Revenue]]&gt;=20000),"High-Risk","Stable")</f>
        <v>Stable</v>
      </c>
      <c r="R990" s="8" t="str" cm="1">
        <f t="array" ref="R990">_xlfn.IFS(Table15[[#This Row],[Revenue]]&gt;=35000,"Platinum",Table15[[#This Row],[Revenue]]&gt;=15000,"Gold",TRUE,"Standard")</f>
        <v>Gold</v>
      </c>
      <c r="S990" s="8" t="str">
        <f>IF(OR(Table15[[#This Row],[Product]]="Wealth Management",Table15[[#This Row],[Revenue]]&gt;=40000),"Yes","No")</f>
        <v>Yes</v>
      </c>
    </row>
    <row r="991" spans="1:19" x14ac:dyDescent="0.3">
      <c r="A991" s="5" t="s">
        <v>1049</v>
      </c>
      <c r="B991" s="6">
        <v>45970</v>
      </c>
      <c r="C991" s="7" t="s">
        <v>44</v>
      </c>
      <c r="D991" s="7" t="s">
        <v>87</v>
      </c>
      <c r="E991" s="7" t="s">
        <v>39</v>
      </c>
      <c r="F991" s="7" t="s">
        <v>40</v>
      </c>
      <c r="G991" s="7" t="s">
        <v>56</v>
      </c>
      <c r="H991" s="7" t="s">
        <v>31</v>
      </c>
      <c r="I991" s="7">
        <v>46</v>
      </c>
      <c r="J991" s="7">
        <v>12</v>
      </c>
      <c r="K991" s="20">
        <v>25380.19</v>
      </c>
      <c r="L991" s="20">
        <v>196.57</v>
      </c>
      <c r="M991" s="7">
        <v>92.93</v>
      </c>
      <c r="N991" s="20">
        <f>Table15[[#This Row],[Processing Fee]]-Table15[[#This Row],[Discount Applied]]</f>
        <v>103.63999999999999</v>
      </c>
      <c r="O991" s="7" t="str">
        <f>IF(Table15[[#This Row],[Revenue]]&gt;35000,"Achieved","Not Achieved")</f>
        <v>Not Achieved</v>
      </c>
      <c r="P991" s="8">
        <v>3</v>
      </c>
      <c r="Q991" s="7" t="str">
        <f>IF(AND(Table15[[#This Row],[CSAT Score]]&lt;=3,Table15[[#This Row],[Revenue]]&gt;=20000),"High-Risk","Stable")</f>
        <v>High-Risk</v>
      </c>
      <c r="R991" s="8" t="str" cm="1">
        <f t="array" ref="R991">_xlfn.IFS(Table15[[#This Row],[Revenue]]&gt;=35000,"Platinum",Table15[[#This Row],[Revenue]]&gt;=15000,"Gold",TRUE,"Standard")</f>
        <v>Gold</v>
      </c>
      <c r="S991" s="8" t="str">
        <f>IF(OR(Table15[[#This Row],[Product]]="Wealth Management",Table15[[#This Row],[Revenue]]&gt;=40000),"Yes","No")</f>
        <v>No</v>
      </c>
    </row>
    <row r="992" spans="1:19" x14ac:dyDescent="0.3">
      <c r="A992" s="5" t="s">
        <v>1050</v>
      </c>
      <c r="B992" s="6">
        <v>45930</v>
      </c>
      <c r="C992" s="7" t="s">
        <v>55</v>
      </c>
      <c r="D992" s="7" t="s">
        <v>77</v>
      </c>
      <c r="E992" s="7" t="s">
        <v>39</v>
      </c>
      <c r="F992" s="7" t="s">
        <v>29</v>
      </c>
      <c r="G992" s="7" t="s">
        <v>36</v>
      </c>
      <c r="H992" s="7" t="s">
        <v>57</v>
      </c>
      <c r="I992" s="7">
        <v>55</v>
      </c>
      <c r="J992" s="7">
        <v>40</v>
      </c>
      <c r="K992" s="20">
        <v>13260.04</v>
      </c>
      <c r="L992" s="20">
        <v>262.66000000000003</v>
      </c>
      <c r="M992" s="7">
        <v>96.56</v>
      </c>
      <c r="N992" s="20">
        <f>Table15[[#This Row],[Processing Fee]]-Table15[[#This Row],[Discount Applied]]</f>
        <v>166.10000000000002</v>
      </c>
      <c r="O992" s="7" t="str">
        <f>IF(Table15[[#This Row],[Revenue]]&gt;35000,"Achieved","Not Achieved")</f>
        <v>Not Achieved</v>
      </c>
      <c r="P992" s="8">
        <v>1</v>
      </c>
      <c r="Q992" s="7" t="str">
        <f>IF(AND(Table15[[#This Row],[CSAT Score]]&lt;=3,Table15[[#This Row],[Revenue]]&gt;=20000),"High-Risk","Stable")</f>
        <v>Stable</v>
      </c>
      <c r="R992" s="8" t="str" cm="1">
        <f t="array" ref="R992">_xlfn.IFS(Table15[[#This Row],[Revenue]]&gt;=35000,"Platinum",Table15[[#This Row],[Revenue]]&gt;=15000,"Gold",TRUE,"Standard")</f>
        <v>Standard</v>
      </c>
      <c r="S992" s="8" t="str">
        <f>IF(OR(Table15[[#This Row],[Product]]="Wealth Management",Table15[[#This Row],[Revenue]]&gt;=40000),"Yes","No")</f>
        <v>No</v>
      </c>
    </row>
    <row r="993" spans="1:19" x14ac:dyDescent="0.3">
      <c r="A993" s="5" t="s">
        <v>1051</v>
      </c>
      <c r="B993" s="6">
        <v>46049</v>
      </c>
      <c r="C993" s="7" t="s">
        <v>26</v>
      </c>
      <c r="D993" s="7" t="s">
        <v>45</v>
      </c>
      <c r="E993" s="7" t="s">
        <v>59</v>
      </c>
      <c r="F993" s="7" t="s">
        <v>35</v>
      </c>
      <c r="G993" s="7" t="s">
        <v>30</v>
      </c>
      <c r="H993" s="7" t="s">
        <v>31</v>
      </c>
      <c r="I993" s="7">
        <v>54</v>
      </c>
      <c r="J993" s="7">
        <v>66</v>
      </c>
      <c r="K993" s="20">
        <v>35217.5</v>
      </c>
      <c r="L993" s="20">
        <v>444.83</v>
      </c>
      <c r="M993" s="7">
        <v>96.92</v>
      </c>
      <c r="N993" s="20">
        <f>Table15[[#This Row],[Processing Fee]]-Table15[[#This Row],[Discount Applied]]</f>
        <v>347.90999999999997</v>
      </c>
      <c r="O993" s="7" t="str">
        <f>IF(Table15[[#This Row],[Revenue]]&gt;35000,"Achieved","Not Achieved")</f>
        <v>Achieved</v>
      </c>
      <c r="P993" s="8">
        <v>1</v>
      </c>
      <c r="Q993" s="7" t="str">
        <f>IF(AND(Table15[[#This Row],[CSAT Score]]&lt;=3,Table15[[#This Row],[Revenue]]&gt;=20000),"High-Risk","Stable")</f>
        <v>High-Risk</v>
      </c>
      <c r="R993" s="8" t="str" cm="1">
        <f t="array" ref="R993">_xlfn.IFS(Table15[[#This Row],[Revenue]]&gt;=35000,"Platinum",Table15[[#This Row],[Revenue]]&gt;=15000,"Gold",TRUE,"Standard")</f>
        <v>Platinum</v>
      </c>
      <c r="S993" s="8" t="str">
        <f>IF(OR(Table15[[#This Row],[Product]]="Wealth Management",Table15[[#This Row],[Revenue]]&gt;=40000),"Yes","No")</f>
        <v>No</v>
      </c>
    </row>
    <row r="994" spans="1:19" x14ac:dyDescent="0.3">
      <c r="A994" s="5" t="s">
        <v>1052</v>
      </c>
      <c r="B994" s="6">
        <v>46193</v>
      </c>
      <c r="C994" s="7" t="s">
        <v>55</v>
      </c>
      <c r="D994" s="7" t="s">
        <v>20</v>
      </c>
      <c r="E994" s="7" t="s">
        <v>21</v>
      </c>
      <c r="F994" s="7" t="s">
        <v>29</v>
      </c>
      <c r="G994" s="7" t="s">
        <v>36</v>
      </c>
      <c r="H994" s="7" t="s">
        <v>24</v>
      </c>
      <c r="I994" s="7">
        <v>55</v>
      </c>
      <c r="J994" s="7">
        <v>100</v>
      </c>
      <c r="K994" s="20">
        <v>1211.46</v>
      </c>
      <c r="L994" s="20">
        <v>68.13</v>
      </c>
      <c r="M994" s="7">
        <v>167.79</v>
      </c>
      <c r="N994" s="20">
        <f>Table15[[#This Row],[Processing Fee]]-Table15[[#This Row],[Discount Applied]]</f>
        <v>-99.66</v>
      </c>
      <c r="O994" s="7" t="str">
        <f>IF(Table15[[#This Row],[Revenue]]&gt;35000,"Achieved","Not Achieved")</f>
        <v>Not Achieved</v>
      </c>
      <c r="P994" s="8">
        <v>1</v>
      </c>
      <c r="Q994" s="7" t="str">
        <f>IF(AND(Table15[[#This Row],[CSAT Score]]&lt;=3,Table15[[#This Row],[Revenue]]&gt;=20000),"High-Risk","Stable")</f>
        <v>Stable</v>
      </c>
      <c r="R994" s="8" t="str" cm="1">
        <f t="array" ref="R994">_xlfn.IFS(Table15[[#This Row],[Revenue]]&gt;=35000,"Platinum",Table15[[#This Row],[Revenue]]&gt;=15000,"Gold",TRUE,"Standard")</f>
        <v>Standard</v>
      </c>
      <c r="S994" s="8" t="str">
        <f>IF(OR(Table15[[#This Row],[Product]]="Wealth Management",Table15[[#This Row],[Revenue]]&gt;=40000),"Yes","No")</f>
        <v>No</v>
      </c>
    </row>
    <row r="995" spans="1:19" x14ac:dyDescent="0.3">
      <c r="A995" s="5" t="s">
        <v>1053</v>
      </c>
      <c r="B995" s="6">
        <v>46139</v>
      </c>
      <c r="C995" s="7" t="s">
        <v>26</v>
      </c>
      <c r="D995" s="7" t="s">
        <v>77</v>
      </c>
      <c r="E995" s="7" t="s">
        <v>59</v>
      </c>
      <c r="F995" s="7" t="s">
        <v>29</v>
      </c>
      <c r="G995" s="7" t="s">
        <v>65</v>
      </c>
      <c r="H995" s="7" t="s">
        <v>57</v>
      </c>
      <c r="I995" s="7">
        <v>60</v>
      </c>
      <c r="J995" s="7">
        <v>78</v>
      </c>
      <c r="K995" s="20">
        <v>2950.88</v>
      </c>
      <c r="L995" s="20">
        <v>412.17</v>
      </c>
      <c r="M995" s="7">
        <v>59.53</v>
      </c>
      <c r="N995" s="20">
        <f>Table15[[#This Row],[Processing Fee]]-Table15[[#This Row],[Discount Applied]]</f>
        <v>352.64</v>
      </c>
      <c r="O995" s="7" t="str">
        <f>IF(Table15[[#This Row],[Revenue]]&gt;35000,"Achieved","Not Achieved")</f>
        <v>Not Achieved</v>
      </c>
      <c r="P995" s="8">
        <v>1</v>
      </c>
      <c r="Q995" s="7" t="str">
        <f>IF(AND(Table15[[#This Row],[CSAT Score]]&lt;=3,Table15[[#This Row],[Revenue]]&gt;=20000),"High-Risk","Stable")</f>
        <v>Stable</v>
      </c>
      <c r="R995" s="8" t="str" cm="1">
        <f t="array" ref="R995">_xlfn.IFS(Table15[[#This Row],[Revenue]]&gt;=35000,"Platinum",Table15[[#This Row],[Revenue]]&gt;=15000,"Gold",TRUE,"Standard")</f>
        <v>Standard</v>
      </c>
      <c r="S995" s="8" t="str">
        <f>IF(OR(Table15[[#This Row],[Product]]="Wealth Management",Table15[[#This Row],[Revenue]]&gt;=40000),"Yes","No")</f>
        <v>No</v>
      </c>
    </row>
    <row r="996" spans="1:19" x14ac:dyDescent="0.3">
      <c r="A996" s="5" t="s">
        <v>1054</v>
      </c>
      <c r="B996" s="6">
        <v>46199</v>
      </c>
      <c r="C996" s="7" t="s">
        <v>26</v>
      </c>
      <c r="D996" s="7" t="s">
        <v>87</v>
      </c>
      <c r="E996" s="7" t="s">
        <v>39</v>
      </c>
      <c r="F996" s="7" t="s">
        <v>29</v>
      </c>
      <c r="G996" s="7" t="s">
        <v>56</v>
      </c>
      <c r="H996" s="7" t="s">
        <v>31</v>
      </c>
      <c r="I996" s="7">
        <v>36</v>
      </c>
      <c r="J996" s="7">
        <v>16</v>
      </c>
      <c r="K996" s="20">
        <v>30168.25</v>
      </c>
      <c r="L996" s="20">
        <v>216.04</v>
      </c>
      <c r="M996" s="7">
        <v>197.92</v>
      </c>
      <c r="N996" s="20">
        <f>Table15[[#This Row],[Processing Fee]]-Table15[[#This Row],[Discount Applied]]</f>
        <v>18.120000000000005</v>
      </c>
      <c r="O996" s="7" t="str">
        <f>IF(Table15[[#This Row],[Revenue]]&gt;35000,"Achieved","Not Achieved")</f>
        <v>Not Achieved</v>
      </c>
      <c r="P996" s="8">
        <v>4</v>
      </c>
      <c r="Q996" s="7" t="str">
        <f>IF(AND(Table15[[#This Row],[CSAT Score]]&lt;=3,Table15[[#This Row],[Revenue]]&gt;=20000),"High-Risk","Stable")</f>
        <v>Stable</v>
      </c>
      <c r="R996" s="8" t="str" cm="1">
        <f t="array" ref="R996">_xlfn.IFS(Table15[[#This Row],[Revenue]]&gt;=35000,"Platinum",Table15[[#This Row],[Revenue]]&gt;=15000,"Gold",TRUE,"Standard")</f>
        <v>Gold</v>
      </c>
      <c r="S996" s="8" t="str">
        <f>IF(OR(Table15[[#This Row],[Product]]="Wealth Management",Table15[[#This Row],[Revenue]]&gt;=40000),"Yes","No")</f>
        <v>No</v>
      </c>
    </row>
    <row r="997" spans="1:19" x14ac:dyDescent="0.3">
      <c r="A997" s="5" t="s">
        <v>1055</v>
      </c>
      <c r="B997" s="6">
        <v>46115</v>
      </c>
      <c r="C997" s="7" t="s">
        <v>33</v>
      </c>
      <c r="D997" s="7" t="s">
        <v>61</v>
      </c>
      <c r="E997" s="7" t="s">
        <v>21</v>
      </c>
      <c r="F997" s="7" t="s">
        <v>40</v>
      </c>
      <c r="G997" s="7" t="s">
        <v>30</v>
      </c>
      <c r="H997" s="7" t="s">
        <v>31</v>
      </c>
      <c r="I997" s="7">
        <v>58</v>
      </c>
      <c r="J997" s="7">
        <v>83</v>
      </c>
      <c r="K997" s="20">
        <v>17412.89</v>
      </c>
      <c r="L997" s="20">
        <v>434.58</v>
      </c>
      <c r="M997" s="7">
        <v>41.1</v>
      </c>
      <c r="N997" s="20">
        <f>Table15[[#This Row],[Processing Fee]]-Table15[[#This Row],[Discount Applied]]</f>
        <v>393.47999999999996</v>
      </c>
      <c r="O997" s="7" t="str">
        <f>IF(Table15[[#This Row],[Revenue]]&gt;35000,"Achieved","Not Achieved")</f>
        <v>Not Achieved</v>
      </c>
      <c r="P997" s="8">
        <v>5</v>
      </c>
      <c r="Q997" s="7" t="str">
        <f>IF(AND(Table15[[#This Row],[CSAT Score]]&lt;=3,Table15[[#This Row],[Revenue]]&gt;=20000),"High-Risk","Stable")</f>
        <v>Stable</v>
      </c>
      <c r="R997" s="8" t="str" cm="1">
        <f t="array" ref="R997">_xlfn.IFS(Table15[[#This Row],[Revenue]]&gt;=35000,"Platinum",Table15[[#This Row],[Revenue]]&gt;=15000,"Gold",TRUE,"Standard")</f>
        <v>Gold</v>
      </c>
      <c r="S997" s="8" t="str">
        <f>IF(OR(Table15[[#This Row],[Product]]="Wealth Management",Table15[[#This Row],[Revenue]]&gt;=40000),"Yes","No")</f>
        <v>No</v>
      </c>
    </row>
    <row r="998" spans="1:19" x14ac:dyDescent="0.3">
      <c r="A998" s="5" t="s">
        <v>1056</v>
      </c>
      <c r="B998" s="6">
        <v>46064</v>
      </c>
      <c r="C998" s="7" t="s">
        <v>91</v>
      </c>
      <c r="D998" s="7" t="s">
        <v>27</v>
      </c>
      <c r="E998" s="7" t="s">
        <v>21</v>
      </c>
      <c r="F998" s="7" t="s">
        <v>69</v>
      </c>
      <c r="G998" s="7" t="s">
        <v>36</v>
      </c>
      <c r="H998" s="7" t="s">
        <v>24</v>
      </c>
      <c r="I998" s="7">
        <v>33</v>
      </c>
      <c r="J998" s="7">
        <v>34</v>
      </c>
      <c r="K998" s="20">
        <v>47689.16</v>
      </c>
      <c r="L998" s="20">
        <v>410.99</v>
      </c>
      <c r="M998" s="7">
        <v>137.37</v>
      </c>
      <c r="N998" s="20">
        <f>Table15[[#This Row],[Processing Fee]]-Table15[[#This Row],[Discount Applied]]</f>
        <v>273.62</v>
      </c>
      <c r="O998" s="7" t="str">
        <f>IF(Table15[[#This Row],[Revenue]]&gt;35000,"Achieved","Not Achieved")</f>
        <v>Achieved</v>
      </c>
      <c r="P998" s="8">
        <v>2</v>
      </c>
      <c r="Q998" s="7" t="str">
        <f>IF(AND(Table15[[#This Row],[CSAT Score]]&lt;=3,Table15[[#This Row],[Revenue]]&gt;=20000),"High-Risk","Stable")</f>
        <v>High-Risk</v>
      </c>
      <c r="R998" s="8" t="str" cm="1">
        <f t="array" ref="R998">_xlfn.IFS(Table15[[#This Row],[Revenue]]&gt;=35000,"Platinum",Table15[[#This Row],[Revenue]]&gt;=15000,"Gold",TRUE,"Standard")</f>
        <v>Platinum</v>
      </c>
      <c r="S998" s="8" t="str">
        <f>IF(OR(Table15[[#This Row],[Product]]="Wealth Management",Table15[[#This Row],[Revenue]]&gt;=40000),"Yes","No")</f>
        <v>Yes</v>
      </c>
    </row>
    <row r="999" spans="1:19" x14ac:dyDescent="0.3">
      <c r="A999" s="5" t="s">
        <v>1057</v>
      </c>
      <c r="B999" s="6">
        <v>46157</v>
      </c>
      <c r="C999" s="7" t="s">
        <v>26</v>
      </c>
      <c r="D999" s="7" t="s">
        <v>45</v>
      </c>
      <c r="E999" s="7" t="s">
        <v>59</v>
      </c>
      <c r="F999" s="7" t="s">
        <v>35</v>
      </c>
      <c r="G999" s="7" t="s">
        <v>56</v>
      </c>
      <c r="H999" s="7" t="s">
        <v>57</v>
      </c>
      <c r="I999" s="7">
        <v>43</v>
      </c>
      <c r="J999" s="7">
        <v>44</v>
      </c>
      <c r="K999" s="20">
        <v>45207.94</v>
      </c>
      <c r="L999" s="20">
        <v>206.94</v>
      </c>
      <c r="M999" s="7">
        <v>182.66</v>
      </c>
      <c r="N999" s="20">
        <f>Table15[[#This Row],[Processing Fee]]-Table15[[#This Row],[Discount Applied]]</f>
        <v>24.28</v>
      </c>
      <c r="O999" s="7" t="str">
        <f>IF(Table15[[#This Row],[Revenue]]&gt;35000,"Achieved","Not Achieved")</f>
        <v>Achieved</v>
      </c>
      <c r="P999" s="8">
        <v>5</v>
      </c>
      <c r="Q999" s="7" t="str">
        <f>IF(AND(Table15[[#This Row],[CSAT Score]]&lt;=3,Table15[[#This Row],[Revenue]]&gt;=20000),"High-Risk","Stable")</f>
        <v>Stable</v>
      </c>
      <c r="R999" s="8" t="str" cm="1">
        <f t="array" ref="R999">_xlfn.IFS(Table15[[#This Row],[Revenue]]&gt;=35000,"Platinum",Table15[[#This Row],[Revenue]]&gt;=15000,"Gold",TRUE,"Standard")</f>
        <v>Platinum</v>
      </c>
      <c r="S999" s="8" t="str">
        <f>IF(OR(Table15[[#This Row],[Product]]="Wealth Management",Table15[[#This Row],[Revenue]]&gt;=40000),"Yes","No")</f>
        <v>Yes</v>
      </c>
    </row>
    <row r="1000" spans="1:19" x14ac:dyDescent="0.3">
      <c r="A1000" s="5" t="s">
        <v>1058</v>
      </c>
      <c r="B1000" s="6">
        <v>46226</v>
      </c>
      <c r="C1000" s="7" t="s">
        <v>44</v>
      </c>
      <c r="D1000" s="7" t="s">
        <v>87</v>
      </c>
      <c r="E1000" s="7" t="s">
        <v>39</v>
      </c>
      <c r="F1000" s="7" t="s">
        <v>69</v>
      </c>
      <c r="G1000" s="7" t="s">
        <v>56</v>
      </c>
      <c r="H1000" s="7" t="s">
        <v>53</v>
      </c>
      <c r="I1000" s="7">
        <v>74</v>
      </c>
      <c r="J1000" s="7">
        <v>110</v>
      </c>
      <c r="K1000" s="20">
        <v>35828.46</v>
      </c>
      <c r="L1000" s="20">
        <v>362.24</v>
      </c>
      <c r="M1000" s="7">
        <v>121.72</v>
      </c>
      <c r="N1000" s="20">
        <f>Table15[[#This Row],[Processing Fee]]-Table15[[#This Row],[Discount Applied]]</f>
        <v>240.52</v>
      </c>
      <c r="O1000" s="7" t="str">
        <f>IF(Table15[[#This Row],[Revenue]]&gt;35000,"Achieved","Not Achieved")</f>
        <v>Achieved</v>
      </c>
      <c r="P1000" s="8">
        <v>1</v>
      </c>
      <c r="Q1000" s="7" t="str">
        <f>IF(AND(Table15[[#This Row],[CSAT Score]]&lt;=3,Table15[[#This Row],[Revenue]]&gt;=20000),"High-Risk","Stable")</f>
        <v>High-Risk</v>
      </c>
      <c r="R1000" s="8" t="str" cm="1">
        <f t="array" ref="R1000">_xlfn.IFS(Table15[[#This Row],[Revenue]]&gt;=35000,"Platinum",Table15[[#This Row],[Revenue]]&gt;=15000,"Gold",TRUE,"Standard")</f>
        <v>Platinum</v>
      </c>
      <c r="S1000" s="8" t="str">
        <f>IF(OR(Table15[[#This Row],[Product]]="Wealth Management",Table15[[#This Row],[Revenue]]&gt;=40000),"Yes","No")</f>
        <v>No</v>
      </c>
    </row>
    <row r="1001" spans="1:19" x14ac:dyDescent="0.3">
      <c r="A1001" s="12" t="s">
        <v>1059</v>
      </c>
      <c r="B1001" s="13">
        <v>46151</v>
      </c>
      <c r="C1001" s="14" t="s">
        <v>42</v>
      </c>
      <c r="D1001" s="14" t="s">
        <v>38</v>
      </c>
      <c r="E1001" s="14" t="s">
        <v>46</v>
      </c>
      <c r="F1001" s="14" t="s">
        <v>69</v>
      </c>
      <c r="G1001" s="14" t="s">
        <v>30</v>
      </c>
      <c r="H1001" s="14" t="s">
        <v>53</v>
      </c>
      <c r="I1001" s="14">
        <v>42</v>
      </c>
      <c r="J1001" s="14">
        <v>6</v>
      </c>
      <c r="K1001" s="21">
        <v>40998.21</v>
      </c>
      <c r="L1001" s="21">
        <v>121.83</v>
      </c>
      <c r="M1001" s="14">
        <v>111.97</v>
      </c>
      <c r="N1001" s="21">
        <f>Table15[[#This Row],[Processing Fee]]-Table15[[#This Row],[Discount Applied]]</f>
        <v>9.86</v>
      </c>
      <c r="O1001" s="7" t="str">
        <f>IF(Table15[[#This Row],[Revenue]]&gt;35000,"Achieved","Not Achieved")</f>
        <v>Achieved</v>
      </c>
      <c r="P1001" s="15">
        <v>4</v>
      </c>
      <c r="Q1001" s="14" t="str">
        <f>IF(AND(Table15[[#This Row],[CSAT Score]]&lt;=3,Table15[[#This Row],[Revenue]]&gt;=20000),"High-Risk","Stable")</f>
        <v>Stable</v>
      </c>
      <c r="R1001" s="15" t="str" cm="1">
        <f t="array" ref="R1001">_xlfn.IFS(Table15[[#This Row],[Revenue]]&gt;=35000,"Platinum",Table15[[#This Row],[Revenue]]&gt;=15000,"Gold",TRUE,"Standard")</f>
        <v>Platinum</v>
      </c>
      <c r="S1001" s="15" t="str">
        <f>IF(OR(Table15[[#This Row],[Product]]="Wealth Management",Table15[[#This Row],[Revenue]]&gt;=40000),"Yes","No")</f>
        <v>Yes</v>
      </c>
    </row>
    <row r="1002" spans="1:19" x14ac:dyDescent="0.3">
      <c r="A1002" s="12" t="s">
        <v>1069</v>
      </c>
      <c r="B1002" s="14"/>
      <c r="C1002" s="14"/>
      <c r="D1002" s="14"/>
      <c r="E1002" s="14"/>
      <c r="F1002" s="14"/>
      <c r="G1002" s="14"/>
      <c r="H1002" s="14"/>
      <c r="I1002" s="14"/>
      <c r="J1002" s="14"/>
      <c r="K1002" s="21"/>
      <c r="L1002" s="21">
        <f>SUBTOTAL(109,Table15[Processing Fee])</f>
        <v>275304.90000000014</v>
      </c>
      <c r="M1002" s="14">
        <f>SUBTOTAL(109,Table15[Discount Applied])</f>
        <v>116850.78000000004</v>
      </c>
      <c r="N1002" s="21">
        <f>SUBTOTAL(109,Table15[Net Processing Yield])</f>
        <v>158454.12000000017</v>
      </c>
      <c r="O1002" s="14"/>
      <c r="P1002" s="15"/>
      <c r="Q1002" s="15"/>
      <c r="R1002" s="15"/>
      <c r="S1002" s="24">
        <f>SUBTOTAL(103,Table15[Bonus Eligible])</f>
        <v>1000</v>
      </c>
    </row>
  </sheetData>
  <conditionalFormatting sqref="A1:A1001">
    <cfRule type="duplicateValues" dxfId="0"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7FF4F-4FA6-4282-84EB-40AC3FB37355}">
  <sheetPr>
    <tabColor theme="7" tint="-0.249977111117893"/>
  </sheetPr>
  <dimension ref="A7:Z34"/>
  <sheetViews>
    <sheetView topLeftCell="Q14" zoomScale="85" zoomScaleNormal="85" workbookViewId="0">
      <selection activeCell="S32" sqref="S32"/>
    </sheetView>
  </sheetViews>
  <sheetFormatPr defaultRowHeight="14.4" x14ac:dyDescent="0.3"/>
  <cols>
    <col min="1" max="1" width="14" bestFit="1" customWidth="1"/>
    <col min="2" max="2" width="43.109375" customWidth="1"/>
    <col min="3" max="3" width="26.109375" customWidth="1"/>
    <col min="4" max="4" width="27.44140625" bestFit="1" customWidth="1"/>
    <col min="5" max="5" width="21" bestFit="1" customWidth="1"/>
    <col min="6" max="6" width="23" bestFit="1" customWidth="1"/>
    <col min="7" max="7" width="21" customWidth="1"/>
    <col min="8" max="8" width="12.21875" bestFit="1" customWidth="1"/>
    <col min="9" max="9" width="20.5546875" bestFit="1" customWidth="1"/>
    <col min="10" max="10" width="24.44140625" customWidth="1"/>
    <col min="11" max="11" width="11.44140625" bestFit="1" customWidth="1"/>
    <col min="12" max="12" width="21.33203125" bestFit="1" customWidth="1"/>
    <col min="13" max="13" width="19.109375" bestFit="1" customWidth="1"/>
    <col min="14" max="14" width="11.44140625" bestFit="1" customWidth="1"/>
    <col min="15" max="15" width="22.44140625" bestFit="1" customWidth="1"/>
    <col min="16" max="16" width="16.5546875" bestFit="1" customWidth="1"/>
    <col min="17" max="17" width="23.6640625" bestFit="1" customWidth="1"/>
    <col min="18" max="18" width="15.6640625" bestFit="1" customWidth="1"/>
    <col min="19" max="19" width="20" bestFit="1" customWidth="1"/>
    <col min="20" max="20" width="19.109375" bestFit="1" customWidth="1"/>
    <col min="21" max="21" width="14.77734375" bestFit="1" customWidth="1"/>
    <col min="22" max="22" width="14.33203125" bestFit="1" customWidth="1"/>
    <col min="23" max="23" width="20.21875" bestFit="1" customWidth="1"/>
    <col min="24" max="24" width="15.88671875" bestFit="1" customWidth="1"/>
    <col min="25" max="25" width="17.44140625" bestFit="1" customWidth="1"/>
    <col min="26" max="26" width="10" bestFit="1" customWidth="1"/>
    <col min="27" max="27" width="15.6640625" bestFit="1" customWidth="1"/>
    <col min="28" max="28" width="21.77734375" bestFit="1" customWidth="1"/>
    <col min="29" max="29" width="17.88671875" bestFit="1" customWidth="1"/>
    <col min="30" max="30" width="18.88671875" bestFit="1" customWidth="1"/>
    <col min="31" max="32" width="7" customWidth="1"/>
    <col min="33" max="34" width="14.77734375" bestFit="1" customWidth="1"/>
    <col min="35" max="35" width="22.6640625" customWidth="1"/>
    <col min="36" max="36" width="17" bestFit="1" customWidth="1"/>
    <col min="37" max="37" width="13.88671875" bestFit="1" customWidth="1"/>
    <col min="38" max="38" width="18.44140625" bestFit="1" customWidth="1"/>
    <col min="39" max="39" width="23.5546875" customWidth="1"/>
    <col min="40" max="40" width="21.5546875" customWidth="1"/>
    <col min="41" max="41" width="6" bestFit="1" customWidth="1"/>
    <col min="42" max="49" width="8" bestFit="1" customWidth="1"/>
    <col min="50" max="50" width="7" bestFit="1" customWidth="1"/>
    <col min="51" max="64" width="8" bestFit="1" customWidth="1"/>
    <col min="65" max="65" width="7" bestFit="1" customWidth="1"/>
    <col min="66" max="103" width="8" bestFit="1" customWidth="1"/>
    <col min="104" max="104" width="7" bestFit="1" customWidth="1"/>
    <col min="105" max="134" width="8" bestFit="1" customWidth="1"/>
    <col min="135" max="135" width="7" bestFit="1" customWidth="1"/>
    <col min="136" max="139" width="8" bestFit="1" customWidth="1"/>
    <col min="140" max="140" width="7" bestFit="1" customWidth="1"/>
    <col min="141" max="141" width="8" bestFit="1" customWidth="1"/>
    <col min="142" max="142" width="7" bestFit="1" customWidth="1"/>
    <col min="143" max="150" width="8" bestFit="1" customWidth="1"/>
    <col min="151" max="151" width="7" bestFit="1" customWidth="1"/>
    <col min="152" max="157" width="8" bestFit="1" customWidth="1"/>
    <col min="158" max="158" width="7" bestFit="1" customWidth="1"/>
    <col min="159" max="174" width="8" bestFit="1" customWidth="1"/>
    <col min="175" max="176" width="7" bestFit="1" customWidth="1"/>
    <col min="177" max="192" width="8" bestFit="1" customWidth="1"/>
    <col min="193" max="193" width="7" bestFit="1" customWidth="1"/>
    <col min="194" max="196" width="8" bestFit="1" customWidth="1"/>
    <col min="197" max="197" width="7" bestFit="1" customWidth="1"/>
    <col min="198" max="207" width="8" bestFit="1" customWidth="1"/>
    <col min="208" max="208" width="7" bestFit="1" customWidth="1"/>
    <col min="209" max="216" width="8" bestFit="1" customWidth="1"/>
    <col min="217" max="217" width="7" bestFit="1" customWidth="1"/>
    <col min="218" max="221" width="8" bestFit="1" customWidth="1"/>
    <col min="222" max="222" width="7" bestFit="1" customWidth="1"/>
    <col min="223" max="232" width="8" bestFit="1" customWidth="1"/>
    <col min="233" max="233" width="7" bestFit="1" customWidth="1"/>
    <col min="234" max="236" width="8" bestFit="1" customWidth="1"/>
    <col min="237" max="245" width="9" bestFit="1" customWidth="1"/>
    <col min="246" max="246" width="8" bestFit="1" customWidth="1"/>
    <col min="247" max="256" width="9" bestFit="1" customWidth="1"/>
    <col min="257" max="257" width="8" bestFit="1" customWidth="1"/>
    <col min="258" max="262" width="9" bestFit="1" customWidth="1"/>
    <col min="263" max="263" width="6" bestFit="1" customWidth="1"/>
    <col min="264" max="265" width="9" bestFit="1" customWidth="1"/>
    <col min="266" max="266" width="8" bestFit="1" customWidth="1"/>
    <col min="267" max="267" width="9" bestFit="1" customWidth="1"/>
    <col min="268" max="268" width="8" bestFit="1" customWidth="1"/>
    <col min="269" max="269" width="9" bestFit="1" customWidth="1"/>
    <col min="270" max="270" width="6" bestFit="1" customWidth="1"/>
    <col min="271" max="276" width="9" bestFit="1" customWidth="1"/>
    <col min="277" max="277" width="8" bestFit="1" customWidth="1"/>
    <col min="278" max="278" width="9" bestFit="1" customWidth="1"/>
    <col min="279" max="279" width="8" bestFit="1" customWidth="1"/>
    <col min="280" max="280" width="6" bestFit="1" customWidth="1"/>
    <col min="281" max="291" width="9" bestFit="1" customWidth="1"/>
    <col min="292" max="292" width="8" bestFit="1" customWidth="1"/>
    <col min="293" max="309" width="9" bestFit="1" customWidth="1"/>
    <col min="310" max="310" width="8" bestFit="1" customWidth="1"/>
    <col min="311" max="318" width="9" bestFit="1" customWidth="1"/>
    <col min="319" max="319" width="8" bestFit="1" customWidth="1"/>
    <col min="320" max="335" width="9" bestFit="1" customWidth="1"/>
    <col min="336" max="336" width="6" bestFit="1" customWidth="1"/>
    <col min="337" max="338" width="9" bestFit="1" customWidth="1"/>
    <col min="339" max="339" width="6" bestFit="1" customWidth="1"/>
    <col min="340" max="344" width="9" bestFit="1" customWidth="1"/>
    <col min="345" max="345" width="8" bestFit="1" customWidth="1"/>
    <col min="346" max="359" width="9" bestFit="1" customWidth="1"/>
    <col min="360" max="360" width="8" bestFit="1" customWidth="1"/>
    <col min="361" max="367" width="9" bestFit="1" customWidth="1"/>
    <col min="368" max="368" width="8" bestFit="1" customWidth="1"/>
    <col min="369" max="370" width="9" bestFit="1" customWidth="1"/>
    <col min="371" max="371" width="8" bestFit="1" customWidth="1"/>
    <col min="372" max="373" width="9" bestFit="1" customWidth="1"/>
    <col min="374" max="375" width="8" bestFit="1" customWidth="1"/>
    <col min="376" max="400" width="9" bestFit="1" customWidth="1"/>
    <col min="401" max="402" width="8" bestFit="1" customWidth="1"/>
    <col min="403" max="403" width="9" bestFit="1" customWidth="1"/>
    <col min="404" max="405" width="8" bestFit="1" customWidth="1"/>
    <col min="406" max="413" width="9" bestFit="1" customWidth="1"/>
    <col min="414" max="414" width="8" bestFit="1" customWidth="1"/>
    <col min="415" max="422" width="9" bestFit="1" customWidth="1"/>
    <col min="423" max="423" width="8" bestFit="1" customWidth="1"/>
    <col min="424" max="425" width="9" bestFit="1" customWidth="1"/>
    <col min="426" max="426" width="8" bestFit="1" customWidth="1"/>
    <col min="427" max="427" width="9" bestFit="1" customWidth="1"/>
    <col min="428" max="428" width="8" bestFit="1" customWidth="1"/>
    <col min="429" max="432" width="9" bestFit="1" customWidth="1"/>
    <col min="433" max="434" width="8" bestFit="1" customWidth="1"/>
    <col min="435" max="435" width="9" bestFit="1" customWidth="1"/>
    <col min="436" max="436" width="8" bestFit="1" customWidth="1"/>
    <col min="437" max="442" width="9" bestFit="1" customWidth="1"/>
    <col min="443" max="443" width="8" bestFit="1" customWidth="1"/>
    <col min="444" max="447" width="9" bestFit="1" customWidth="1"/>
    <col min="448" max="448" width="8" bestFit="1" customWidth="1"/>
    <col min="449" max="450" width="9" bestFit="1" customWidth="1"/>
    <col min="451" max="451" width="6" bestFit="1" customWidth="1"/>
    <col min="452" max="452" width="8" bestFit="1" customWidth="1"/>
    <col min="453" max="466" width="9" bestFit="1" customWidth="1"/>
    <col min="467" max="467" width="6" bestFit="1" customWidth="1"/>
    <col min="468" max="470" width="9" bestFit="1" customWidth="1"/>
    <col min="471" max="471" width="8" bestFit="1" customWidth="1"/>
    <col min="472" max="501" width="9" bestFit="1" customWidth="1"/>
    <col min="502" max="503" width="8" bestFit="1" customWidth="1"/>
    <col min="504" max="514" width="9" bestFit="1" customWidth="1"/>
    <col min="515" max="515" width="8" bestFit="1" customWidth="1"/>
    <col min="516" max="524" width="9" bestFit="1" customWidth="1"/>
    <col min="525" max="525" width="8" bestFit="1" customWidth="1"/>
    <col min="526" max="526" width="9" bestFit="1" customWidth="1"/>
    <col min="527" max="527" width="8" bestFit="1" customWidth="1"/>
    <col min="528" max="534" width="9" bestFit="1" customWidth="1"/>
    <col min="535" max="535" width="6" bestFit="1" customWidth="1"/>
    <col min="536" max="558" width="9" bestFit="1" customWidth="1"/>
    <col min="559" max="559" width="8" bestFit="1" customWidth="1"/>
    <col min="560" max="564" width="9" bestFit="1" customWidth="1"/>
    <col min="565" max="565" width="8" bestFit="1" customWidth="1"/>
    <col min="566" max="582" width="9" bestFit="1" customWidth="1"/>
    <col min="583" max="583" width="8" bestFit="1" customWidth="1"/>
    <col min="584" max="602" width="9" bestFit="1" customWidth="1"/>
    <col min="603" max="603" width="8" bestFit="1" customWidth="1"/>
    <col min="604" max="610" width="9" bestFit="1" customWidth="1"/>
    <col min="611" max="611" width="8" bestFit="1" customWidth="1"/>
    <col min="612" max="622" width="9" bestFit="1" customWidth="1"/>
    <col min="623" max="623" width="8" bestFit="1" customWidth="1"/>
    <col min="624" max="629" width="9" bestFit="1" customWidth="1"/>
    <col min="630" max="630" width="6" bestFit="1" customWidth="1"/>
    <col min="631" max="633" width="9" bestFit="1" customWidth="1"/>
    <col min="634" max="634" width="8" bestFit="1" customWidth="1"/>
    <col min="635" max="641" width="9" bestFit="1" customWidth="1"/>
    <col min="642" max="642" width="8" bestFit="1" customWidth="1"/>
    <col min="643" max="644" width="9" bestFit="1" customWidth="1"/>
    <col min="645" max="645" width="8" bestFit="1" customWidth="1"/>
    <col min="646" max="648" width="9" bestFit="1" customWidth="1"/>
    <col min="649" max="649" width="8" bestFit="1" customWidth="1"/>
    <col min="650" max="658" width="9" bestFit="1" customWidth="1"/>
    <col min="659" max="659" width="8" bestFit="1" customWidth="1"/>
    <col min="660" max="661" width="9" bestFit="1" customWidth="1"/>
    <col min="662" max="662" width="8" bestFit="1" customWidth="1"/>
    <col min="663" max="685" width="9" bestFit="1" customWidth="1"/>
    <col min="686" max="686" width="8" bestFit="1" customWidth="1"/>
    <col min="687" max="692" width="9" bestFit="1" customWidth="1"/>
    <col min="693" max="693" width="8" bestFit="1" customWidth="1"/>
    <col min="694" max="697" width="9" bestFit="1" customWidth="1"/>
    <col min="698" max="699" width="8" bestFit="1" customWidth="1"/>
    <col min="700" max="717" width="9" bestFit="1" customWidth="1"/>
    <col min="718" max="719" width="8" bestFit="1" customWidth="1"/>
    <col min="720" max="731" width="9" bestFit="1" customWidth="1"/>
    <col min="732" max="732" width="8" bestFit="1" customWidth="1"/>
    <col min="733" max="734" width="9" bestFit="1" customWidth="1"/>
    <col min="735" max="735" width="8" bestFit="1" customWidth="1"/>
    <col min="736" max="738" width="9" bestFit="1" customWidth="1"/>
    <col min="739" max="739" width="8" bestFit="1" customWidth="1"/>
    <col min="740" max="757" width="9" bestFit="1" customWidth="1"/>
    <col min="758" max="758" width="8" bestFit="1" customWidth="1"/>
    <col min="759" max="761" width="9" bestFit="1" customWidth="1"/>
    <col min="762" max="762" width="8" bestFit="1" customWidth="1"/>
    <col min="763" max="772" width="9" bestFit="1" customWidth="1"/>
    <col min="773" max="773" width="8" bestFit="1" customWidth="1"/>
    <col min="774" max="783" width="9" bestFit="1" customWidth="1"/>
    <col min="784" max="784" width="8" bestFit="1" customWidth="1"/>
    <col min="785" max="799" width="9" bestFit="1" customWidth="1"/>
    <col min="800" max="800" width="8" bestFit="1" customWidth="1"/>
    <col min="801" max="812" width="9" bestFit="1" customWidth="1"/>
    <col min="813" max="813" width="8" bestFit="1" customWidth="1"/>
    <col min="814" max="842" width="9" bestFit="1" customWidth="1"/>
    <col min="843" max="843" width="8" bestFit="1" customWidth="1"/>
    <col min="844" max="859" width="9" bestFit="1" customWidth="1"/>
    <col min="860" max="860" width="8" bestFit="1" customWidth="1"/>
    <col min="861" max="868" width="9" bestFit="1" customWidth="1"/>
    <col min="869" max="869" width="8" bestFit="1" customWidth="1"/>
    <col min="870" max="887" width="9" bestFit="1" customWidth="1"/>
    <col min="888" max="888" width="8" bestFit="1" customWidth="1"/>
    <col min="889" max="908" width="9" bestFit="1" customWidth="1"/>
    <col min="909" max="909" width="8" bestFit="1" customWidth="1"/>
    <col min="910" max="920" width="9" bestFit="1" customWidth="1"/>
    <col min="921" max="921" width="8" bestFit="1" customWidth="1"/>
    <col min="922" max="935" width="9" bestFit="1" customWidth="1"/>
    <col min="936" max="936" width="6" bestFit="1" customWidth="1"/>
    <col min="937" max="950" width="9" bestFit="1" customWidth="1"/>
    <col min="951" max="951" width="8" bestFit="1" customWidth="1"/>
    <col min="952" max="952" width="9" bestFit="1" customWidth="1"/>
    <col min="953" max="953" width="8" bestFit="1" customWidth="1"/>
    <col min="954" max="974" width="9" bestFit="1" customWidth="1"/>
    <col min="975" max="975" width="8" bestFit="1" customWidth="1"/>
    <col min="976" max="976" width="6" bestFit="1" customWidth="1"/>
    <col min="977" max="980" width="9" bestFit="1" customWidth="1"/>
    <col min="981" max="981" width="8" bestFit="1" customWidth="1"/>
    <col min="982" max="983" width="9" bestFit="1" customWidth="1"/>
    <col min="984" max="984" width="8" bestFit="1" customWidth="1"/>
    <col min="985" max="996" width="9" bestFit="1" customWidth="1"/>
    <col min="997" max="997" width="8" bestFit="1" customWidth="1"/>
    <col min="998" max="1008" width="9" bestFit="1" customWidth="1"/>
    <col min="1009" max="1009" width="8" bestFit="1" customWidth="1"/>
    <col min="1010" max="1016" width="9" bestFit="1" customWidth="1"/>
    <col min="1017" max="1017" width="8" bestFit="1" customWidth="1"/>
    <col min="1018" max="1024" width="9" bestFit="1" customWidth="1"/>
    <col min="1025" max="1025" width="8" bestFit="1" customWidth="1"/>
    <col min="1026" max="1027" width="9" bestFit="1" customWidth="1"/>
    <col min="1028" max="1028" width="10.77734375" bestFit="1" customWidth="1"/>
  </cols>
  <sheetData>
    <row r="7" spans="1:25" ht="12" customHeight="1" x14ac:dyDescent="0.3"/>
    <row r="10" spans="1:25" x14ac:dyDescent="0.3">
      <c r="H10" s="16" t="s">
        <v>1071</v>
      </c>
      <c r="I10" t="s">
        <v>1062</v>
      </c>
      <c r="K10" s="16" t="s">
        <v>1</v>
      </c>
      <c r="L10" t="s">
        <v>1061</v>
      </c>
    </row>
    <row r="11" spans="1:25" x14ac:dyDescent="0.3">
      <c r="A11" s="16" t="s">
        <v>6</v>
      </c>
      <c r="B11" t="s">
        <v>1067</v>
      </c>
      <c r="E11" s="16" t="s">
        <v>5</v>
      </c>
      <c r="F11" t="s">
        <v>1070</v>
      </c>
      <c r="H11" s="17" t="s">
        <v>1085</v>
      </c>
      <c r="I11" s="18">
        <v>0.48498178488994509</v>
      </c>
      <c r="K11" s="17" t="s">
        <v>1064</v>
      </c>
      <c r="L11" s="31">
        <v>3.0851581508515813</v>
      </c>
      <c r="R11" s="16" t="s">
        <v>1066</v>
      </c>
      <c r="S11" t="s">
        <v>1063</v>
      </c>
      <c r="U11" s="16" t="s">
        <v>6</v>
      </c>
      <c r="V11" t="s">
        <v>1084</v>
      </c>
      <c r="X11" s="16" t="s">
        <v>1087</v>
      </c>
      <c r="Y11" t="s">
        <v>1088</v>
      </c>
    </row>
    <row r="12" spans="1:25" x14ac:dyDescent="0.3">
      <c r="A12" s="17" t="s">
        <v>56</v>
      </c>
      <c r="B12" s="31">
        <v>4630334.160000002</v>
      </c>
      <c r="E12" s="17" t="s">
        <v>35</v>
      </c>
      <c r="F12" s="31">
        <v>5264454.0899999989</v>
      </c>
      <c r="H12" s="17" t="s">
        <v>1086</v>
      </c>
      <c r="I12" s="18">
        <v>0.51501821511005497</v>
      </c>
      <c r="K12" s="26" t="s">
        <v>1072</v>
      </c>
      <c r="L12" s="31">
        <v>3.1917808219178081</v>
      </c>
      <c r="R12" s="17" t="s">
        <v>53</v>
      </c>
      <c r="S12" s="31">
        <v>70759.509999999995</v>
      </c>
      <c r="U12" s="17" t="s">
        <v>56</v>
      </c>
      <c r="V12" s="31">
        <v>190</v>
      </c>
      <c r="X12" s="17" t="s">
        <v>34</v>
      </c>
      <c r="Y12" s="31">
        <v>3.2317073170731709</v>
      </c>
    </row>
    <row r="13" spans="1:25" x14ac:dyDescent="0.3">
      <c r="A13" s="17" t="s">
        <v>65</v>
      </c>
      <c r="B13" s="31">
        <v>5140533.5699999956</v>
      </c>
      <c r="E13" s="17" t="s">
        <v>69</v>
      </c>
      <c r="F13" s="31">
        <v>5179352.5200000033</v>
      </c>
      <c r="H13" s="17" t="s">
        <v>1060</v>
      </c>
      <c r="I13" s="18">
        <v>1</v>
      </c>
      <c r="K13" s="26" t="s">
        <v>1073</v>
      </c>
      <c r="L13" s="31">
        <v>3.1414141414141414</v>
      </c>
      <c r="R13" s="17" t="s">
        <v>31</v>
      </c>
      <c r="S13" s="31">
        <v>75775.339999999982</v>
      </c>
      <c r="U13" s="17" t="s">
        <v>65</v>
      </c>
      <c r="V13" s="31">
        <v>203</v>
      </c>
      <c r="X13" s="17" t="s">
        <v>68</v>
      </c>
      <c r="Y13" s="31">
        <v>3.046153846153846</v>
      </c>
    </row>
    <row r="14" spans="1:25" x14ac:dyDescent="0.3">
      <c r="A14" s="17" t="s">
        <v>36</v>
      </c>
      <c r="B14" s="31">
        <v>4981901.8999999985</v>
      </c>
      <c r="E14" s="17" t="s">
        <v>40</v>
      </c>
      <c r="F14" s="31">
        <v>4803673.9200000009</v>
      </c>
      <c r="K14" s="26" t="s">
        <v>1074</v>
      </c>
      <c r="L14" s="31">
        <v>3.074074074074074</v>
      </c>
      <c r="R14" s="17" t="s">
        <v>24</v>
      </c>
      <c r="S14" s="31">
        <v>66249.900000000023</v>
      </c>
      <c r="U14" s="17" t="s">
        <v>36</v>
      </c>
      <c r="V14" s="31">
        <v>199</v>
      </c>
      <c r="X14" s="17" t="s">
        <v>63</v>
      </c>
      <c r="Y14" s="31">
        <v>2.9428571428571431</v>
      </c>
    </row>
    <row r="15" spans="1:25" x14ac:dyDescent="0.3">
      <c r="A15" s="17" t="s">
        <v>23</v>
      </c>
      <c r="B15" s="31">
        <v>5317383.589999998</v>
      </c>
      <c r="E15" s="17" t="s">
        <v>29</v>
      </c>
      <c r="F15" s="31">
        <v>4321270.3499999978</v>
      </c>
      <c r="K15" s="26" t="s">
        <v>1075</v>
      </c>
      <c r="L15" s="31">
        <v>2.8767123287671232</v>
      </c>
      <c r="R15" s="17" t="s">
        <v>57</v>
      </c>
      <c r="S15" s="31">
        <v>62520.15</v>
      </c>
      <c r="U15" s="17" t="s">
        <v>23</v>
      </c>
      <c r="V15" s="31">
        <v>217</v>
      </c>
      <c r="X15" s="17" t="s">
        <v>48</v>
      </c>
      <c r="Y15" s="31">
        <v>3.1272727272727274</v>
      </c>
    </row>
    <row r="16" spans="1:25" x14ac:dyDescent="0.3">
      <c r="A16" s="17" t="s">
        <v>30</v>
      </c>
      <c r="B16" s="31">
        <v>4498026.6399999997</v>
      </c>
      <c r="E16" s="17" t="s">
        <v>22</v>
      </c>
      <c r="F16" s="31">
        <v>4999428.9800000004</v>
      </c>
      <c r="K16" s="26" t="s">
        <v>1076</v>
      </c>
      <c r="L16" s="31">
        <v>3.1176470588235294</v>
      </c>
      <c r="R16" s="17" t="s">
        <v>1060</v>
      </c>
      <c r="S16" s="31">
        <v>275304.90000000002</v>
      </c>
      <c r="U16" s="17" t="s">
        <v>30</v>
      </c>
      <c r="V16" s="31">
        <v>191</v>
      </c>
      <c r="X16" s="17" t="s">
        <v>45</v>
      </c>
      <c r="Y16" s="31">
        <v>3.1038961038961039</v>
      </c>
    </row>
    <row r="17" spans="1:26" x14ac:dyDescent="0.3">
      <c r="A17" s="17" t="s">
        <v>1060</v>
      </c>
      <c r="B17" s="31">
        <v>24568179.859999992</v>
      </c>
      <c r="E17" s="17" t="s">
        <v>1060</v>
      </c>
      <c r="F17" s="31">
        <v>24568179.860000003</v>
      </c>
      <c r="K17" s="17" t="s">
        <v>1065</v>
      </c>
      <c r="L17" s="31">
        <v>3.0237691001697793</v>
      </c>
      <c r="U17" s="17" t="s">
        <v>1060</v>
      </c>
      <c r="V17" s="31">
        <v>1000</v>
      </c>
      <c r="X17" s="17" t="s">
        <v>20</v>
      </c>
      <c r="Y17" s="31">
        <v>3.2105263157894739</v>
      </c>
    </row>
    <row r="18" spans="1:26" x14ac:dyDescent="0.3">
      <c r="K18" s="26" t="s">
        <v>1077</v>
      </c>
      <c r="L18" s="31">
        <v>3.0985915492957745</v>
      </c>
      <c r="X18" s="17" t="s">
        <v>87</v>
      </c>
      <c r="Y18" s="31">
        <v>3.0476190476190474</v>
      </c>
    </row>
    <row r="19" spans="1:26" x14ac:dyDescent="0.3">
      <c r="K19" s="26" t="s">
        <v>1078</v>
      </c>
      <c r="L19" s="31">
        <v>3.3783783783783785</v>
      </c>
      <c r="X19" s="17" t="s">
        <v>79</v>
      </c>
      <c r="Y19" s="31">
        <v>2.915492957746479</v>
      </c>
    </row>
    <row r="20" spans="1:26" x14ac:dyDescent="0.3">
      <c r="K20" s="26" t="s">
        <v>1079</v>
      </c>
      <c r="L20" s="31">
        <v>2.9550561797752808</v>
      </c>
      <c r="X20" s="17" t="s">
        <v>38</v>
      </c>
      <c r="Y20" s="31">
        <v>2.8852459016393444</v>
      </c>
    </row>
    <row r="21" spans="1:26" x14ac:dyDescent="0.3">
      <c r="K21" s="26" t="s">
        <v>1080</v>
      </c>
      <c r="L21" s="31">
        <v>3.0736842105263156</v>
      </c>
      <c r="X21" s="17" t="s">
        <v>77</v>
      </c>
      <c r="Y21" s="31">
        <v>3.0882352941176472</v>
      </c>
    </row>
    <row r="22" spans="1:26" x14ac:dyDescent="0.3">
      <c r="K22" s="26" t="s">
        <v>1081</v>
      </c>
      <c r="L22" s="31">
        <v>2.7124999999999999</v>
      </c>
      <c r="X22" s="17" t="s">
        <v>83</v>
      </c>
      <c r="Y22" s="31">
        <v>3.1384615384615384</v>
      </c>
    </row>
    <row r="23" spans="1:26" x14ac:dyDescent="0.3">
      <c r="K23" s="26" t="s">
        <v>1082</v>
      </c>
      <c r="L23" s="31">
        <v>2.8624999999999998</v>
      </c>
      <c r="X23" s="17" t="s">
        <v>52</v>
      </c>
      <c r="Y23" s="31">
        <v>3.2549019607843137</v>
      </c>
    </row>
    <row r="24" spans="1:26" x14ac:dyDescent="0.3">
      <c r="K24" s="26" t="s">
        <v>1083</v>
      </c>
      <c r="L24" s="31">
        <v>3.09375</v>
      </c>
      <c r="X24" s="17" t="s">
        <v>50</v>
      </c>
      <c r="Y24" s="31">
        <v>2.7586206896551726</v>
      </c>
    </row>
    <row r="25" spans="1:26" x14ac:dyDescent="0.3">
      <c r="K25" s="26" t="s">
        <v>1072</v>
      </c>
      <c r="L25" s="31">
        <v>3.25</v>
      </c>
      <c r="X25" s="17" t="s">
        <v>61</v>
      </c>
      <c r="Y25" s="31">
        <v>2.9076923076923076</v>
      </c>
    </row>
    <row r="26" spans="1:26" x14ac:dyDescent="0.3">
      <c r="I26" s="23">
        <f>GETPIVOTDATA("Revenue",$H$10,"Target Achieved","Achieved")</f>
        <v>0.51501821511005497</v>
      </c>
      <c r="K26" s="17" t="s">
        <v>1060</v>
      </c>
      <c r="L26" s="31">
        <v>3.0489999999999999</v>
      </c>
      <c r="X26" s="17" t="s">
        <v>27</v>
      </c>
      <c r="Y26" s="31">
        <v>3.0273972602739727</v>
      </c>
    </row>
    <row r="27" spans="1:26" x14ac:dyDescent="0.3">
      <c r="I27" s="23">
        <f>GETPIVOTDATA("Revenue",$H$10,"Target Achieved","Not Achieved")</f>
        <v>0.48498178488994509</v>
      </c>
      <c r="X27" s="17" t="s">
        <v>1060</v>
      </c>
      <c r="Y27" s="31">
        <v>3.0489999999999999</v>
      </c>
    </row>
    <row r="29" spans="1:26" x14ac:dyDescent="0.3">
      <c r="Z29" s="25" t="e">
        <f>GETPIVOTDATA("Net Processing Yield",$X$11)</f>
        <v>#REF!</v>
      </c>
    </row>
    <row r="32" spans="1:26" x14ac:dyDescent="0.3">
      <c r="B32">
        <f>GETPIVOTDATA("Revenue",$A$11)</f>
        <v>24568179.859999992</v>
      </c>
      <c r="S32">
        <f>GETPIVOTDATA("Processing Fee",$R$11)</f>
        <v>275304.90000000002</v>
      </c>
    </row>
    <row r="33" spans="2:12" x14ac:dyDescent="0.3">
      <c r="L33" s="28">
        <f>GETPIVOTDATA("CSAT Score",$K$10)</f>
        <v>3.0489999999999999</v>
      </c>
    </row>
    <row r="34" spans="2:12" x14ac:dyDescent="0.3">
      <c r="B34" s="27"/>
      <c r="C34" s="27"/>
      <c r="F34">
        <f>GETPIVOTDATA("Revenue",$E$11)</f>
        <v>24568179.860000003</v>
      </c>
    </row>
  </sheetData>
  <pageMargins left="0.7" right="0.7" top="0.75" bottom="0.75" header="0.3" footer="0.3"/>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9D88F-71D9-4ED9-B6CB-DF0C6A2CFE46}">
  <sheetPr>
    <tabColor rgb="FF002060"/>
  </sheetPr>
  <dimension ref="A1:AB65"/>
  <sheetViews>
    <sheetView tabSelected="1" zoomScale="54" zoomScaleNormal="55" workbookViewId="0">
      <selection activeCell="AB16" sqref="AB16"/>
    </sheetView>
  </sheetViews>
  <sheetFormatPr defaultRowHeight="14.4" x14ac:dyDescent="0.3"/>
  <cols>
    <col min="1" max="16384" width="8.88671875" style="30"/>
  </cols>
  <sheetData>
    <row r="1" spans="1:28" x14ac:dyDescent="0.3">
      <c r="A1" s="29"/>
      <c r="B1" s="29"/>
      <c r="C1" s="29"/>
      <c r="D1" s="29"/>
      <c r="E1" s="29"/>
      <c r="F1" s="29"/>
      <c r="G1" s="29"/>
      <c r="H1" s="29"/>
      <c r="I1" s="29"/>
      <c r="J1" s="29"/>
      <c r="K1" s="29"/>
      <c r="L1" s="29"/>
      <c r="M1" s="29"/>
      <c r="N1" s="29"/>
      <c r="O1" s="29"/>
      <c r="P1" s="29"/>
      <c r="Q1" s="29"/>
      <c r="R1" s="29"/>
      <c r="S1" s="29"/>
      <c r="T1" s="29"/>
      <c r="U1" s="29"/>
      <c r="V1" s="29"/>
      <c r="W1" s="29"/>
      <c r="X1" s="29"/>
    </row>
    <row r="2" spans="1:28" x14ac:dyDescent="0.3">
      <c r="A2" s="29"/>
      <c r="B2" s="29"/>
      <c r="C2" s="29"/>
      <c r="D2" s="29"/>
      <c r="E2" s="29"/>
      <c r="F2" s="29"/>
      <c r="G2" s="29"/>
      <c r="H2" s="29"/>
      <c r="I2" s="29"/>
      <c r="J2" s="29"/>
      <c r="K2" s="29"/>
      <c r="L2" s="29"/>
      <c r="M2" s="29"/>
      <c r="N2" s="29"/>
      <c r="O2" s="29"/>
      <c r="P2" s="29"/>
      <c r="Q2" s="29"/>
      <c r="R2" s="29"/>
      <c r="S2" s="29"/>
      <c r="T2" s="29"/>
      <c r="U2" s="29"/>
      <c r="V2" s="29"/>
      <c r="W2" s="29"/>
      <c r="X2" s="29"/>
    </row>
    <row r="3" spans="1:28" x14ac:dyDescent="0.3">
      <c r="A3" s="29"/>
      <c r="B3" s="29"/>
      <c r="C3" s="29"/>
      <c r="D3" s="29"/>
      <c r="E3" s="29"/>
      <c r="F3" s="29"/>
      <c r="G3" s="29"/>
      <c r="H3" s="29"/>
      <c r="I3" s="29"/>
      <c r="J3" s="29"/>
      <c r="K3" s="29"/>
      <c r="L3" s="29"/>
      <c r="M3" s="29"/>
      <c r="N3" s="29"/>
      <c r="O3" s="29"/>
      <c r="P3" s="29"/>
      <c r="Q3" s="29"/>
      <c r="R3" s="29"/>
      <c r="S3" s="29"/>
      <c r="T3" s="29"/>
      <c r="U3" s="29"/>
      <c r="V3" s="29"/>
      <c r="W3" s="29"/>
      <c r="X3" s="29"/>
    </row>
    <row r="4" spans="1:28" x14ac:dyDescent="0.3">
      <c r="A4" s="29"/>
      <c r="B4" s="29"/>
      <c r="C4" s="29"/>
      <c r="D4" s="29"/>
      <c r="E4" s="29"/>
      <c r="F4" s="29"/>
      <c r="G4" s="29"/>
      <c r="H4" s="29"/>
      <c r="I4" s="29"/>
      <c r="J4" s="29"/>
      <c r="K4" s="29"/>
      <c r="L4" s="29"/>
      <c r="M4" s="29"/>
      <c r="N4" s="29"/>
      <c r="O4" s="29"/>
      <c r="P4" s="29"/>
      <c r="Q4" s="29"/>
      <c r="R4" s="29"/>
      <c r="S4" s="29"/>
      <c r="T4" s="29"/>
      <c r="U4" s="29"/>
      <c r="V4" s="29"/>
      <c r="W4" s="29"/>
      <c r="X4" s="29"/>
    </row>
    <row r="5" spans="1:28" x14ac:dyDescent="0.3">
      <c r="A5" s="29"/>
      <c r="B5" s="29"/>
      <c r="C5" s="29"/>
      <c r="D5" s="29"/>
      <c r="E5" s="29"/>
      <c r="F5" s="29"/>
      <c r="G5" s="29"/>
      <c r="H5" s="29"/>
      <c r="I5" s="29"/>
      <c r="J5" s="29"/>
      <c r="K5" s="29"/>
      <c r="L5" s="29"/>
      <c r="M5" s="29"/>
      <c r="N5" s="29"/>
      <c r="O5" s="29"/>
      <c r="P5" s="29"/>
      <c r="Q5" s="29"/>
      <c r="R5" s="29"/>
      <c r="S5" s="29"/>
      <c r="T5" s="29"/>
      <c r="U5" s="29"/>
      <c r="V5" s="29"/>
      <c r="W5" s="29"/>
      <c r="X5" s="29"/>
    </row>
    <row r="6" spans="1:28" x14ac:dyDescent="0.3">
      <c r="A6" s="29"/>
      <c r="B6" s="29"/>
      <c r="C6" s="29"/>
      <c r="D6" s="29"/>
      <c r="E6" s="29"/>
      <c r="F6" s="29"/>
      <c r="G6" s="29"/>
      <c r="H6" s="29"/>
      <c r="I6" s="29"/>
      <c r="J6" s="29"/>
      <c r="K6" s="29"/>
      <c r="L6" s="29"/>
      <c r="M6" s="29"/>
      <c r="N6" s="29"/>
      <c r="O6" s="29"/>
      <c r="P6" s="29"/>
      <c r="Q6" s="29"/>
      <c r="R6" s="29"/>
      <c r="S6" s="29"/>
      <c r="T6" s="29"/>
      <c r="U6" s="29"/>
      <c r="V6" s="29"/>
      <c r="W6" s="29"/>
      <c r="X6" s="29"/>
    </row>
    <row r="7" spans="1:28" x14ac:dyDescent="0.3">
      <c r="A7" s="29"/>
      <c r="B7" s="29"/>
      <c r="C7" s="29"/>
      <c r="D7" s="29"/>
      <c r="E7" s="29"/>
      <c r="F7" s="29"/>
      <c r="G7" s="29"/>
      <c r="H7" s="29"/>
      <c r="I7" s="29"/>
      <c r="J7" s="29"/>
      <c r="K7" s="29"/>
      <c r="L7" s="29"/>
      <c r="M7" s="29"/>
      <c r="N7" s="29"/>
      <c r="O7" s="29"/>
      <c r="P7" s="29"/>
      <c r="Q7" s="29"/>
      <c r="R7" s="29"/>
      <c r="S7" s="29"/>
      <c r="T7" s="29"/>
      <c r="U7" s="29"/>
      <c r="V7" s="29"/>
      <c r="W7" s="29"/>
      <c r="X7" s="29"/>
    </row>
    <row r="8" spans="1:28" x14ac:dyDescent="0.3">
      <c r="A8" s="29"/>
      <c r="B8" s="29"/>
      <c r="C8" s="29"/>
      <c r="D8" s="29"/>
      <c r="E8" s="29"/>
      <c r="F8" s="29"/>
      <c r="G8" s="29"/>
      <c r="H8" s="29"/>
      <c r="I8" s="29"/>
      <c r="J8" s="29"/>
      <c r="K8" s="29"/>
      <c r="L8" s="29"/>
      <c r="M8" s="29"/>
      <c r="N8" s="29"/>
      <c r="O8" s="29"/>
      <c r="P8" s="29"/>
      <c r="Q8" s="29"/>
      <c r="R8" s="29"/>
      <c r="S8" s="29"/>
      <c r="T8" s="29"/>
      <c r="U8" s="29"/>
      <c r="V8" s="29"/>
      <c r="W8" s="29"/>
      <c r="X8" s="29"/>
    </row>
    <row r="9" spans="1:28" x14ac:dyDescent="0.3">
      <c r="A9" s="29"/>
      <c r="B9" s="29"/>
      <c r="C9" s="29"/>
      <c r="D9" s="29"/>
      <c r="E9" s="29"/>
      <c r="F9" s="29"/>
      <c r="G9" s="29"/>
      <c r="H9" s="29"/>
      <c r="I9" s="29"/>
      <c r="J9" s="29"/>
      <c r="K9" s="29"/>
      <c r="L9" s="29"/>
      <c r="M9" s="29"/>
      <c r="N9" s="29"/>
      <c r="O9" s="29"/>
      <c r="P9" s="29"/>
      <c r="Q9" s="29"/>
      <c r="R9" s="29"/>
      <c r="S9" s="29"/>
      <c r="T9" s="29"/>
      <c r="U9" s="29"/>
      <c r="V9" s="29"/>
      <c r="W9" s="29"/>
      <c r="X9" s="29"/>
    </row>
    <row r="10" spans="1:28" x14ac:dyDescent="0.3">
      <c r="A10" s="29"/>
      <c r="B10" s="29"/>
      <c r="C10" s="29"/>
      <c r="D10" s="29"/>
      <c r="E10" s="29"/>
      <c r="F10" s="29"/>
      <c r="G10" s="29"/>
      <c r="H10" s="29"/>
      <c r="I10" s="29"/>
      <c r="J10" s="29"/>
      <c r="K10" s="29"/>
      <c r="L10" s="29"/>
      <c r="M10" s="29"/>
      <c r="N10" s="29"/>
      <c r="O10" s="29"/>
      <c r="P10" s="29"/>
      <c r="Q10" s="29"/>
      <c r="R10" s="29"/>
      <c r="S10" s="29"/>
      <c r="T10" s="29"/>
      <c r="U10" s="29"/>
      <c r="V10" s="29"/>
      <c r="W10" s="29"/>
      <c r="X10" s="29"/>
    </row>
    <row r="11" spans="1:28" x14ac:dyDescent="0.3">
      <c r="A11" s="29"/>
      <c r="B11" s="29"/>
      <c r="C11" s="29"/>
      <c r="D11" s="29"/>
      <c r="E11" s="29"/>
      <c r="F11" s="29"/>
      <c r="G11" s="29"/>
      <c r="H11" s="29"/>
      <c r="I11" s="29"/>
      <c r="J11" s="29"/>
      <c r="K11" s="29"/>
      <c r="L11" s="29"/>
      <c r="M11" s="29"/>
      <c r="N11" s="29"/>
      <c r="O11" s="29"/>
      <c r="P11" s="29"/>
      <c r="Q11" s="29"/>
      <c r="R11" s="29"/>
      <c r="S11" s="29"/>
      <c r="T11" s="29"/>
      <c r="U11" s="29"/>
      <c r="V11" s="29"/>
      <c r="W11" s="29"/>
      <c r="X11" s="29"/>
    </row>
    <row r="12" spans="1:28" x14ac:dyDescent="0.3">
      <c r="A12" s="29"/>
      <c r="B12" s="29"/>
      <c r="C12" s="29"/>
      <c r="D12" s="29"/>
      <c r="E12" s="29"/>
      <c r="F12" s="29"/>
      <c r="G12" s="29"/>
      <c r="H12" s="29"/>
      <c r="I12" s="29"/>
      <c r="J12" s="29"/>
      <c r="K12" s="29"/>
      <c r="L12" s="29"/>
      <c r="M12" s="29"/>
      <c r="N12" s="29"/>
      <c r="O12" s="29"/>
      <c r="P12" s="29"/>
      <c r="Q12" s="29"/>
      <c r="R12" s="29"/>
      <c r="S12" s="29"/>
      <c r="T12" s="29"/>
      <c r="U12" s="29"/>
      <c r="V12" s="29"/>
      <c r="W12" s="29"/>
      <c r="X12" s="29"/>
    </row>
    <row r="13" spans="1:28" x14ac:dyDescent="0.3">
      <c r="A13" s="29"/>
      <c r="B13" s="29"/>
      <c r="C13" s="29"/>
      <c r="D13" s="29"/>
      <c r="E13" s="29"/>
      <c r="F13" s="29"/>
      <c r="G13" s="29"/>
      <c r="H13" s="29"/>
      <c r="I13" s="29"/>
      <c r="J13" s="29"/>
      <c r="K13" s="29"/>
      <c r="L13" s="29"/>
      <c r="M13" s="29"/>
      <c r="N13" s="29"/>
      <c r="O13" s="29"/>
      <c r="P13" s="29"/>
      <c r="Q13" s="29"/>
      <c r="R13" s="29"/>
      <c r="S13" s="29"/>
      <c r="T13" s="29"/>
      <c r="U13" s="29"/>
      <c r="V13" s="29"/>
      <c r="W13" s="29"/>
      <c r="X13" s="29"/>
    </row>
    <row r="14" spans="1:28" x14ac:dyDescent="0.3">
      <c r="A14" s="29"/>
      <c r="B14" s="29"/>
      <c r="C14" s="29"/>
      <c r="D14" s="29"/>
      <c r="E14" s="29"/>
      <c r="F14" s="29"/>
      <c r="G14" s="29"/>
      <c r="H14" s="29"/>
      <c r="I14" s="29"/>
      <c r="J14" s="29"/>
      <c r="K14" s="29"/>
      <c r="L14" s="29"/>
      <c r="M14" s="29"/>
      <c r="N14" s="29"/>
      <c r="O14" s="29"/>
      <c r="P14" s="29"/>
      <c r="Q14" s="29"/>
      <c r="R14" s="29"/>
      <c r="S14" s="29"/>
      <c r="T14" s="29"/>
      <c r="U14" s="29"/>
      <c r="V14" s="29"/>
      <c r="W14" s="29"/>
      <c r="X14" s="29"/>
    </row>
    <row r="15" spans="1:28" x14ac:dyDescent="0.3">
      <c r="A15" s="29"/>
      <c r="B15" s="29"/>
      <c r="C15" s="29"/>
      <c r="D15" s="29"/>
      <c r="E15" s="29"/>
      <c r="F15" s="29"/>
      <c r="G15" s="29"/>
      <c r="H15" s="29"/>
      <c r="I15" s="29"/>
      <c r="J15" s="29"/>
      <c r="K15" s="29"/>
      <c r="L15" s="29"/>
      <c r="M15" s="29"/>
      <c r="N15" s="29"/>
      <c r="O15" s="29"/>
      <c r="P15" s="29"/>
      <c r="Q15" s="29"/>
      <c r="R15" s="29"/>
      <c r="S15" s="29"/>
      <c r="T15" s="29"/>
      <c r="U15" s="29"/>
      <c r="V15" s="29"/>
      <c r="W15" s="29"/>
      <c r="X15" s="29"/>
    </row>
    <row r="16" spans="1:28" x14ac:dyDescent="0.3">
      <c r="A16" s="29"/>
      <c r="B16" s="29"/>
      <c r="C16" s="29"/>
      <c r="D16" s="29"/>
      <c r="E16" s="29"/>
      <c r="F16" s="29"/>
      <c r="G16" s="29"/>
      <c r="H16" s="29"/>
      <c r="I16" s="29"/>
      <c r="J16" s="29"/>
      <c r="K16" s="29"/>
      <c r="L16" s="29"/>
      <c r="M16" s="29"/>
      <c r="N16" s="29"/>
      <c r="O16" s="29"/>
      <c r="P16" s="29"/>
      <c r="Q16" s="29"/>
      <c r="R16" s="29"/>
      <c r="S16" s="29"/>
      <c r="T16" s="29"/>
      <c r="U16" s="29"/>
      <c r="V16" s="29"/>
      <c r="W16" s="29"/>
      <c r="X16" s="29"/>
      <c r="AB16" s="30" t="s">
        <v>1089</v>
      </c>
    </row>
    <row r="17" spans="1:24" x14ac:dyDescent="0.3">
      <c r="A17" s="29"/>
      <c r="B17" s="29"/>
      <c r="C17" s="29"/>
      <c r="D17" s="29"/>
      <c r="E17" s="29"/>
      <c r="F17" s="29"/>
      <c r="G17" s="29"/>
      <c r="H17" s="29"/>
      <c r="I17" s="29"/>
      <c r="J17" s="29"/>
      <c r="K17" s="29"/>
      <c r="L17" s="29"/>
      <c r="M17" s="29"/>
      <c r="N17" s="29"/>
      <c r="O17" s="29"/>
      <c r="P17" s="29"/>
      <c r="Q17" s="29"/>
      <c r="R17" s="29"/>
      <c r="S17" s="29"/>
      <c r="T17" s="29"/>
      <c r="U17" s="29"/>
      <c r="V17" s="29"/>
      <c r="W17" s="29"/>
      <c r="X17" s="29"/>
    </row>
    <row r="18" spans="1:24" x14ac:dyDescent="0.3">
      <c r="A18" s="29"/>
      <c r="B18" s="29"/>
      <c r="C18" s="29"/>
      <c r="D18" s="29"/>
      <c r="E18" s="29"/>
      <c r="F18" s="29"/>
      <c r="G18" s="29"/>
      <c r="H18" s="29"/>
      <c r="I18" s="29"/>
      <c r="J18" s="29"/>
      <c r="K18" s="29"/>
      <c r="L18" s="29"/>
      <c r="M18" s="29"/>
      <c r="N18" s="29"/>
      <c r="O18" s="29"/>
      <c r="P18" s="29"/>
      <c r="Q18" s="29"/>
      <c r="R18" s="29"/>
      <c r="S18" s="29"/>
      <c r="T18" s="29"/>
      <c r="U18" s="29"/>
      <c r="V18" s="29"/>
      <c r="W18" s="29"/>
      <c r="X18" s="29"/>
    </row>
    <row r="19" spans="1:24" x14ac:dyDescent="0.3">
      <c r="A19" s="29"/>
      <c r="B19" s="29"/>
      <c r="C19" s="29"/>
      <c r="D19" s="29"/>
      <c r="E19" s="29"/>
      <c r="F19" s="29"/>
      <c r="G19" s="29"/>
      <c r="H19" s="29"/>
      <c r="I19" s="29"/>
      <c r="J19" s="29"/>
      <c r="K19" s="29"/>
      <c r="L19" s="29"/>
      <c r="M19" s="29"/>
      <c r="N19" s="29"/>
      <c r="O19" s="29"/>
      <c r="P19" s="29"/>
      <c r="Q19" s="29"/>
      <c r="R19" s="29"/>
      <c r="S19" s="29"/>
      <c r="T19" s="29"/>
      <c r="U19" s="29"/>
      <c r="V19" s="29"/>
      <c r="W19" s="29"/>
      <c r="X19" s="29"/>
    </row>
    <row r="20" spans="1:24" x14ac:dyDescent="0.3">
      <c r="A20" s="29"/>
      <c r="B20" s="29"/>
      <c r="C20" s="29"/>
      <c r="D20" s="29"/>
      <c r="E20" s="29"/>
      <c r="F20" s="29"/>
      <c r="G20" s="29"/>
      <c r="H20" s="29"/>
      <c r="I20" s="29"/>
      <c r="J20" s="29"/>
      <c r="K20" s="29"/>
      <c r="L20" s="29"/>
      <c r="M20" s="29"/>
      <c r="N20" s="29"/>
      <c r="O20" s="29"/>
      <c r="P20" s="29"/>
      <c r="Q20" s="29"/>
      <c r="R20" s="29"/>
      <c r="S20" s="29"/>
      <c r="T20" s="29"/>
      <c r="U20" s="29"/>
      <c r="V20" s="29"/>
      <c r="W20" s="29"/>
      <c r="X20" s="29"/>
    </row>
    <row r="21" spans="1:24" x14ac:dyDescent="0.3">
      <c r="A21" s="29"/>
      <c r="B21" s="29"/>
      <c r="C21" s="29"/>
      <c r="D21" s="29"/>
      <c r="E21" s="29"/>
      <c r="F21" s="29"/>
      <c r="G21" s="29"/>
      <c r="H21" s="29"/>
      <c r="I21" s="29"/>
      <c r="J21" s="29"/>
      <c r="K21" s="29"/>
      <c r="L21" s="29"/>
      <c r="M21" s="29"/>
      <c r="N21" s="29"/>
      <c r="O21" s="29"/>
      <c r="P21" s="29"/>
      <c r="Q21" s="29"/>
      <c r="R21" s="29"/>
      <c r="S21" s="29"/>
      <c r="T21" s="29"/>
      <c r="U21" s="29"/>
      <c r="V21" s="29"/>
      <c r="W21" s="29"/>
      <c r="X21" s="29"/>
    </row>
    <row r="22" spans="1:24" x14ac:dyDescent="0.3">
      <c r="A22" s="29"/>
      <c r="B22" s="29"/>
      <c r="C22" s="29"/>
      <c r="D22" s="29"/>
      <c r="E22" s="29"/>
      <c r="F22" s="29"/>
      <c r="G22" s="29"/>
      <c r="H22" s="29"/>
      <c r="I22" s="29"/>
      <c r="J22" s="29"/>
      <c r="K22" s="29"/>
      <c r="L22" s="29"/>
      <c r="M22" s="29"/>
      <c r="N22" s="29"/>
      <c r="O22" s="29"/>
      <c r="P22" s="29"/>
      <c r="Q22" s="29"/>
      <c r="R22" s="29"/>
      <c r="S22" s="29"/>
      <c r="T22" s="29"/>
      <c r="U22" s="29"/>
      <c r="V22" s="29"/>
      <c r="W22" s="29"/>
      <c r="X22" s="29"/>
    </row>
    <row r="23" spans="1:24" x14ac:dyDescent="0.3">
      <c r="A23" s="29"/>
      <c r="B23" s="29"/>
      <c r="C23" s="29"/>
      <c r="D23" s="29"/>
      <c r="E23" s="29"/>
      <c r="F23" s="29"/>
      <c r="G23" s="29"/>
      <c r="H23" s="29"/>
      <c r="I23" s="29"/>
      <c r="J23" s="29"/>
      <c r="K23" s="29"/>
      <c r="L23" s="29"/>
      <c r="M23" s="29"/>
      <c r="N23" s="29"/>
      <c r="O23" s="29"/>
      <c r="P23" s="29"/>
      <c r="Q23" s="29"/>
      <c r="R23" s="29"/>
      <c r="S23" s="29"/>
      <c r="T23" s="29"/>
      <c r="U23" s="29"/>
      <c r="V23" s="29"/>
      <c r="W23" s="29"/>
      <c r="X23" s="29"/>
    </row>
    <row r="24" spans="1:24" x14ac:dyDescent="0.3">
      <c r="A24" s="29"/>
      <c r="B24" s="29"/>
      <c r="C24" s="29"/>
      <c r="D24" s="29"/>
      <c r="E24" s="29"/>
      <c r="F24" s="29"/>
      <c r="G24" s="29"/>
      <c r="H24" s="29"/>
      <c r="I24" s="29"/>
      <c r="J24" s="29"/>
      <c r="K24" s="29"/>
      <c r="L24" s="29"/>
      <c r="M24" s="29"/>
      <c r="N24" s="29"/>
      <c r="O24" s="29"/>
      <c r="P24" s="29"/>
      <c r="Q24" s="29"/>
      <c r="R24" s="29"/>
      <c r="S24" s="29"/>
      <c r="T24" s="29"/>
      <c r="U24" s="29"/>
      <c r="V24" s="29"/>
      <c r="W24" s="29"/>
      <c r="X24" s="29"/>
    </row>
    <row r="25" spans="1:24" x14ac:dyDescent="0.3">
      <c r="A25" s="29"/>
      <c r="B25" s="29"/>
      <c r="C25" s="29"/>
      <c r="D25" s="29"/>
      <c r="E25" s="29"/>
      <c r="F25" s="29"/>
      <c r="G25" s="29"/>
      <c r="H25" s="29"/>
      <c r="I25" s="29"/>
      <c r="J25" s="29"/>
      <c r="K25" s="29"/>
      <c r="L25" s="29"/>
      <c r="M25" s="29"/>
      <c r="N25" s="29"/>
      <c r="O25" s="29"/>
      <c r="P25" s="29"/>
      <c r="Q25" s="29"/>
      <c r="R25" s="29"/>
      <c r="S25" s="29"/>
      <c r="T25" s="29"/>
      <c r="U25" s="29"/>
      <c r="V25" s="29"/>
      <c r="W25" s="29"/>
      <c r="X25" s="29"/>
    </row>
    <row r="26" spans="1:24" x14ac:dyDescent="0.3">
      <c r="A26" s="29"/>
      <c r="B26" s="29"/>
      <c r="C26" s="29"/>
      <c r="D26" s="29"/>
      <c r="E26" s="29"/>
      <c r="F26" s="29"/>
      <c r="G26" s="29"/>
      <c r="H26" s="29"/>
      <c r="I26" s="29"/>
      <c r="J26" s="29"/>
      <c r="K26" s="29"/>
      <c r="L26" s="29"/>
      <c r="M26" s="29"/>
      <c r="N26" s="29"/>
      <c r="O26" s="29"/>
      <c r="P26" s="29"/>
      <c r="Q26" s="29"/>
      <c r="R26" s="29"/>
      <c r="S26" s="29"/>
      <c r="T26" s="29"/>
      <c r="U26" s="29"/>
      <c r="V26" s="29"/>
      <c r="W26" s="29"/>
      <c r="X26" s="29"/>
    </row>
    <row r="27" spans="1:24" x14ac:dyDescent="0.3">
      <c r="A27" s="29"/>
      <c r="B27" s="29"/>
      <c r="C27" s="29"/>
      <c r="D27" s="29"/>
      <c r="E27" s="29"/>
      <c r="F27" s="29"/>
      <c r="G27" s="29"/>
      <c r="H27" s="29"/>
      <c r="I27" s="29"/>
      <c r="J27" s="29"/>
      <c r="K27" s="29"/>
      <c r="L27" s="29"/>
      <c r="M27" s="29"/>
      <c r="N27" s="29"/>
      <c r="O27" s="29"/>
      <c r="P27" s="29"/>
      <c r="Q27" s="29"/>
      <c r="R27" s="29"/>
      <c r="S27" s="29"/>
      <c r="T27" s="29"/>
      <c r="U27" s="29"/>
      <c r="V27" s="29"/>
      <c r="W27" s="29"/>
      <c r="X27" s="29"/>
    </row>
    <row r="28" spans="1:24" x14ac:dyDescent="0.3">
      <c r="A28" s="29"/>
      <c r="B28" s="29"/>
      <c r="C28" s="29"/>
      <c r="D28" s="29"/>
      <c r="E28" s="29"/>
      <c r="F28" s="29"/>
      <c r="G28" s="29"/>
      <c r="H28" s="29"/>
      <c r="I28" s="29"/>
      <c r="J28" s="29"/>
      <c r="K28" s="29"/>
      <c r="L28" s="29"/>
      <c r="M28" s="29"/>
      <c r="N28" s="29"/>
      <c r="O28" s="29"/>
      <c r="P28" s="29"/>
      <c r="Q28" s="29"/>
      <c r="R28" s="29"/>
      <c r="S28" s="29"/>
      <c r="T28" s="29"/>
      <c r="U28" s="29"/>
      <c r="V28" s="29"/>
      <c r="W28" s="29"/>
      <c r="X28" s="29"/>
    </row>
    <row r="29" spans="1:24" x14ac:dyDescent="0.3">
      <c r="A29" s="29"/>
      <c r="B29" s="29"/>
      <c r="C29" s="29"/>
      <c r="D29" s="29"/>
      <c r="E29" s="29"/>
      <c r="F29" s="29"/>
      <c r="G29" s="29"/>
      <c r="H29" s="29"/>
      <c r="I29" s="29"/>
      <c r="J29" s="29"/>
      <c r="K29" s="29"/>
      <c r="L29" s="29"/>
      <c r="M29" s="29"/>
      <c r="N29" s="29"/>
      <c r="O29" s="29"/>
      <c r="P29" s="29"/>
      <c r="Q29" s="29"/>
      <c r="R29" s="29"/>
      <c r="S29" s="29"/>
      <c r="T29" s="29"/>
      <c r="U29" s="29"/>
      <c r="V29" s="29"/>
      <c r="W29" s="29"/>
      <c r="X29" s="29"/>
    </row>
    <row r="30" spans="1:24" x14ac:dyDescent="0.3">
      <c r="A30" s="29"/>
      <c r="B30" s="29"/>
      <c r="C30" s="29"/>
      <c r="D30" s="29"/>
      <c r="E30" s="29"/>
      <c r="F30" s="29"/>
      <c r="G30" s="29"/>
      <c r="H30" s="29"/>
      <c r="I30" s="29"/>
      <c r="J30" s="29"/>
      <c r="K30" s="29"/>
      <c r="L30" s="29"/>
      <c r="M30" s="29"/>
      <c r="N30" s="29"/>
      <c r="O30" s="29"/>
      <c r="P30" s="29"/>
      <c r="Q30" s="29"/>
      <c r="R30" s="29"/>
      <c r="S30" s="29"/>
      <c r="T30" s="29"/>
      <c r="U30" s="29"/>
      <c r="V30" s="29"/>
      <c r="W30" s="29"/>
      <c r="X30" s="29"/>
    </row>
    <row r="31" spans="1:24" x14ac:dyDescent="0.3">
      <c r="A31" s="29"/>
      <c r="B31" s="29"/>
      <c r="C31" s="29"/>
      <c r="D31" s="29"/>
      <c r="E31" s="29"/>
      <c r="F31" s="29"/>
      <c r="G31" s="29"/>
      <c r="H31" s="29"/>
      <c r="I31" s="29"/>
      <c r="J31" s="29"/>
      <c r="K31" s="29"/>
      <c r="L31" s="29"/>
      <c r="M31" s="29"/>
      <c r="N31" s="29"/>
      <c r="O31" s="29"/>
      <c r="P31" s="29"/>
      <c r="Q31" s="29"/>
      <c r="R31" s="29"/>
      <c r="S31" s="29"/>
      <c r="T31" s="29"/>
      <c r="U31" s="29"/>
      <c r="V31" s="29"/>
      <c r="W31" s="29"/>
      <c r="X31" s="29"/>
    </row>
    <row r="32" spans="1:24" x14ac:dyDescent="0.3">
      <c r="A32" s="29"/>
      <c r="B32" s="29"/>
      <c r="C32" s="29"/>
      <c r="D32" s="29"/>
      <c r="E32" s="29"/>
      <c r="F32" s="29"/>
      <c r="G32" s="29"/>
      <c r="H32" s="29"/>
      <c r="I32" s="29"/>
      <c r="J32" s="29"/>
      <c r="K32" s="29"/>
      <c r="L32" s="29"/>
      <c r="M32" s="29"/>
      <c r="N32" s="29"/>
      <c r="O32" s="29"/>
      <c r="P32" s="29"/>
      <c r="Q32" s="29"/>
      <c r="R32" s="29"/>
      <c r="S32" s="29"/>
      <c r="T32" s="29"/>
      <c r="U32" s="29"/>
      <c r="V32" s="29"/>
      <c r="W32" s="29"/>
      <c r="X32" s="29"/>
    </row>
    <row r="33" spans="1:24" x14ac:dyDescent="0.3">
      <c r="A33" s="29"/>
      <c r="B33" s="29"/>
      <c r="C33" s="29"/>
      <c r="D33" s="29"/>
      <c r="E33" s="29"/>
      <c r="F33" s="29"/>
      <c r="G33" s="29"/>
      <c r="H33" s="29"/>
      <c r="I33" s="29"/>
      <c r="J33" s="29"/>
      <c r="K33" s="29"/>
      <c r="L33" s="29"/>
      <c r="M33" s="29"/>
      <c r="N33" s="29"/>
      <c r="O33" s="29"/>
      <c r="P33" s="29"/>
      <c r="Q33" s="29"/>
      <c r="R33" s="29"/>
      <c r="S33" s="29"/>
      <c r="T33" s="29"/>
      <c r="U33" s="29"/>
      <c r="V33" s="29"/>
      <c r="W33" s="29"/>
      <c r="X33" s="29"/>
    </row>
    <row r="34" spans="1:24" x14ac:dyDescent="0.3">
      <c r="A34" s="29"/>
      <c r="B34" s="29"/>
      <c r="C34" s="29"/>
      <c r="D34" s="29"/>
      <c r="E34" s="29"/>
      <c r="F34" s="29"/>
      <c r="G34" s="29"/>
      <c r="H34" s="29"/>
      <c r="I34" s="29"/>
      <c r="J34" s="29"/>
      <c r="K34" s="29"/>
      <c r="L34" s="29"/>
      <c r="M34" s="29"/>
      <c r="N34" s="29"/>
      <c r="O34" s="29"/>
      <c r="P34" s="29"/>
      <c r="Q34" s="29"/>
      <c r="R34" s="29"/>
      <c r="S34" s="29"/>
      <c r="T34" s="29"/>
      <c r="U34" s="29"/>
      <c r="V34" s="29"/>
      <c r="W34" s="29"/>
      <c r="X34" s="29"/>
    </row>
    <row r="35" spans="1:24" x14ac:dyDescent="0.3">
      <c r="A35" s="29"/>
      <c r="B35" s="29"/>
      <c r="C35" s="29"/>
      <c r="D35" s="29"/>
      <c r="E35" s="29"/>
      <c r="F35" s="29"/>
      <c r="G35" s="29"/>
      <c r="H35" s="29"/>
      <c r="I35" s="29"/>
      <c r="J35" s="29"/>
      <c r="K35" s="29"/>
      <c r="L35" s="29"/>
      <c r="M35" s="29"/>
      <c r="N35" s="29"/>
      <c r="O35" s="29"/>
      <c r="P35" s="29"/>
      <c r="Q35" s="29"/>
      <c r="R35" s="29"/>
      <c r="S35" s="29"/>
      <c r="T35" s="29"/>
      <c r="U35" s="29"/>
      <c r="V35" s="29"/>
      <c r="W35" s="29"/>
      <c r="X35" s="29"/>
    </row>
    <row r="36" spans="1:24" x14ac:dyDescent="0.3">
      <c r="A36" s="29"/>
      <c r="B36" s="29"/>
      <c r="C36" s="29"/>
      <c r="D36" s="29"/>
      <c r="E36" s="29"/>
      <c r="F36" s="29"/>
      <c r="G36" s="29"/>
      <c r="H36" s="29"/>
      <c r="I36" s="29"/>
      <c r="J36" s="29"/>
      <c r="K36" s="29"/>
      <c r="L36" s="29"/>
      <c r="M36" s="29"/>
      <c r="N36" s="29"/>
      <c r="O36" s="29"/>
      <c r="P36" s="29"/>
      <c r="Q36" s="29"/>
      <c r="R36" s="29"/>
      <c r="S36" s="29"/>
      <c r="T36" s="29"/>
      <c r="U36" s="29"/>
      <c r="V36" s="29"/>
      <c r="W36" s="29"/>
      <c r="X36" s="29"/>
    </row>
    <row r="37" spans="1:24" x14ac:dyDescent="0.3">
      <c r="A37" s="29"/>
      <c r="B37" s="29"/>
      <c r="C37" s="29"/>
      <c r="D37" s="29"/>
      <c r="E37" s="29"/>
      <c r="F37" s="29"/>
      <c r="G37" s="29"/>
      <c r="H37" s="29"/>
      <c r="I37" s="29"/>
      <c r="J37" s="29"/>
      <c r="K37" s="29"/>
      <c r="L37" s="29"/>
      <c r="M37" s="29"/>
      <c r="N37" s="29"/>
      <c r="O37" s="29"/>
      <c r="P37" s="29"/>
      <c r="Q37" s="29"/>
      <c r="R37" s="29"/>
      <c r="S37" s="29"/>
      <c r="T37" s="29"/>
      <c r="U37" s="29"/>
      <c r="V37" s="29"/>
      <c r="W37" s="29"/>
      <c r="X37" s="29"/>
    </row>
    <row r="38" spans="1:24" x14ac:dyDescent="0.3">
      <c r="A38" s="29"/>
      <c r="B38" s="29"/>
      <c r="C38" s="29"/>
      <c r="D38" s="29"/>
      <c r="E38" s="29"/>
      <c r="F38" s="29"/>
      <c r="G38" s="29"/>
      <c r="H38" s="29"/>
      <c r="I38" s="29"/>
      <c r="J38" s="29"/>
      <c r="K38" s="29"/>
      <c r="L38" s="29"/>
      <c r="M38" s="29"/>
      <c r="N38" s="29"/>
      <c r="O38" s="29"/>
      <c r="P38" s="29"/>
      <c r="Q38" s="29"/>
      <c r="R38" s="29"/>
      <c r="S38" s="29"/>
      <c r="T38" s="29"/>
      <c r="U38" s="29"/>
      <c r="V38" s="29"/>
      <c r="W38" s="29"/>
      <c r="X38" s="29"/>
    </row>
    <row r="39" spans="1:24" x14ac:dyDescent="0.3">
      <c r="A39" s="29"/>
      <c r="B39" s="29"/>
      <c r="C39" s="29"/>
      <c r="D39" s="29"/>
      <c r="E39" s="29"/>
      <c r="F39" s="29"/>
      <c r="G39" s="29"/>
      <c r="H39" s="29"/>
      <c r="I39" s="29"/>
      <c r="J39" s="29"/>
      <c r="K39" s="29"/>
      <c r="L39" s="29"/>
      <c r="M39" s="29"/>
      <c r="N39" s="29"/>
      <c r="O39" s="29"/>
      <c r="P39" s="29"/>
      <c r="Q39" s="29"/>
      <c r="R39" s="29"/>
      <c r="S39" s="29"/>
      <c r="T39" s="29"/>
      <c r="U39" s="29"/>
      <c r="V39" s="29"/>
      <c r="W39" s="29"/>
      <c r="X39" s="29"/>
    </row>
    <row r="40" spans="1:24" x14ac:dyDescent="0.3">
      <c r="A40" s="29"/>
      <c r="B40" s="29"/>
      <c r="C40" s="29"/>
      <c r="D40" s="29"/>
      <c r="E40" s="29"/>
      <c r="F40" s="29"/>
      <c r="G40" s="29"/>
      <c r="H40" s="29"/>
      <c r="I40" s="29"/>
      <c r="J40" s="29"/>
      <c r="K40" s="29"/>
      <c r="L40" s="29"/>
      <c r="M40" s="29"/>
      <c r="N40" s="29"/>
      <c r="O40" s="29"/>
      <c r="P40" s="29"/>
      <c r="Q40" s="29"/>
      <c r="R40" s="29"/>
      <c r="S40" s="29"/>
      <c r="T40" s="29"/>
      <c r="U40" s="29"/>
      <c r="V40" s="29"/>
      <c r="W40" s="29"/>
      <c r="X40" s="29"/>
    </row>
    <row r="41" spans="1:24" x14ac:dyDescent="0.3">
      <c r="A41" s="29"/>
      <c r="B41" s="29"/>
      <c r="C41" s="29"/>
      <c r="D41" s="29"/>
      <c r="E41" s="29"/>
      <c r="F41" s="29"/>
      <c r="G41" s="29"/>
      <c r="H41" s="29"/>
      <c r="I41" s="29"/>
      <c r="J41" s="29"/>
      <c r="K41" s="29"/>
      <c r="L41" s="29"/>
      <c r="M41" s="29"/>
      <c r="N41" s="29"/>
      <c r="O41" s="29"/>
      <c r="P41" s="29"/>
      <c r="Q41" s="29"/>
      <c r="R41" s="29"/>
      <c r="S41" s="29"/>
      <c r="T41" s="29"/>
      <c r="U41" s="29"/>
      <c r="V41" s="29"/>
      <c r="W41" s="29"/>
      <c r="X41" s="29"/>
    </row>
    <row r="42" spans="1:24" x14ac:dyDescent="0.3">
      <c r="A42" s="29"/>
      <c r="B42" s="29"/>
      <c r="C42" s="29"/>
      <c r="D42" s="29"/>
      <c r="E42" s="29"/>
      <c r="F42" s="29"/>
      <c r="G42" s="29"/>
      <c r="H42" s="29"/>
      <c r="I42" s="29"/>
      <c r="J42" s="29"/>
      <c r="K42" s="29"/>
      <c r="L42" s="29"/>
      <c r="M42" s="29"/>
      <c r="N42" s="29"/>
      <c r="O42" s="29"/>
      <c r="P42" s="29"/>
      <c r="Q42" s="29"/>
      <c r="R42" s="29"/>
      <c r="S42" s="29"/>
      <c r="T42" s="29"/>
      <c r="U42" s="29"/>
      <c r="V42" s="29"/>
      <c r="W42" s="29"/>
      <c r="X42" s="29"/>
    </row>
    <row r="43" spans="1:24" x14ac:dyDescent="0.3">
      <c r="A43" s="29"/>
      <c r="B43" s="29"/>
      <c r="C43" s="29"/>
      <c r="D43" s="29"/>
      <c r="E43" s="29"/>
      <c r="F43" s="29"/>
      <c r="G43" s="29"/>
      <c r="H43" s="29"/>
      <c r="I43" s="29"/>
      <c r="J43" s="29"/>
      <c r="K43" s="29"/>
      <c r="L43" s="29"/>
      <c r="M43" s="29"/>
      <c r="N43" s="29"/>
      <c r="O43" s="29"/>
      <c r="P43" s="29"/>
      <c r="Q43" s="29"/>
      <c r="R43" s="29"/>
      <c r="S43" s="29"/>
      <c r="T43" s="29"/>
      <c r="U43" s="29"/>
      <c r="V43" s="29"/>
      <c r="W43" s="29"/>
      <c r="X43" s="29"/>
    </row>
    <row r="44" spans="1:24" x14ac:dyDescent="0.3">
      <c r="A44" s="29"/>
      <c r="B44" s="29"/>
      <c r="C44" s="29"/>
      <c r="D44" s="29"/>
      <c r="E44" s="29"/>
      <c r="F44" s="29"/>
      <c r="G44" s="29"/>
      <c r="H44" s="29"/>
      <c r="I44" s="29"/>
      <c r="J44" s="29"/>
      <c r="K44" s="29"/>
      <c r="L44" s="29"/>
      <c r="M44" s="29"/>
      <c r="N44" s="29"/>
      <c r="O44" s="29"/>
      <c r="P44" s="29"/>
      <c r="Q44" s="29"/>
      <c r="R44" s="29"/>
      <c r="S44" s="29"/>
      <c r="T44" s="29"/>
      <c r="U44" s="29"/>
      <c r="V44" s="29"/>
      <c r="W44" s="29"/>
      <c r="X44" s="29"/>
    </row>
    <row r="45" spans="1:24" x14ac:dyDescent="0.3">
      <c r="A45" s="29"/>
      <c r="B45" s="29"/>
      <c r="C45" s="29"/>
      <c r="D45" s="29"/>
      <c r="E45" s="29"/>
      <c r="F45" s="29"/>
      <c r="G45" s="29"/>
      <c r="H45" s="29"/>
      <c r="I45" s="29"/>
      <c r="J45" s="29"/>
      <c r="K45" s="29"/>
      <c r="L45" s="29"/>
      <c r="M45" s="29"/>
      <c r="N45" s="29"/>
      <c r="O45" s="29"/>
      <c r="P45" s="29"/>
      <c r="Q45" s="29"/>
      <c r="R45" s="29"/>
      <c r="S45" s="29"/>
      <c r="T45" s="29"/>
      <c r="U45" s="29"/>
      <c r="V45" s="29"/>
      <c r="W45" s="29"/>
      <c r="X45" s="29"/>
    </row>
    <row r="46" spans="1:24" x14ac:dyDescent="0.3">
      <c r="A46" s="29"/>
      <c r="B46" s="29"/>
      <c r="C46" s="29"/>
      <c r="D46" s="29"/>
      <c r="E46" s="29"/>
      <c r="F46" s="29"/>
      <c r="G46" s="29"/>
      <c r="H46" s="29"/>
      <c r="I46" s="29"/>
      <c r="J46" s="29"/>
      <c r="K46" s="29"/>
      <c r="L46" s="29"/>
      <c r="M46" s="29"/>
      <c r="N46" s="29"/>
      <c r="O46" s="29"/>
      <c r="P46" s="29"/>
      <c r="Q46" s="29"/>
      <c r="R46" s="29"/>
      <c r="S46" s="29"/>
      <c r="T46" s="29"/>
      <c r="U46" s="29"/>
      <c r="V46" s="29"/>
      <c r="W46" s="29"/>
      <c r="X46" s="29"/>
    </row>
    <row r="47" spans="1:24" x14ac:dyDescent="0.3">
      <c r="A47" s="29"/>
      <c r="B47" s="29"/>
      <c r="C47" s="29"/>
      <c r="D47" s="29"/>
      <c r="E47" s="29"/>
      <c r="F47" s="29"/>
      <c r="G47" s="29"/>
      <c r="H47" s="29"/>
      <c r="I47" s="29"/>
      <c r="J47" s="29"/>
      <c r="K47" s="29"/>
      <c r="L47" s="29"/>
      <c r="M47" s="29"/>
      <c r="N47" s="29"/>
      <c r="O47" s="29"/>
      <c r="P47" s="29"/>
      <c r="Q47" s="29"/>
      <c r="R47" s="29"/>
      <c r="S47" s="29"/>
      <c r="T47" s="29"/>
      <c r="U47" s="29"/>
      <c r="V47" s="29"/>
      <c r="W47" s="29"/>
    </row>
    <row r="48" spans="1:24" x14ac:dyDescent="0.3">
      <c r="A48" s="32"/>
      <c r="B48" s="32"/>
      <c r="C48" s="32"/>
      <c r="D48" s="32"/>
      <c r="E48" s="32"/>
      <c r="F48" s="32"/>
      <c r="G48" s="32"/>
      <c r="H48" s="32"/>
      <c r="I48" s="32"/>
      <c r="J48" s="32"/>
      <c r="K48" s="32"/>
      <c r="L48" s="32"/>
      <c r="M48" s="32"/>
      <c r="N48" s="32"/>
      <c r="O48" s="32"/>
      <c r="P48" s="32"/>
      <c r="Q48" s="32"/>
      <c r="R48" s="32"/>
      <c r="S48" s="32"/>
      <c r="T48" s="32"/>
    </row>
    <row r="49" spans="1:20" x14ac:dyDescent="0.3">
      <c r="A49" s="32"/>
      <c r="B49" s="32"/>
      <c r="C49" s="32"/>
      <c r="D49" s="32"/>
      <c r="E49" s="32"/>
      <c r="F49" s="32"/>
      <c r="G49" s="32"/>
      <c r="H49" s="32"/>
      <c r="I49" s="32"/>
      <c r="J49" s="32"/>
      <c r="K49" s="32"/>
      <c r="L49" s="32"/>
      <c r="M49" s="32"/>
      <c r="N49" s="32"/>
      <c r="O49" s="32"/>
      <c r="P49" s="32"/>
      <c r="Q49" s="32"/>
      <c r="R49" s="32"/>
      <c r="S49" s="32"/>
      <c r="T49" s="32"/>
    </row>
    <row r="50" spans="1:20" x14ac:dyDescent="0.3">
      <c r="A50" s="32"/>
      <c r="B50" s="32"/>
      <c r="C50" s="32"/>
      <c r="D50" s="32"/>
      <c r="E50" s="32"/>
      <c r="F50" s="32"/>
      <c r="G50" s="32"/>
      <c r="H50" s="32"/>
      <c r="I50" s="32"/>
      <c r="J50" s="32"/>
      <c r="K50" s="32"/>
      <c r="L50" s="32"/>
      <c r="M50" s="32"/>
      <c r="N50" s="32"/>
      <c r="O50" s="32"/>
      <c r="P50" s="32"/>
      <c r="Q50" s="32"/>
      <c r="R50" s="32"/>
      <c r="S50" s="32"/>
      <c r="T50" s="32"/>
    </row>
    <row r="51" spans="1:20" x14ac:dyDescent="0.3">
      <c r="A51" s="32"/>
      <c r="B51" s="32"/>
      <c r="C51" s="32"/>
      <c r="D51" s="32"/>
      <c r="E51" s="32"/>
      <c r="F51" s="32"/>
      <c r="G51" s="32"/>
      <c r="H51" s="32"/>
      <c r="I51" s="32"/>
      <c r="J51" s="32"/>
      <c r="K51" s="32"/>
      <c r="L51" s="32"/>
      <c r="M51" s="32"/>
      <c r="N51" s="32"/>
      <c r="O51" s="32"/>
      <c r="P51" s="32"/>
      <c r="Q51" s="32"/>
      <c r="R51" s="32"/>
      <c r="S51" s="32"/>
      <c r="T51" s="32"/>
    </row>
    <row r="52" spans="1:20" x14ac:dyDescent="0.3">
      <c r="A52" s="32"/>
      <c r="B52" s="32"/>
      <c r="C52" s="32"/>
      <c r="D52" s="32"/>
      <c r="E52" s="32"/>
      <c r="F52" s="32"/>
      <c r="G52" s="32"/>
      <c r="H52" s="32"/>
      <c r="I52" s="32"/>
      <c r="J52" s="32"/>
      <c r="K52" s="32"/>
      <c r="L52" s="32"/>
      <c r="M52" s="32"/>
      <c r="N52" s="32"/>
      <c r="O52" s="32"/>
      <c r="P52" s="32"/>
      <c r="Q52" s="32"/>
      <c r="R52" s="32"/>
      <c r="S52" s="32"/>
      <c r="T52" s="32"/>
    </row>
    <row r="53" spans="1:20" x14ac:dyDescent="0.3">
      <c r="A53" s="32"/>
      <c r="B53" s="32"/>
      <c r="C53" s="32"/>
      <c r="D53" s="32"/>
      <c r="E53" s="32"/>
      <c r="F53" s="32"/>
      <c r="G53" s="32"/>
      <c r="H53" s="32"/>
      <c r="I53" s="32"/>
      <c r="J53" s="32"/>
      <c r="K53" s="32"/>
      <c r="L53" s="32"/>
      <c r="M53" s="32"/>
      <c r="N53" s="32"/>
      <c r="O53" s="32"/>
      <c r="P53" s="32"/>
      <c r="Q53" s="32"/>
      <c r="R53" s="32"/>
      <c r="S53" s="32"/>
      <c r="T53" s="32"/>
    </row>
    <row r="54" spans="1:20" x14ac:dyDescent="0.3">
      <c r="A54" s="32"/>
      <c r="B54" s="32"/>
      <c r="C54" s="32"/>
      <c r="D54" s="32"/>
      <c r="E54" s="32"/>
      <c r="F54" s="32"/>
      <c r="G54" s="32"/>
      <c r="H54" s="32"/>
      <c r="I54" s="32"/>
      <c r="J54" s="32"/>
      <c r="K54" s="32"/>
      <c r="L54" s="32"/>
      <c r="M54" s="32"/>
      <c r="N54" s="32"/>
      <c r="O54" s="32"/>
      <c r="P54" s="32"/>
      <c r="Q54" s="32"/>
      <c r="R54" s="32"/>
      <c r="S54" s="32"/>
      <c r="T54" s="32"/>
    </row>
    <row r="55" spans="1:20" x14ac:dyDescent="0.3">
      <c r="A55" s="32"/>
      <c r="B55" s="32"/>
      <c r="C55" s="32"/>
      <c r="D55" s="32"/>
      <c r="E55" s="32"/>
      <c r="F55" s="32"/>
      <c r="G55" s="32"/>
      <c r="H55" s="32"/>
      <c r="I55" s="32"/>
      <c r="J55" s="32"/>
      <c r="K55" s="32"/>
      <c r="L55" s="32"/>
      <c r="M55" s="32"/>
      <c r="N55" s="32"/>
      <c r="O55" s="32"/>
      <c r="P55" s="32"/>
      <c r="Q55" s="32"/>
      <c r="R55" s="32"/>
      <c r="S55" s="32"/>
      <c r="T55" s="32"/>
    </row>
    <row r="56" spans="1:20" x14ac:dyDescent="0.3">
      <c r="A56" s="32"/>
      <c r="B56" s="32"/>
      <c r="C56" s="32"/>
      <c r="D56" s="32"/>
      <c r="E56" s="32"/>
      <c r="F56" s="32"/>
      <c r="G56" s="32"/>
      <c r="H56" s="32"/>
      <c r="I56" s="32"/>
      <c r="J56" s="32"/>
      <c r="K56" s="32"/>
      <c r="L56" s="32"/>
      <c r="M56" s="32"/>
      <c r="N56" s="32"/>
      <c r="O56" s="32"/>
      <c r="P56" s="32"/>
      <c r="Q56" s="32"/>
      <c r="R56" s="32"/>
      <c r="S56" s="32"/>
      <c r="T56" s="32"/>
    </row>
    <row r="57" spans="1:20" x14ac:dyDescent="0.3">
      <c r="A57" s="32"/>
      <c r="B57" s="32"/>
      <c r="C57" s="32"/>
      <c r="D57" s="32"/>
      <c r="E57" s="32"/>
      <c r="F57" s="32"/>
      <c r="G57" s="32"/>
      <c r="H57" s="32"/>
      <c r="I57" s="32"/>
      <c r="J57" s="32"/>
      <c r="K57" s="32"/>
      <c r="L57" s="32"/>
      <c r="M57" s="32"/>
      <c r="N57" s="32"/>
      <c r="O57" s="32"/>
      <c r="P57" s="32"/>
      <c r="Q57" s="32"/>
      <c r="R57" s="32"/>
      <c r="S57" s="32"/>
      <c r="T57" s="32"/>
    </row>
    <row r="58" spans="1:20" x14ac:dyDescent="0.3">
      <c r="A58" s="32"/>
      <c r="B58" s="32"/>
      <c r="C58" s="32"/>
      <c r="D58" s="32"/>
      <c r="E58" s="32"/>
      <c r="F58" s="32"/>
      <c r="G58" s="32"/>
      <c r="H58" s="32"/>
      <c r="I58" s="32"/>
      <c r="J58" s="32"/>
      <c r="K58" s="32"/>
      <c r="L58" s="32"/>
      <c r="M58" s="32"/>
      <c r="N58" s="32"/>
      <c r="O58" s="32"/>
      <c r="P58" s="32"/>
      <c r="Q58" s="32"/>
      <c r="R58" s="32"/>
      <c r="S58" s="32"/>
      <c r="T58" s="32"/>
    </row>
    <row r="59" spans="1:20" x14ac:dyDescent="0.3">
      <c r="A59" s="32"/>
      <c r="B59" s="32"/>
      <c r="C59" s="32"/>
      <c r="D59" s="32"/>
      <c r="E59" s="32"/>
      <c r="F59" s="32"/>
      <c r="G59" s="32"/>
      <c r="H59" s="32"/>
      <c r="I59" s="32"/>
      <c r="J59" s="32"/>
      <c r="K59" s="32"/>
      <c r="L59" s="32"/>
      <c r="M59" s="32"/>
      <c r="N59" s="32"/>
      <c r="O59" s="32"/>
      <c r="P59" s="32"/>
      <c r="Q59" s="32"/>
      <c r="R59" s="32"/>
      <c r="S59" s="32"/>
      <c r="T59" s="32"/>
    </row>
    <row r="60" spans="1:20" x14ac:dyDescent="0.3">
      <c r="A60" s="32"/>
      <c r="B60" s="32"/>
      <c r="C60" s="32"/>
      <c r="D60" s="32"/>
      <c r="E60" s="32"/>
      <c r="F60" s="32"/>
      <c r="G60" s="32"/>
      <c r="H60" s="32"/>
      <c r="I60" s="32"/>
      <c r="J60" s="32"/>
      <c r="K60" s="32"/>
      <c r="L60" s="32"/>
      <c r="M60" s="32"/>
      <c r="N60" s="32"/>
      <c r="O60" s="32"/>
      <c r="P60" s="32"/>
      <c r="Q60" s="32"/>
      <c r="R60" s="32"/>
      <c r="S60" s="32"/>
      <c r="T60" s="32"/>
    </row>
    <row r="61" spans="1:20" x14ac:dyDescent="0.3">
      <c r="A61" s="32"/>
      <c r="B61" s="32"/>
      <c r="C61" s="32"/>
      <c r="D61" s="32"/>
      <c r="E61" s="32"/>
      <c r="F61" s="32"/>
      <c r="G61" s="32"/>
      <c r="H61" s="32"/>
      <c r="I61" s="32"/>
      <c r="J61" s="32"/>
      <c r="K61" s="32"/>
      <c r="L61" s="32"/>
      <c r="M61" s="32"/>
      <c r="N61" s="32"/>
      <c r="O61" s="32"/>
      <c r="P61" s="32"/>
      <c r="Q61" s="32"/>
      <c r="R61" s="32"/>
      <c r="S61" s="32"/>
      <c r="T61" s="32"/>
    </row>
    <row r="62" spans="1:20" x14ac:dyDescent="0.3">
      <c r="A62" s="32"/>
      <c r="B62" s="32"/>
      <c r="C62" s="32"/>
      <c r="D62" s="32"/>
      <c r="E62" s="32"/>
      <c r="F62" s="32"/>
      <c r="G62" s="32"/>
      <c r="H62" s="32"/>
      <c r="I62" s="32"/>
      <c r="J62" s="32"/>
      <c r="K62" s="32"/>
      <c r="L62" s="32"/>
      <c r="M62" s="32"/>
      <c r="N62" s="32"/>
      <c r="O62" s="32"/>
      <c r="P62" s="32"/>
      <c r="Q62" s="32"/>
      <c r="R62" s="32"/>
      <c r="S62" s="32"/>
      <c r="T62" s="32"/>
    </row>
    <row r="63" spans="1:20" x14ac:dyDescent="0.3">
      <c r="A63" s="32"/>
      <c r="B63" s="32"/>
      <c r="C63" s="32"/>
      <c r="D63" s="32"/>
      <c r="E63" s="32"/>
      <c r="F63" s="32"/>
      <c r="G63" s="32"/>
      <c r="H63" s="32"/>
      <c r="I63" s="32"/>
      <c r="J63" s="32"/>
      <c r="K63" s="32"/>
      <c r="L63" s="32"/>
      <c r="M63" s="32"/>
      <c r="N63" s="32"/>
      <c r="O63" s="32"/>
      <c r="P63" s="32"/>
      <c r="Q63" s="32"/>
      <c r="R63" s="32"/>
      <c r="S63" s="32"/>
      <c r="T63" s="32"/>
    </row>
    <row r="64" spans="1:20" x14ac:dyDescent="0.3">
      <c r="A64" s="32"/>
      <c r="B64" s="32"/>
      <c r="C64" s="32"/>
      <c r="D64" s="32"/>
      <c r="E64" s="32"/>
      <c r="F64" s="32"/>
      <c r="G64" s="32"/>
      <c r="H64" s="32"/>
      <c r="I64" s="32"/>
      <c r="J64" s="32"/>
      <c r="K64" s="32"/>
      <c r="L64" s="32"/>
      <c r="M64" s="32"/>
      <c r="N64" s="32"/>
      <c r="O64" s="32"/>
      <c r="P64" s="32"/>
      <c r="Q64" s="32"/>
      <c r="R64" s="32"/>
      <c r="S64" s="32"/>
      <c r="T64" s="32"/>
    </row>
    <row r="65" spans="1:20" x14ac:dyDescent="0.3">
      <c r="A65" s="32"/>
      <c r="B65" s="32"/>
      <c r="C65" s="32"/>
      <c r="D65" s="32"/>
      <c r="E65" s="32"/>
      <c r="F65" s="32"/>
      <c r="G65" s="32"/>
      <c r="H65" s="32"/>
      <c r="I65" s="32"/>
      <c r="J65" s="32"/>
      <c r="K65" s="32"/>
      <c r="L65" s="32"/>
      <c r="M65" s="32"/>
      <c r="N65" s="32"/>
      <c r="O65" s="32"/>
      <c r="P65" s="32"/>
      <c r="Q65" s="32"/>
      <c r="R65" s="32"/>
      <c r="S65" s="32"/>
      <c r="T65" s="32"/>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Main_Data</vt:lpstr>
      <vt:lpstr>Pivot_Table_KPI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shashank shukla</dc:creator>
  <cp:lastModifiedBy>Shashank Shukla</cp:lastModifiedBy>
  <dcterms:created xsi:type="dcterms:W3CDTF">2026-08-07T11:50:12Z</dcterms:created>
  <dcterms:modified xsi:type="dcterms:W3CDTF">2026-08-11T10:56:33Z</dcterms:modified>
</cp:coreProperties>
</file>